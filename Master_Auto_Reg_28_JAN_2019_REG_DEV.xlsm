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updateLinks="never" codeName="ThisWorkbook" hidePivotFieldList="1" defaultThemeVersion="124226"/>
  <bookViews>
    <workbookView xWindow="0" yWindow="0" windowWidth="19200" windowHeight="6960" tabRatio="637" activeTab="2"/>
  </bookViews>
  <sheets>
    <sheet name="Summary_Regression" sheetId="1262" r:id="rId1"/>
    <sheet name="In-Sprint Test Case Summary" sheetId="1263" r:id="rId2"/>
    <sheet name="Regression" sheetId="1460" r:id="rId3"/>
    <sheet name="ListSource" sheetId="3" r:id="rId4"/>
    <sheet name="Regression_Optimization_Sheet" sheetId="1147" state="hidden" r:id="rId5"/>
    <sheet name="RemovedSmokeTC" sheetId="683" state="hidden" r:id="rId6"/>
    <sheet name="DSR" sheetId="1362" r:id="rId7"/>
    <sheet name="QTest_Failed_Update" sheetId="1456" r:id="rId8"/>
    <sheet name="Automation ROI" sheetId="1584" r:id="rId9"/>
    <sheet name="Failed To Update TCs" sheetId="1754" r:id="rId10"/>
  </sheets>
  <externalReferences>
    <externalReference r:id="rId11"/>
    <externalReference r:id="rId12"/>
    <externalReference r:id="rId13"/>
    <externalReference r:id="rId14"/>
    <externalReference r:id="rId15"/>
  </externalReferences>
  <definedNames>
    <definedName name="_xlnm._FilterDatabase" localSheetId="2" hidden="1">Regression!$A$1:$M$1060</definedName>
    <definedName name="_xlnm._FilterDatabase" localSheetId="4" hidden="1">Regression_Optimization_Sheet!$A$1:$Q$1334</definedName>
    <definedName name="BrowserOptions">#REF!</definedName>
    <definedName name="dsfsdg">[1]Sheet1!$A$2:$A$4</definedName>
    <definedName name="ExecutionModeOptions">#REF!</definedName>
    <definedName name="ExecutionPlatformOptions">#REF!</definedName>
    <definedName name="IterationOptions">#REF!</definedName>
    <definedName name="PlatformOptions">#REF!</definedName>
    <definedName name="sdsd">[2]Sheet1!$C$2:$C$8</definedName>
    <definedName name="t">[3]Sheet1!$E$2:$E$5</definedName>
    <definedName name="ToolOptions">#REF!</definedName>
    <definedName name="truu">[1]Sheet1!$B$2:$B$11</definedName>
    <definedName name="zdfhdf">[1]Sheet1!$D$2:$D$13</definedName>
    <definedName name="zdgfdfzg">[1]Sheet1!$E$2:$E$5</definedName>
  </definedNames>
  <calcPr calcId="145621"/>
  <customWorkbookViews>
    <customWorkbookView name="Mukherjee, Joydip (Cognizant) - Personal View" guid="{2E048717-73A7-466B-81D2-C78CB5F95551}" autoUpdate="1" mergeInterval="10" personalView="1" maximized="1" xWindow="-4" yWindow="-4" windowWidth="1374" windowHeight="748" tabRatio="690" activeSheetId="1"/>
    <customWorkbookView name="Kundu, Saubhik (Cognizant) - Personal View" guid="{E3A6F867-F833-403A-90A4-6CBBE5B0E802}" mergeInterval="0" personalView="1" maximized="1" xWindow="-8" yWindow="-8" windowWidth="1382" windowHeight="744" tabRatio="690" activeSheetId="1"/>
  </customWorkbookViews>
</workbook>
</file>

<file path=xl/calcChain.xml><?xml version="1.0" encoding="utf-8"?>
<calcChain xmlns="http://schemas.openxmlformats.org/spreadsheetml/2006/main">
  <c r="G28" i="3" l="1"/>
  <c r="F28" i="3"/>
  <c r="E28" i="3"/>
  <c r="D28" i="3"/>
  <c r="C28" i="3"/>
  <c r="B28" i="3"/>
  <c r="E32" i="1262" l="1"/>
  <c r="E31" i="1262"/>
  <c r="E24" i="1262" l="1"/>
  <c r="G20" i="1263"/>
  <c r="K48" i="1263"/>
  <c r="G47" i="1263"/>
  <c r="J21" i="1263"/>
  <c r="I19" i="1263"/>
  <c r="M32" i="1262"/>
  <c r="I21" i="1263"/>
  <c r="B66" i="1584" l="1"/>
  <c r="B51" i="1584"/>
  <c r="B37" i="1584"/>
  <c r="E14" i="1584"/>
  <c r="D14" i="1584"/>
  <c r="C14" i="1584"/>
  <c r="K31" i="1262"/>
  <c r="J50" i="1263"/>
  <c r="I23" i="1263"/>
  <c r="H21" i="1263"/>
  <c r="G21" i="1263"/>
  <c r="F31" i="1262"/>
  <c r="K50" i="1263"/>
  <c r="J47" i="1263"/>
  <c r="G31" i="1262"/>
  <c r="G19" i="1263"/>
  <c r="H20" i="1263"/>
  <c r="I32" i="1262"/>
  <c r="G46" i="1263"/>
  <c r="J22" i="1263"/>
  <c r="G48" i="1263"/>
  <c r="I50" i="1263"/>
  <c r="I22" i="1263"/>
  <c r="F32" i="1262"/>
  <c r="I49" i="1263"/>
  <c r="K46" i="1263"/>
  <c r="J23" i="1263"/>
  <c r="K47" i="1263"/>
  <c r="I48" i="1263"/>
  <c r="J19" i="1263"/>
  <c r="G32" i="1262"/>
  <c r="M31" i="1262"/>
  <c r="I47" i="1263"/>
  <c r="H19" i="1263"/>
  <c r="I20" i="1263"/>
  <c r="G50" i="1263"/>
  <c r="K49" i="1263"/>
  <c r="G22" i="1263"/>
  <c r="J46" i="1263"/>
  <c r="G23" i="1263"/>
  <c r="K32" i="1262"/>
  <c r="H23" i="1263"/>
  <c r="H22" i="1263"/>
  <c r="J48" i="1263"/>
  <c r="J20" i="1263"/>
  <c r="G49" i="1263"/>
  <c r="I46" i="1263"/>
  <c r="I31" i="1262"/>
  <c r="J49" i="1263"/>
  <c r="I10" i="1262"/>
  <c r="L21" i="1263" l="1"/>
  <c r="M21" i="1263"/>
  <c r="J32" i="1262"/>
  <c r="H32" i="1262"/>
  <c r="K20" i="1263"/>
  <c r="N32" i="1262"/>
  <c r="L32" i="1262"/>
  <c r="M23" i="1263"/>
  <c r="P47" i="1263"/>
  <c r="P49" i="1263"/>
  <c r="K22" i="1263"/>
  <c r="M20" i="1263"/>
  <c r="K19" i="1263"/>
  <c r="J31" i="1262"/>
  <c r="N48" i="1263"/>
  <c r="H48" i="1263"/>
  <c r="M48" i="1263" s="1"/>
  <c r="H49" i="1263"/>
  <c r="M49" i="1263" s="1"/>
  <c r="N49" i="1263"/>
  <c r="N31" i="1262"/>
  <c r="L22" i="1263"/>
  <c r="K23" i="1263"/>
  <c r="L19" i="1263"/>
  <c r="M19" i="1263"/>
  <c r="L31" i="1262"/>
  <c r="O50" i="1263"/>
  <c r="O49" i="1263"/>
  <c r="K21" i="1263"/>
  <c r="L20" i="1263"/>
  <c r="M22" i="1263"/>
  <c r="L23" i="1263"/>
  <c r="O48" i="1263"/>
  <c r="P48" i="1263"/>
  <c r="H31" i="1262"/>
  <c r="N50" i="1263"/>
  <c r="H50" i="1263"/>
  <c r="M50" i="1263" s="1"/>
  <c r="P50" i="1263"/>
  <c r="O47" i="1263"/>
  <c r="P46" i="1263"/>
  <c r="H47" i="1263"/>
  <c r="M47" i="1263" s="1"/>
  <c r="N47" i="1263"/>
  <c r="O46" i="1263"/>
  <c r="N46" i="1263"/>
  <c r="H46" i="1263"/>
  <c r="M46" i="1263" s="1"/>
  <c r="E30" i="1262"/>
  <c r="E29" i="1262"/>
  <c r="J45" i="1263"/>
  <c r="H18" i="1263"/>
  <c r="I18" i="1263"/>
  <c r="K45" i="1263"/>
  <c r="J18" i="1263"/>
  <c r="G45" i="1263"/>
  <c r="G18" i="1263"/>
  <c r="I45" i="1263"/>
  <c r="L50" i="1263" l="1"/>
  <c r="L49" i="1263"/>
  <c r="L48" i="1263"/>
  <c r="L47" i="1263"/>
  <c r="L46" i="1263"/>
  <c r="K18" i="1263"/>
  <c r="P45" i="1263"/>
  <c r="M18" i="1263"/>
  <c r="O45" i="1263"/>
  <c r="L18" i="1263"/>
  <c r="H45" i="1263"/>
  <c r="M45" i="1263" s="1"/>
  <c r="N45" i="1263"/>
  <c r="E28" i="1262"/>
  <c r="L45" i="1263" l="1"/>
  <c r="H11" i="1263"/>
  <c r="G11" i="1263"/>
  <c r="J13" i="1263"/>
  <c r="G44" i="1263"/>
  <c r="H17" i="1263"/>
  <c r="G17" i="1263"/>
  <c r="J14" i="1263"/>
  <c r="H10" i="1263"/>
  <c r="I14" i="1263"/>
  <c r="G14" i="1263"/>
  <c r="G12" i="1263"/>
  <c r="G13" i="1263"/>
  <c r="G40" i="1263"/>
  <c r="H14" i="1263"/>
  <c r="J12" i="1263"/>
  <c r="H12" i="1263"/>
  <c r="H16" i="1263"/>
  <c r="G43" i="1263"/>
  <c r="J10" i="1263"/>
  <c r="J16" i="1263"/>
  <c r="J15" i="1263"/>
  <c r="G39" i="1263"/>
  <c r="J11" i="1263"/>
  <c r="G37" i="1263"/>
  <c r="I12" i="1263"/>
  <c r="I13" i="1263"/>
  <c r="H15" i="1263"/>
  <c r="G42" i="1263"/>
  <c r="J17" i="1263"/>
  <c r="H13" i="1263"/>
  <c r="I17" i="1263"/>
  <c r="G16" i="1263"/>
  <c r="G36" i="1263"/>
  <c r="I11" i="1263"/>
  <c r="I15" i="1263"/>
  <c r="G38" i="1263"/>
  <c r="I10" i="1263"/>
  <c r="I16" i="1263"/>
  <c r="G15" i="1263"/>
  <c r="G41" i="1263"/>
  <c r="G10" i="1263"/>
  <c r="K17" i="1263" l="1"/>
  <c r="L17" i="1263"/>
  <c r="M17" i="1263"/>
  <c r="A3" i="1460"/>
  <c r="A4" i="1460" s="1"/>
  <c r="A5" i="1460" s="1"/>
  <c r="A6" i="1460" s="1"/>
  <c r="A7" i="1460" s="1"/>
  <c r="A8" i="1460" s="1"/>
  <c r="A9" i="1460" s="1"/>
  <c r="A10" i="1460" s="1"/>
  <c r="A11" i="1460" s="1"/>
  <c r="A12" i="1460" s="1"/>
  <c r="A13" i="1460" s="1"/>
  <c r="A14" i="1460" s="1"/>
  <c r="A15" i="1460" s="1"/>
  <c r="A16" i="1460" s="1"/>
  <c r="A17" i="1460" s="1"/>
  <c r="A18" i="1460" s="1"/>
  <c r="A19" i="1460" s="1"/>
  <c r="A20" i="1460" s="1"/>
  <c r="A21" i="1460" s="1"/>
  <c r="A22" i="1460" s="1"/>
  <c r="A23" i="1460" s="1"/>
  <c r="A24" i="1460" s="1"/>
  <c r="A25" i="1460" s="1"/>
  <c r="A26" i="1460" s="1"/>
  <c r="A27" i="1460" s="1"/>
  <c r="A28" i="1460" s="1"/>
  <c r="A29" i="1460" s="1"/>
  <c r="A30" i="1460" s="1"/>
  <c r="A31" i="1460" s="1"/>
  <c r="A32" i="1460" s="1"/>
  <c r="A33" i="1460" s="1"/>
  <c r="A34" i="1460" s="1"/>
  <c r="A35" i="1460" s="1"/>
  <c r="A36" i="1460" s="1"/>
  <c r="A37" i="1460" s="1"/>
  <c r="A38" i="1460" s="1"/>
  <c r="A39" i="1460" s="1"/>
  <c r="A40" i="1460" s="1"/>
  <c r="A41" i="1460" s="1"/>
  <c r="A42" i="1460" s="1"/>
  <c r="A43" i="1460" s="1"/>
  <c r="A44" i="1460" s="1"/>
  <c r="A45" i="1460" s="1"/>
  <c r="A46" i="1460" s="1"/>
  <c r="A47" i="1460" s="1"/>
  <c r="A48" i="1460" s="1"/>
  <c r="A49" i="1460" s="1"/>
  <c r="A50" i="1460" s="1"/>
  <c r="A51" i="1460" s="1"/>
  <c r="A52" i="1460" s="1"/>
  <c r="A53" i="1460" s="1"/>
  <c r="A54" i="1460" s="1"/>
  <c r="A55" i="1460" s="1"/>
  <c r="A56" i="1460" s="1"/>
  <c r="A57" i="1460" s="1"/>
  <c r="A58" i="1460" s="1"/>
  <c r="A59" i="1460" s="1"/>
  <c r="A60" i="1460" s="1"/>
  <c r="A61" i="1460" s="1"/>
  <c r="A62" i="1460" s="1"/>
  <c r="A63" i="1460" s="1"/>
  <c r="A64" i="1460" s="1"/>
  <c r="A65" i="1460" s="1"/>
  <c r="A66" i="1460" s="1"/>
  <c r="A67" i="1460" s="1"/>
  <c r="A68" i="1460" s="1"/>
  <c r="A69" i="1460" s="1"/>
  <c r="A70" i="1460" s="1"/>
  <c r="A71" i="1460" s="1"/>
  <c r="A72" i="1460" s="1"/>
  <c r="A73" i="1460" s="1"/>
  <c r="A74" i="1460" s="1"/>
  <c r="A75" i="1460" s="1"/>
  <c r="A76" i="1460" s="1"/>
  <c r="A77" i="1460" s="1"/>
  <c r="A78" i="1460" s="1"/>
  <c r="A79" i="1460" s="1"/>
  <c r="A80" i="1460" s="1"/>
  <c r="A81" i="1460" s="1"/>
  <c r="A82" i="1460" s="1"/>
  <c r="A83" i="1460" s="1"/>
  <c r="A84" i="1460" s="1"/>
  <c r="A85" i="1460" s="1"/>
  <c r="A86" i="1460" s="1"/>
  <c r="A87" i="1460" s="1"/>
  <c r="A88" i="1460" s="1"/>
  <c r="A89" i="1460" s="1"/>
  <c r="A90" i="1460" s="1"/>
  <c r="A91" i="1460" s="1"/>
  <c r="A92" i="1460" s="1"/>
  <c r="A93" i="1460" s="1"/>
  <c r="A94" i="1460" s="1"/>
  <c r="A95" i="1460" s="1"/>
  <c r="A96" i="1460" s="1"/>
  <c r="A97" i="1460" s="1"/>
  <c r="A98" i="1460" s="1"/>
  <c r="A99" i="1460" s="1"/>
  <c r="A100" i="1460" s="1"/>
  <c r="A101" i="1460" s="1"/>
  <c r="A102" i="1460" s="1"/>
  <c r="A103" i="1460" s="1"/>
  <c r="A104" i="1460" s="1"/>
  <c r="A105" i="1460" s="1"/>
  <c r="A106" i="1460" s="1"/>
  <c r="A107" i="1460" s="1"/>
  <c r="A108" i="1460" s="1"/>
  <c r="A109" i="1460" s="1"/>
  <c r="A110" i="1460" s="1"/>
  <c r="A111" i="1460" s="1"/>
  <c r="A112" i="1460" s="1"/>
  <c r="A113" i="1460" s="1"/>
  <c r="A114" i="1460" s="1"/>
  <c r="A115" i="1460" s="1"/>
  <c r="A116" i="1460" s="1"/>
  <c r="A117" i="1460" s="1"/>
  <c r="A118" i="1460" s="1"/>
  <c r="A119" i="1460" s="1"/>
  <c r="A120" i="1460" s="1"/>
  <c r="A121" i="1460" s="1"/>
  <c r="A122" i="1460" s="1"/>
  <c r="A123" i="1460" s="1"/>
  <c r="A124" i="1460" s="1"/>
  <c r="A125" i="1460" s="1"/>
  <c r="A126" i="1460" s="1"/>
  <c r="A127" i="1460" s="1"/>
  <c r="A128" i="1460" s="1"/>
  <c r="A129" i="1460" s="1"/>
  <c r="A130" i="1460" s="1"/>
  <c r="A131" i="1460" s="1"/>
  <c r="A132" i="1460" s="1"/>
  <c r="A133" i="1460" s="1"/>
  <c r="A134" i="1460" s="1"/>
  <c r="A135" i="1460" s="1"/>
  <c r="A136" i="1460" s="1"/>
  <c r="A137" i="1460" s="1"/>
  <c r="A138" i="1460" s="1"/>
  <c r="A139" i="1460" s="1"/>
  <c r="A140" i="1460" s="1"/>
  <c r="A141" i="1460" s="1"/>
  <c r="A142" i="1460" s="1"/>
  <c r="A143" i="1460" s="1"/>
  <c r="A144" i="1460" s="1"/>
  <c r="A145" i="1460" s="1"/>
  <c r="A146" i="1460" s="1"/>
  <c r="A147" i="1460" s="1"/>
  <c r="A148" i="1460" s="1"/>
  <c r="A149" i="1460" s="1"/>
  <c r="A150" i="1460" s="1"/>
  <c r="A151" i="1460" s="1"/>
  <c r="A152" i="1460" s="1"/>
  <c r="A153" i="1460" s="1"/>
  <c r="A154" i="1460" s="1"/>
  <c r="A155" i="1460" s="1"/>
  <c r="A156" i="1460" s="1"/>
  <c r="A157" i="1460" s="1"/>
  <c r="A158" i="1460" s="1"/>
  <c r="A159" i="1460" s="1"/>
  <c r="A160" i="1460" s="1"/>
  <c r="A161" i="1460" s="1"/>
  <c r="A162" i="1460" s="1"/>
  <c r="A163" i="1460" s="1"/>
  <c r="A164" i="1460" s="1"/>
  <c r="A165" i="1460" s="1"/>
  <c r="A166" i="1460" s="1"/>
  <c r="A167" i="1460" s="1"/>
  <c r="A168" i="1460" s="1"/>
  <c r="A169" i="1460" s="1"/>
  <c r="A170" i="1460" s="1"/>
  <c r="A171" i="1460" s="1"/>
  <c r="A172" i="1460" s="1"/>
  <c r="A173" i="1460" s="1"/>
  <c r="A174" i="1460" s="1"/>
  <c r="A175" i="1460" s="1"/>
  <c r="A176" i="1460" s="1"/>
  <c r="A177" i="1460" s="1"/>
  <c r="A178" i="1460" s="1"/>
  <c r="A179" i="1460" s="1"/>
  <c r="A180" i="1460" s="1"/>
  <c r="A181" i="1460" s="1"/>
  <c r="A182" i="1460" s="1"/>
  <c r="A183" i="1460" s="1"/>
  <c r="A184" i="1460" s="1"/>
  <c r="A185" i="1460" s="1"/>
  <c r="A186" i="1460" s="1"/>
  <c r="A187" i="1460" s="1"/>
  <c r="A188" i="1460" s="1"/>
  <c r="A189" i="1460" s="1"/>
  <c r="A190" i="1460" s="1"/>
  <c r="A191" i="1460" s="1"/>
  <c r="A192" i="1460" s="1"/>
  <c r="A193" i="1460" s="1"/>
  <c r="A194" i="1460" s="1"/>
  <c r="A195" i="1460" s="1"/>
  <c r="A196" i="1460" s="1"/>
  <c r="A197" i="1460" s="1"/>
  <c r="A198" i="1460" s="1"/>
  <c r="A199" i="1460" s="1"/>
  <c r="A200" i="1460" s="1"/>
  <c r="A201" i="1460" s="1"/>
  <c r="A202" i="1460" s="1"/>
  <c r="A203" i="1460" s="1"/>
  <c r="A204" i="1460" s="1"/>
  <c r="A205" i="1460" s="1"/>
  <c r="A206" i="1460" s="1"/>
  <c r="A207" i="1460" s="1"/>
  <c r="A208" i="1460" s="1"/>
  <c r="A209" i="1460" s="1"/>
  <c r="A210" i="1460" s="1"/>
  <c r="A211" i="1460" s="1"/>
  <c r="A212" i="1460" s="1"/>
  <c r="A213" i="1460" s="1"/>
  <c r="A214" i="1460" s="1"/>
  <c r="A215" i="1460" s="1"/>
  <c r="A216" i="1460" s="1"/>
  <c r="A217" i="1460" s="1"/>
  <c r="A218" i="1460" s="1"/>
  <c r="A219" i="1460" s="1"/>
  <c r="A220" i="1460" s="1"/>
  <c r="A221" i="1460" s="1"/>
  <c r="A222" i="1460" s="1"/>
  <c r="A223" i="1460" s="1"/>
  <c r="A224" i="1460" s="1"/>
  <c r="A225" i="1460" s="1"/>
  <c r="A226" i="1460" s="1"/>
  <c r="A227" i="1460" s="1"/>
  <c r="A228" i="1460" s="1"/>
  <c r="A229" i="1460" s="1"/>
  <c r="A230" i="1460" s="1"/>
  <c r="A231" i="1460" s="1"/>
  <c r="A232" i="1460" s="1"/>
  <c r="A233" i="1460" s="1"/>
  <c r="A234" i="1460" s="1"/>
  <c r="A235" i="1460" s="1"/>
  <c r="A236" i="1460" s="1"/>
  <c r="A237" i="1460" s="1"/>
  <c r="A238" i="1460" s="1"/>
  <c r="A239" i="1460" s="1"/>
  <c r="A240" i="1460" s="1"/>
  <c r="A241" i="1460" s="1"/>
  <c r="A242" i="1460" s="1"/>
  <c r="A243" i="1460" s="1"/>
  <c r="A244" i="1460" s="1"/>
  <c r="A245" i="1460" s="1"/>
  <c r="A246" i="1460" s="1"/>
  <c r="A247" i="1460" s="1"/>
  <c r="A248" i="1460" s="1"/>
  <c r="A249" i="1460" s="1"/>
  <c r="A250" i="1460" s="1"/>
  <c r="A251" i="1460" s="1"/>
  <c r="A252" i="1460" s="1"/>
  <c r="A253" i="1460" s="1"/>
  <c r="A254" i="1460" s="1"/>
  <c r="A255" i="1460" s="1"/>
  <c r="A256" i="1460" s="1"/>
  <c r="A257" i="1460" s="1"/>
  <c r="A258" i="1460" s="1"/>
  <c r="A259" i="1460" s="1"/>
  <c r="A260" i="1460" s="1"/>
  <c r="A261" i="1460" s="1"/>
  <c r="A262" i="1460" s="1"/>
  <c r="A263" i="1460" s="1"/>
  <c r="A264" i="1460" s="1"/>
  <c r="A265" i="1460" s="1"/>
  <c r="A266" i="1460" s="1"/>
  <c r="A267" i="1460" s="1"/>
  <c r="A268" i="1460" s="1"/>
  <c r="A269" i="1460" s="1"/>
  <c r="A270" i="1460" s="1"/>
  <c r="A271" i="1460" s="1"/>
  <c r="A272" i="1460" s="1"/>
  <c r="A273" i="1460" s="1"/>
  <c r="A274" i="1460" s="1"/>
  <c r="A275" i="1460" s="1"/>
  <c r="A276" i="1460" s="1"/>
  <c r="A277" i="1460" s="1"/>
  <c r="A278" i="1460" s="1"/>
  <c r="A279" i="1460" s="1"/>
  <c r="A280" i="1460" s="1"/>
  <c r="A281" i="1460" s="1"/>
  <c r="A282" i="1460" s="1"/>
  <c r="A283" i="1460" s="1"/>
  <c r="A284" i="1460" s="1"/>
  <c r="A285" i="1460" s="1"/>
  <c r="A286" i="1460" s="1"/>
  <c r="A287" i="1460" s="1"/>
  <c r="A288" i="1460" s="1"/>
  <c r="A289" i="1460" s="1"/>
  <c r="A290" i="1460" s="1"/>
  <c r="A291" i="1460" s="1"/>
  <c r="A292" i="1460" s="1"/>
  <c r="A293" i="1460" s="1"/>
  <c r="A294" i="1460" s="1"/>
  <c r="A295" i="1460" s="1"/>
  <c r="A296" i="1460" s="1"/>
  <c r="A297" i="1460" s="1"/>
  <c r="A298" i="1460" s="1"/>
  <c r="A299" i="1460" s="1"/>
  <c r="A300" i="1460" s="1"/>
  <c r="A301" i="1460" s="1"/>
  <c r="A302" i="1460" s="1"/>
  <c r="A303" i="1460" s="1"/>
  <c r="A304" i="1460" s="1"/>
  <c r="A305" i="1460" s="1"/>
  <c r="A306" i="1460" s="1"/>
  <c r="A307" i="1460" s="1"/>
  <c r="A308" i="1460" s="1"/>
  <c r="A309" i="1460" s="1"/>
  <c r="A310" i="1460" s="1"/>
  <c r="A311" i="1460" s="1"/>
  <c r="A312" i="1460" s="1"/>
  <c r="A313" i="1460" s="1"/>
  <c r="A314" i="1460" s="1"/>
  <c r="A315" i="1460" s="1"/>
  <c r="A316" i="1460" s="1"/>
  <c r="A317" i="1460" s="1"/>
  <c r="A318" i="1460" s="1"/>
  <c r="A319" i="1460" s="1"/>
  <c r="A320" i="1460" s="1"/>
  <c r="A321" i="1460" s="1"/>
  <c r="A322" i="1460" s="1"/>
  <c r="A323" i="1460" s="1"/>
  <c r="A324" i="1460" s="1"/>
  <c r="A325" i="1460" s="1"/>
  <c r="A326" i="1460" s="1"/>
  <c r="A327" i="1460" s="1"/>
  <c r="A328" i="1460" s="1"/>
  <c r="A329" i="1460" s="1"/>
  <c r="A330" i="1460" s="1"/>
  <c r="A331" i="1460" s="1"/>
  <c r="A332" i="1460" s="1"/>
  <c r="A333" i="1460" s="1"/>
  <c r="A334" i="1460" s="1"/>
  <c r="A335" i="1460" s="1"/>
  <c r="A336" i="1460" s="1"/>
  <c r="A337" i="1460" s="1"/>
  <c r="A338" i="1460" s="1"/>
  <c r="A339" i="1460" s="1"/>
  <c r="A340" i="1460" s="1"/>
  <c r="A341" i="1460" s="1"/>
  <c r="A342" i="1460" s="1"/>
  <c r="A343" i="1460" s="1"/>
  <c r="A344" i="1460" s="1"/>
  <c r="A345" i="1460" s="1"/>
  <c r="A346" i="1460" s="1"/>
  <c r="A347" i="1460" s="1"/>
  <c r="A348" i="1460" s="1"/>
  <c r="A349" i="1460" s="1"/>
  <c r="A350" i="1460" s="1"/>
  <c r="A351" i="1460" s="1"/>
  <c r="A352" i="1460" s="1"/>
  <c r="A353" i="1460" s="1"/>
  <c r="A354" i="1460" s="1"/>
  <c r="A355" i="1460" s="1"/>
  <c r="A356" i="1460" s="1"/>
  <c r="A357" i="1460" s="1"/>
  <c r="A358" i="1460" s="1"/>
  <c r="A359" i="1460" s="1"/>
  <c r="A360" i="1460" s="1"/>
  <c r="A361" i="1460" s="1"/>
  <c r="A362" i="1460" s="1"/>
  <c r="A363" i="1460" s="1"/>
  <c r="A364" i="1460" s="1"/>
  <c r="A365" i="1460" s="1"/>
  <c r="A366" i="1460" s="1"/>
  <c r="A367" i="1460" s="1"/>
  <c r="A368" i="1460" s="1"/>
  <c r="A369" i="1460" s="1"/>
  <c r="A370" i="1460" s="1"/>
  <c r="A371" i="1460" s="1"/>
  <c r="A372" i="1460" s="1"/>
  <c r="A373" i="1460" s="1"/>
  <c r="A374" i="1460" s="1"/>
  <c r="A375" i="1460" s="1"/>
  <c r="A376" i="1460" s="1"/>
  <c r="A377" i="1460" s="1"/>
  <c r="A378" i="1460" s="1"/>
  <c r="A379" i="1460" s="1"/>
  <c r="A380" i="1460" s="1"/>
  <c r="A381" i="1460" s="1"/>
  <c r="A382" i="1460" s="1"/>
  <c r="A383" i="1460" s="1"/>
  <c r="A384" i="1460" s="1"/>
  <c r="A385" i="1460" s="1"/>
  <c r="A386" i="1460" s="1"/>
  <c r="A387" i="1460" s="1"/>
  <c r="A388" i="1460" s="1"/>
  <c r="A389" i="1460" s="1"/>
  <c r="A390" i="1460" s="1"/>
  <c r="A391" i="1460" s="1"/>
  <c r="A392" i="1460" s="1"/>
  <c r="A393" i="1460" s="1"/>
  <c r="A394" i="1460" s="1"/>
  <c r="A395" i="1460" s="1"/>
  <c r="A396" i="1460" s="1"/>
  <c r="A397" i="1460" s="1"/>
  <c r="A398" i="1460" s="1"/>
  <c r="A399" i="1460" s="1"/>
  <c r="A400" i="1460" s="1"/>
  <c r="A401" i="1460" s="1"/>
  <c r="A402" i="1460" s="1"/>
  <c r="A403" i="1460" s="1"/>
  <c r="A404" i="1460" s="1"/>
  <c r="A405" i="1460" s="1"/>
  <c r="A406" i="1460" s="1"/>
  <c r="A407" i="1460" s="1"/>
  <c r="A408" i="1460" s="1"/>
  <c r="A409" i="1460" s="1"/>
  <c r="A410" i="1460" s="1"/>
  <c r="A411" i="1460" s="1"/>
  <c r="A412" i="1460" s="1"/>
  <c r="A413" i="1460" s="1"/>
  <c r="A414" i="1460" s="1"/>
  <c r="A415" i="1460" s="1"/>
  <c r="A416" i="1460" s="1"/>
  <c r="A417" i="1460" s="1"/>
  <c r="A418" i="1460" s="1"/>
  <c r="A419" i="1460" s="1"/>
  <c r="A420" i="1460" s="1"/>
  <c r="A421" i="1460" s="1"/>
  <c r="A422" i="1460" s="1"/>
  <c r="A423" i="1460" s="1"/>
  <c r="A424" i="1460" s="1"/>
  <c r="A425" i="1460" s="1"/>
  <c r="A426" i="1460" s="1"/>
  <c r="A427" i="1460" s="1"/>
  <c r="A428" i="1460" s="1"/>
  <c r="A429" i="1460" s="1"/>
  <c r="A430" i="1460" s="1"/>
  <c r="A431" i="1460" s="1"/>
  <c r="A432" i="1460" s="1"/>
  <c r="A433" i="1460" s="1"/>
  <c r="A434" i="1460" s="1"/>
  <c r="A435" i="1460" s="1"/>
  <c r="A436" i="1460" s="1"/>
  <c r="A437" i="1460" s="1"/>
  <c r="A438" i="1460" s="1"/>
  <c r="A439" i="1460" s="1"/>
  <c r="A440" i="1460" s="1"/>
  <c r="A441" i="1460" s="1"/>
  <c r="A442" i="1460" s="1"/>
  <c r="A443" i="1460" s="1"/>
  <c r="A444" i="1460" s="1"/>
  <c r="A445" i="1460" s="1"/>
  <c r="A446" i="1460" s="1"/>
  <c r="A447" i="1460" s="1"/>
  <c r="A448" i="1460" s="1"/>
  <c r="A449" i="1460" s="1"/>
  <c r="A450" i="1460" s="1"/>
  <c r="A451" i="1460" s="1"/>
  <c r="A452" i="1460" s="1"/>
  <c r="A453" i="1460" s="1"/>
  <c r="A454" i="1460" s="1"/>
  <c r="A455" i="1460" s="1"/>
  <c r="A456" i="1460" s="1"/>
  <c r="A457" i="1460" s="1"/>
  <c r="A458" i="1460" s="1"/>
  <c r="A459" i="1460" s="1"/>
  <c r="A460" i="1460" s="1"/>
  <c r="A461" i="1460" s="1"/>
  <c r="A462" i="1460" s="1"/>
  <c r="A463" i="1460" s="1"/>
  <c r="A464" i="1460" s="1"/>
  <c r="A465" i="1460" s="1"/>
  <c r="A466" i="1460" s="1"/>
  <c r="A467" i="1460" s="1"/>
  <c r="A468" i="1460" s="1"/>
  <c r="A469" i="1460" s="1"/>
  <c r="A470" i="1460" s="1"/>
  <c r="A471" i="1460" s="1"/>
  <c r="A472" i="1460" s="1"/>
  <c r="A473" i="1460" s="1"/>
  <c r="A474" i="1460" s="1"/>
  <c r="A475" i="1460" s="1"/>
  <c r="A476" i="1460" s="1"/>
  <c r="A477" i="1460" s="1"/>
  <c r="A478" i="1460" s="1"/>
  <c r="A479" i="1460" s="1"/>
  <c r="A480" i="1460" s="1"/>
  <c r="A481" i="1460" s="1"/>
  <c r="A482" i="1460" s="1"/>
  <c r="A483" i="1460" s="1"/>
  <c r="A484" i="1460" s="1"/>
  <c r="A485" i="1460" s="1"/>
  <c r="A486" i="1460" s="1"/>
  <c r="A487" i="1460" s="1"/>
  <c r="A488" i="1460" s="1"/>
  <c r="A489" i="1460" s="1"/>
  <c r="A490" i="1460" s="1"/>
  <c r="A491" i="1460" s="1"/>
  <c r="A492" i="1460" s="1"/>
  <c r="A493" i="1460" s="1"/>
  <c r="A494" i="1460" s="1"/>
  <c r="A495" i="1460" s="1"/>
  <c r="A496" i="1460" s="1"/>
  <c r="A497" i="1460" s="1"/>
  <c r="A498" i="1460" s="1"/>
  <c r="A499" i="1460" s="1"/>
  <c r="A500" i="1460" s="1"/>
  <c r="A501" i="1460" s="1"/>
  <c r="A502" i="1460" s="1"/>
  <c r="A503" i="1460" s="1"/>
  <c r="A504" i="1460" s="1"/>
  <c r="A505" i="1460" s="1"/>
  <c r="A506" i="1460" s="1"/>
  <c r="A507" i="1460" s="1"/>
  <c r="A508" i="1460" s="1"/>
  <c r="A509" i="1460" s="1"/>
  <c r="A510" i="1460" s="1"/>
  <c r="A511" i="1460" s="1"/>
  <c r="A512" i="1460" s="1"/>
  <c r="A513" i="1460" s="1"/>
  <c r="A514" i="1460" s="1"/>
  <c r="A515" i="1460" s="1"/>
  <c r="A516" i="1460" s="1"/>
  <c r="A517" i="1460" s="1"/>
  <c r="A518" i="1460" s="1"/>
  <c r="A519" i="1460" s="1"/>
  <c r="A520" i="1460" s="1"/>
  <c r="A521" i="1460" s="1"/>
  <c r="A522" i="1460" s="1"/>
  <c r="A523" i="1460" s="1"/>
  <c r="A524" i="1460" s="1"/>
  <c r="A525" i="1460" s="1"/>
  <c r="A526" i="1460" s="1"/>
  <c r="A527" i="1460" s="1"/>
  <c r="A528" i="1460" s="1"/>
  <c r="A529" i="1460" s="1"/>
  <c r="A530" i="1460" s="1"/>
  <c r="A531" i="1460" s="1"/>
  <c r="A532" i="1460" s="1"/>
  <c r="A533" i="1460" s="1"/>
  <c r="A534" i="1460" s="1"/>
  <c r="A535" i="1460" s="1"/>
  <c r="A536" i="1460" s="1"/>
  <c r="A537" i="1460" s="1"/>
  <c r="A538" i="1460" s="1"/>
  <c r="A539" i="1460" s="1"/>
  <c r="A540" i="1460" s="1"/>
  <c r="A541" i="1460" s="1"/>
  <c r="A542" i="1460" s="1"/>
  <c r="A543" i="1460" s="1"/>
  <c r="A544" i="1460" s="1"/>
  <c r="A545" i="1460" s="1"/>
  <c r="A546" i="1460" s="1"/>
  <c r="A547" i="1460" s="1"/>
  <c r="A548" i="1460" s="1"/>
  <c r="A549" i="1460" s="1"/>
  <c r="A550" i="1460" s="1"/>
  <c r="A551" i="1460" s="1"/>
  <c r="A552" i="1460" s="1"/>
  <c r="A553" i="1460" s="1"/>
  <c r="A554" i="1460" s="1"/>
  <c r="A555" i="1460" s="1"/>
  <c r="A556" i="1460" s="1"/>
  <c r="A557" i="1460" s="1"/>
  <c r="A558" i="1460" s="1"/>
  <c r="A559" i="1460" s="1"/>
  <c r="A560" i="1460" s="1"/>
  <c r="J40" i="1263"/>
  <c r="K37" i="1263"/>
  <c r="K44" i="1263"/>
  <c r="F30" i="1262"/>
  <c r="J41" i="1263"/>
  <c r="I41" i="1263"/>
  <c r="K42" i="1263"/>
  <c r="F24" i="1262"/>
  <c r="I37" i="1263"/>
  <c r="I24" i="1262"/>
  <c r="G24" i="1262"/>
  <c r="I30" i="1262"/>
  <c r="J37" i="1263"/>
  <c r="K40" i="1263"/>
  <c r="I43" i="1263"/>
  <c r="J38" i="1263"/>
  <c r="I38" i="1263"/>
  <c r="M28" i="1262"/>
  <c r="J36" i="1263"/>
  <c r="K39" i="1263"/>
  <c r="K38" i="1263"/>
  <c r="H10" i="1262"/>
  <c r="I28" i="1262"/>
  <c r="K43" i="1263"/>
  <c r="J10" i="1262"/>
  <c r="I40" i="1263"/>
  <c r="K30" i="1262"/>
  <c r="J39" i="1263"/>
  <c r="J43" i="1263"/>
  <c r="G30" i="1262"/>
  <c r="M30" i="1262"/>
  <c r="K28" i="1262"/>
  <c r="G28" i="1262"/>
  <c r="I39" i="1263"/>
  <c r="M24" i="1262"/>
  <c r="F28" i="1262"/>
  <c r="I42" i="1263"/>
  <c r="K41" i="1263"/>
  <c r="J44" i="1263"/>
  <c r="K36" i="1263"/>
  <c r="J42" i="1263"/>
  <c r="I36" i="1263"/>
  <c r="F10" i="1262"/>
  <c r="I44" i="1263"/>
  <c r="K24" i="1262"/>
  <c r="P44" i="1263" l="1"/>
  <c r="N44" i="1263"/>
  <c r="H44" i="1263"/>
  <c r="O44" i="1263"/>
  <c r="N28" i="1262"/>
  <c r="H30" i="1262"/>
  <c r="L30" i="1262"/>
  <c r="N30" i="1262"/>
  <c r="H28" i="1262"/>
  <c r="J30" i="1262"/>
  <c r="J28" i="1262"/>
  <c r="L28" i="1262"/>
  <c r="F11" i="1262"/>
  <c r="E25" i="1262"/>
  <c r="E26" i="1262"/>
  <c r="E27" i="1262"/>
  <c r="I29" i="1262"/>
  <c r="F29" i="1262"/>
  <c r="G29" i="1262"/>
  <c r="K26" i="1262"/>
  <c r="G25" i="1262"/>
  <c r="G27" i="1262"/>
  <c r="K27" i="1262"/>
  <c r="M29" i="1262"/>
  <c r="I25" i="1262"/>
  <c r="K29" i="1262"/>
  <c r="F27" i="1262"/>
  <c r="M25" i="1262"/>
  <c r="M27" i="1262"/>
  <c r="I27" i="1262"/>
  <c r="H29" i="1262" l="1"/>
  <c r="J29" i="1262"/>
  <c r="L29" i="1262"/>
  <c r="N29" i="1262"/>
  <c r="M44" i="1263"/>
  <c r="L44" i="1263"/>
  <c r="K16" i="1263"/>
  <c r="M16" i="1263"/>
  <c r="P43" i="1263"/>
  <c r="L16" i="1263"/>
  <c r="O43" i="1263"/>
  <c r="H43" i="1263"/>
  <c r="M43" i="1263" s="1"/>
  <c r="N43" i="1263"/>
  <c r="J27" i="1262"/>
  <c r="L27" i="1262"/>
  <c r="N27" i="1262"/>
  <c r="H27" i="1262"/>
  <c r="G26" i="1262"/>
  <c r="K25" i="1262"/>
  <c r="I26" i="1262"/>
  <c r="M26" i="1262"/>
  <c r="F25" i="1262"/>
  <c r="F26" i="1262"/>
  <c r="M33" i="1262" l="1"/>
  <c r="F33" i="1262"/>
  <c r="L43" i="1263"/>
  <c r="M15" i="1263" l="1"/>
  <c r="P42" i="1263"/>
  <c r="L15" i="1263"/>
  <c r="O42" i="1263"/>
  <c r="K15" i="1263"/>
  <c r="H42" i="1263"/>
  <c r="M42" i="1263" s="1"/>
  <c r="N42" i="1263"/>
  <c r="K33" i="1262" l="1"/>
  <c r="I33" i="1262"/>
  <c r="G33" i="1262"/>
  <c r="L42" i="1263"/>
  <c r="N24" i="1262"/>
  <c r="N26" i="1262" l="1"/>
  <c r="N25" i="1262"/>
  <c r="L24" i="1262" l="1"/>
  <c r="J26" i="1262"/>
  <c r="L26" i="1262"/>
  <c r="H26" i="1262"/>
  <c r="H25" i="1262"/>
  <c r="L25" i="1262"/>
  <c r="J25" i="1262"/>
  <c r="H24" i="1262"/>
  <c r="J24" i="1262"/>
  <c r="K14" i="1263" l="1"/>
  <c r="P41" i="1263"/>
  <c r="M14" i="1263"/>
  <c r="L14" i="1263"/>
  <c r="O41" i="1263"/>
  <c r="H41" i="1263"/>
  <c r="M41" i="1263" s="1"/>
  <c r="N41" i="1263"/>
  <c r="L41" i="1263" l="1"/>
  <c r="K13" i="1263"/>
  <c r="M13" i="1263"/>
  <c r="M12" i="1263"/>
  <c r="M11" i="1263"/>
  <c r="L13" i="1263"/>
  <c r="L12" i="1263"/>
  <c r="L11" i="1263"/>
  <c r="K11" i="1263"/>
  <c r="K12" i="1263"/>
  <c r="J11" i="1262" l="1"/>
  <c r="I11" i="1262"/>
  <c r="N39" i="1263" l="1"/>
  <c r="P40" i="1263"/>
  <c r="G56" i="1263"/>
  <c r="O40" i="1263"/>
  <c r="O38" i="1263"/>
  <c r="N40" i="1263"/>
  <c r="O39" i="1263"/>
  <c r="P38" i="1263"/>
  <c r="P37" i="1263"/>
  <c r="O37" i="1263"/>
  <c r="N38" i="1263"/>
  <c r="N36" i="1263"/>
  <c r="H39" i="1263"/>
  <c r="M39" i="1263" s="1"/>
  <c r="H38" i="1263"/>
  <c r="M38" i="1263" s="1"/>
  <c r="H37" i="1263"/>
  <c r="M37" i="1263" s="1"/>
  <c r="K56" i="1263"/>
  <c r="P39" i="1263"/>
  <c r="N37" i="1263"/>
  <c r="H40" i="1263"/>
  <c r="J56" i="1263"/>
  <c r="H30" i="1263"/>
  <c r="I30" i="1263"/>
  <c r="J30" i="1263"/>
  <c r="L10" i="1263"/>
  <c r="G30" i="1263"/>
  <c r="M10" i="1262"/>
  <c r="N11" i="1262"/>
  <c r="I56" i="1263"/>
  <c r="K10" i="1263"/>
  <c r="H36" i="1263"/>
  <c r="P36" i="1263"/>
  <c r="O36" i="1263"/>
  <c r="M10" i="1263"/>
  <c r="O11" i="1262"/>
  <c r="N10" i="1262"/>
  <c r="H11" i="1262"/>
  <c r="G10" i="1262"/>
  <c r="L10" i="1262" s="1"/>
  <c r="O10" i="1262"/>
  <c r="L37" i="1263" l="1"/>
  <c r="L39" i="1263"/>
  <c r="L38" i="1263"/>
  <c r="L40" i="1263"/>
  <c r="M40" i="1263"/>
  <c r="K10" i="1262"/>
  <c r="H56" i="1263"/>
  <c r="M36" i="1263"/>
  <c r="L36" i="1263"/>
  <c r="G11" i="1262"/>
  <c r="M11" i="1262"/>
  <c r="F1240" i="1147"/>
  <c r="F1288" i="1147"/>
  <c r="E927" i="1147"/>
  <c r="F899" i="1147"/>
  <c r="E276" i="1147"/>
  <c r="D1332" i="1147"/>
  <c r="E1332" i="1147"/>
  <c r="F1332" i="1147"/>
  <c r="G1332" i="1147"/>
  <c r="H1332" i="1147"/>
  <c r="I1332" i="1147"/>
  <c r="J1332" i="1147"/>
  <c r="D1333" i="1147"/>
  <c r="E1333" i="1147"/>
  <c r="F1333" i="1147"/>
  <c r="G1333" i="1147"/>
  <c r="H1333" i="1147"/>
  <c r="I1333" i="1147"/>
  <c r="J1333" i="1147"/>
  <c r="D1334" i="1147"/>
  <c r="E1334" i="1147"/>
  <c r="F1334" i="1147"/>
  <c r="G1334" i="1147"/>
  <c r="H1334" i="1147"/>
  <c r="I1334" i="1147"/>
  <c r="J1334" i="1147"/>
  <c r="D1314" i="1147"/>
  <c r="E1314" i="1147"/>
  <c r="F1314" i="1147"/>
  <c r="G1314" i="1147"/>
  <c r="H1314" i="1147"/>
  <c r="I1314" i="1147"/>
  <c r="J1314" i="1147"/>
  <c r="D1315" i="1147"/>
  <c r="E1315" i="1147"/>
  <c r="F1315" i="1147"/>
  <c r="G1315" i="1147"/>
  <c r="H1315" i="1147"/>
  <c r="I1315" i="1147"/>
  <c r="J1315" i="1147"/>
  <c r="D1316" i="1147"/>
  <c r="E1316" i="1147"/>
  <c r="F1316" i="1147"/>
  <c r="G1316" i="1147"/>
  <c r="H1316" i="1147"/>
  <c r="I1316" i="1147"/>
  <c r="J1316" i="1147"/>
  <c r="D1317" i="1147"/>
  <c r="E1317" i="1147"/>
  <c r="F1317" i="1147"/>
  <c r="G1317" i="1147"/>
  <c r="H1317" i="1147"/>
  <c r="I1317" i="1147"/>
  <c r="J1317" i="1147"/>
  <c r="D1318" i="1147"/>
  <c r="E1318" i="1147"/>
  <c r="F1318" i="1147"/>
  <c r="G1318" i="1147"/>
  <c r="H1318" i="1147"/>
  <c r="I1318" i="1147"/>
  <c r="J1318" i="1147"/>
  <c r="D1319" i="1147"/>
  <c r="E1319" i="1147"/>
  <c r="F1319" i="1147"/>
  <c r="G1319" i="1147"/>
  <c r="H1319" i="1147"/>
  <c r="I1319" i="1147"/>
  <c r="J1319" i="1147"/>
  <c r="D1320" i="1147"/>
  <c r="E1320" i="1147"/>
  <c r="F1320" i="1147"/>
  <c r="G1320" i="1147"/>
  <c r="H1320" i="1147"/>
  <c r="I1320" i="1147"/>
  <c r="J1320" i="1147"/>
  <c r="D1321" i="1147"/>
  <c r="E1321" i="1147"/>
  <c r="F1321" i="1147"/>
  <c r="G1321" i="1147"/>
  <c r="H1321" i="1147"/>
  <c r="I1321" i="1147"/>
  <c r="J1321" i="1147"/>
  <c r="D1322" i="1147"/>
  <c r="E1322" i="1147"/>
  <c r="F1322" i="1147"/>
  <c r="G1322" i="1147"/>
  <c r="H1322" i="1147"/>
  <c r="I1322" i="1147"/>
  <c r="J1322" i="1147"/>
  <c r="D1323" i="1147"/>
  <c r="E1323" i="1147"/>
  <c r="F1323" i="1147"/>
  <c r="G1323" i="1147"/>
  <c r="H1323" i="1147"/>
  <c r="I1323" i="1147"/>
  <c r="J1323" i="1147"/>
  <c r="D1324" i="1147"/>
  <c r="E1324" i="1147"/>
  <c r="F1324" i="1147"/>
  <c r="G1324" i="1147"/>
  <c r="H1324" i="1147"/>
  <c r="I1324" i="1147"/>
  <c r="J1324" i="1147"/>
  <c r="D1325" i="1147"/>
  <c r="E1325" i="1147"/>
  <c r="F1325" i="1147"/>
  <c r="G1325" i="1147"/>
  <c r="H1325" i="1147"/>
  <c r="I1325" i="1147"/>
  <c r="J1325" i="1147"/>
  <c r="D1326" i="1147"/>
  <c r="E1326" i="1147"/>
  <c r="F1326" i="1147"/>
  <c r="G1326" i="1147"/>
  <c r="H1326" i="1147"/>
  <c r="I1326" i="1147"/>
  <c r="J1326" i="1147"/>
  <c r="D1327" i="1147"/>
  <c r="E1327" i="1147"/>
  <c r="F1327" i="1147"/>
  <c r="G1327" i="1147"/>
  <c r="H1327" i="1147"/>
  <c r="I1327" i="1147"/>
  <c r="J1327" i="1147"/>
  <c r="D1328" i="1147"/>
  <c r="E1328" i="1147"/>
  <c r="F1328" i="1147"/>
  <c r="G1328" i="1147"/>
  <c r="H1328" i="1147"/>
  <c r="I1328" i="1147"/>
  <c r="J1328" i="1147"/>
  <c r="D1329" i="1147"/>
  <c r="E1329" i="1147"/>
  <c r="F1329" i="1147"/>
  <c r="G1329" i="1147"/>
  <c r="H1329" i="1147"/>
  <c r="I1329" i="1147"/>
  <c r="J1329" i="1147"/>
  <c r="D1330" i="1147"/>
  <c r="E1330" i="1147"/>
  <c r="F1330" i="1147"/>
  <c r="G1330" i="1147"/>
  <c r="H1330" i="1147"/>
  <c r="I1330" i="1147"/>
  <c r="J1330" i="1147"/>
  <c r="D1331" i="1147"/>
  <c r="E1331" i="1147"/>
  <c r="F1331" i="1147"/>
  <c r="G1331" i="1147"/>
  <c r="H1331" i="1147"/>
  <c r="I1331" i="1147"/>
  <c r="J1331" i="1147"/>
  <c r="D8" i="1147"/>
  <c r="E8" i="1147"/>
  <c r="F8" i="1147"/>
  <c r="G8" i="1147"/>
  <c r="H8" i="1147"/>
  <c r="I8" i="1147"/>
  <c r="J8" i="1147"/>
  <c r="D9" i="1147"/>
  <c r="E9" i="1147"/>
  <c r="F9" i="1147"/>
  <c r="G9" i="1147"/>
  <c r="H9" i="1147"/>
  <c r="I9" i="1147"/>
  <c r="J9" i="1147"/>
  <c r="D10" i="1147"/>
  <c r="E10" i="1147"/>
  <c r="F10" i="1147"/>
  <c r="G10" i="1147"/>
  <c r="H10" i="1147"/>
  <c r="I10" i="1147"/>
  <c r="J10" i="1147"/>
  <c r="D11" i="1147"/>
  <c r="E11" i="1147"/>
  <c r="F11" i="1147"/>
  <c r="G11" i="1147"/>
  <c r="H11" i="1147"/>
  <c r="I11" i="1147"/>
  <c r="J11" i="1147"/>
  <c r="D12" i="1147"/>
  <c r="E12" i="1147"/>
  <c r="F12" i="1147"/>
  <c r="G12" i="1147"/>
  <c r="H12" i="1147"/>
  <c r="I12" i="1147"/>
  <c r="J12" i="1147"/>
  <c r="D13" i="1147"/>
  <c r="E13" i="1147"/>
  <c r="F13" i="1147"/>
  <c r="G13" i="1147"/>
  <c r="H13" i="1147"/>
  <c r="I13" i="1147"/>
  <c r="J13" i="1147"/>
  <c r="D14" i="1147"/>
  <c r="E14" i="1147"/>
  <c r="F14" i="1147"/>
  <c r="G14" i="1147"/>
  <c r="H14" i="1147"/>
  <c r="I14" i="1147"/>
  <c r="J14" i="1147"/>
  <c r="D15" i="1147"/>
  <c r="E15" i="1147"/>
  <c r="F15" i="1147"/>
  <c r="G15" i="1147"/>
  <c r="H15" i="1147"/>
  <c r="I15" i="1147"/>
  <c r="J15" i="1147"/>
  <c r="D16" i="1147"/>
  <c r="E16" i="1147"/>
  <c r="F16" i="1147"/>
  <c r="G16" i="1147"/>
  <c r="H16" i="1147"/>
  <c r="I16" i="1147"/>
  <c r="J16" i="1147"/>
  <c r="D17" i="1147"/>
  <c r="E17" i="1147"/>
  <c r="F17" i="1147"/>
  <c r="G17" i="1147"/>
  <c r="H17" i="1147"/>
  <c r="I17" i="1147"/>
  <c r="J17" i="1147"/>
  <c r="D18" i="1147"/>
  <c r="E18" i="1147"/>
  <c r="F18" i="1147"/>
  <c r="G18" i="1147"/>
  <c r="H18" i="1147"/>
  <c r="I18" i="1147"/>
  <c r="J18" i="1147"/>
  <c r="D19" i="1147"/>
  <c r="E19" i="1147"/>
  <c r="F19" i="1147"/>
  <c r="G19" i="1147"/>
  <c r="H19" i="1147"/>
  <c r="I19" i="1147"/>
  <c r="J19" i="1147"/>
  <c r="D20" i="1147"/>
  <c r="E20" i="1147"/>
  <c r="F20" i="1147"/>
  <c r="G20" i="1147"/>
  <c r="H20" i="1147"/>
  <c r="I20" i="1147"/>
  <c r="J20" i="1147"/>
  <c r="D21" i="1147"/>
  <c r="E21" i="1147"/>
  <c r="F21" i="1147"/>
  <c r="G21" i="1147"/>
  <c r="H21" i="1147"/>
  <c r="I21" i="1147"/>
  <c r="J21" i="1147"/>
  <c r="D22" i="1147"/>
  <c r="E22" i="1147"/>
  <c r="F22" i="1147"/>
  <c r="G22" i="1147"/>
  <c r="H22" i="1147"/>
  <c r="I22" i="1147"/>
  <c r="J22" i="1147"/>
  <c r="D23" i="1147"/>
  <c r="E23" i="1147"/>
  <c r="F23" i="1147"/>
  <c r="G23" i="1147"/>
  <c r="H23" i="1147"/>
  <c r="I23" i="1147"/>
  <c r="J23" i="1147"/>
  <c r="D24" i="1147"/>
  <c r="E24" i="1147"/>
  <c r="F24" i="1147"/>
  <c r="G24" i="1147"/>
  <c r="H24" i="1147"/>
  <c r="I24" i="1147"/>
  <c r="J24" i="1147"/>
  <c r="D25" i="1147"/>
  <c r="E25" i="1147"/>
  <c r="F25" i="1147"/>
  <c r="G25" i="1147"/>
  <c r="H25" i="1147"/>
  <c r="I25" i="1147"/>
  <c r="J25" i="1147"/>
  <c r="D26" i="1147"/>
  <c r="E26" i="1147"/>
  <c r="F26" i="1147"/>
  <c r="G26" i="1147"/>
  <c r="H26" i="1147"/>
  <c r="I26" i="1147"/>
  <c r="J26" i="1147"/>
  <c r="D27" i="1147"/>
  <c r="E27" i="1147"/>
  <c r="F27" i="1147"/>
  <c r="G27" i="1147"/>
  <c r="H27" i="1147"/>
  <c r="I27" i="1147"/>
  <c r="J27" i="1147"/>
  <c r="D28" i="1147"/>
  <c r="E28" i="1147"/>
  <c r="F28" i="1147"/>
  <c r="G28" i="1147"/>
  <c r="H28" i="1147"/>
  <c r="I28" i="1147"/>
  <c r="J28" i="1147"/>
  <c r="D29" i="1147"/>
  <c r="E29" i="1147"/>
  <c r="F29" i="1147"/>
  <c r="G29" i="1147"/>
  <c r="H29" i="1147"/>
  <c r="I29" i="1147"/>
  <c r="J29" i="1147"/>
  <c r="D30" i="1147"/>
  <c r="E30" i="1147"/>
  <c r="F30" i="1147"/>
  <c r="G30" i="1147"/>
  <c r="H30" i="1147"/>
  <c r="I30" i="1147"/>
  <c r="J30" i="1147"/>
  <c r="D31" i="1147"/>
  <c r="E31" i="1147"/>
  <c r="F31" i="1147"/>
  <c r="G31" i="1147"/>
  <c r="H31" i="1147"/>
  <c r="I31" i="1147"/>
  <c r="J31" i="1147"/>
  <c r="D32" i="1147"/>
  <c r="E32" i="1147"/>
  <c r="F32" i="1147"/>
  <c r="G32" i="1147"/>
  <c r="H32" i="1147"/>
  <c r="I32" i="1147"/>
  <c r="J32" i="1147"/>
  <c r="D33" i="1147"/>
  <c r="E33" i="1147"/>
  <c r="F33" i="1147"/>
  <c r="G33" i="1147"/>
  <c r="H33" i="1147"/>
  <c r="I33" i="1147"/>
  <c r="J33" i="1147"/>
  <c r="D34" i="1147"/>
  <c r="E34" i="1147"/>
  <c r="F34" i="1147"/>
  <c r="G34" i="1147"/>
  <c r="H34" i="1147"/>
  <c r="I34" i="1147"/>
  <c r="J34" i="1147"/>
  <c r="D35" i="1147"/>
  <c r="E35" i="1147"/>
  <c r="F35" i="1147"/>
  <c r="G35" i="1147"/>
  <c r="H35" i="1147"/>
  <c r="I35" i="1147"/>
  <c r="J35" i="1147"/>
  <c r="D36" i="1147"/>
  <c r="E36" i="1147"/>
  <c r="F36" i="1147"/>
  <c r="G36" i="1147"/>
  <c r="H36" i="1147"/>
  <c r="I36" i="1147"/>
  <c r="J36" i="1147"/>
  <c r="D37" i="1147"/>
  <c r="E37" i="1147"/>
  <c r="F37" i="1147"/>
  <c r="G37" i="1147"/>
  <c r="H37" i="1147"/>
  <c r="I37" i="1147"/>
  <c r="J37" i="1147"/>
  <c r="D38" i="1147"/>
  <c r="E38" i="1147"/>
  <c r="F38" i="1147"/>
  <c r="G38" i="1147"/>
  <c r="H38" i="1147"/>
  <c r="I38" i="1147"/>
  <c r="J38" i="1147"/>
  <c r="D39" i="1147"/>
  <c r="E39" i="1147"/>
  <c r="F39" i="1147"/>
  <c r="G39" i="1147"/>
  <c r="H39" i="1147"/>
  <c r="I39" i="1147"/>
  <c r="J39" i="1147"/>
  <c r="D40" i="1147"/>
  <c r="E40" i="1147"/>
  <c r="F40" i="1147"/>
  <c r="G40" i="1147"/>
  <c r="H40" i="1147"/>
  <c r="I40" i="1147"/>
  <c r="J40" i="1147"/>
  <c r="D41" i="1147"/>
  <c r="E41" i="1147"/>
  <c r="F41" i="1147"/>
  <c r="G41" i="1147"/>
  <c r="H41" i="1147"/>
  <c r="I41" i="1147"/>
  <c r="J41" i="1147"/>
  <c r="D42" i="1147"/>
  <c r="E42" i="1147"/>
  <c r="F42" i="1147"/>
  <c r="G42" i="1147"/>
  <c r="H42" i="1147"/>
  <c r="I42" i="1147"/>
  <c r="J42" i="1147"/>
  <c r="D43" i="1147"/>
  <c r="E43" i="1147"/>
  <c r="F43" i="1147"/>
  <c r="G43" i="1147"/>
  <c r="H43" i="1147"/>
  <c r="I43" i="1147"/>
  <c r="J43" i="1147"/>
  <c r="D44" i="1147"/>
  <c r="E44" i="1147"/>
  <c r="F44" i="1147"/>
  <c r="G44" i="1147"/>
  <c r="H44" i="1147"/>
  <c r="I44" i="1147"/>
  <c r="J44" i="1147"/>
  <c r="D45" i="1147"/>
  <c r="E45" i="1147"/>
  <c r="F45" i="1147"/>
  <c r="G45" i="1147"/>
  <c r="H45" i="1147"/>
  <c r="I45" i="1147"/>
  <c r="J45" i="1147"/>
  <c r="D46" i="1147"/>
  <c r="E46" i="1147"/>
  <c r="F46" i="1147"/>
  <c r="G46" i="1147"/>
  <c r="H46" i="1147"/>
  <c r="I46" i="1147"/>
  <c r="J46" i="1147"/>
  <c r="D47" i="1147"/>
  <c r="E47" i="1147"/>
  <c r="F47" i="1147"/>
  <c r="G47" i="1147"/>
  <c r="H47" i="1147"/>
  <c r="I47" i="1147"/>
  <c r="J47" i="1147"/>
  <c r="D48" i="1147"/>
  <c r="E48" i="1147"/>
  <c r="F48" i="1147"/>
  <c r="G48" i="1147"/>
  <c r="H48" i="1147"/>
  <c r="I48" i="1147"/>
  <c r="J48" i="1147"/>
  <c r="D49" i="1147"/>
  <c r="E49" i="1147"/>
  <c r="F49" i="1147"/>
  <c r="G49" i="1147"/>
  <c r="H49" i="1147"/>
  <c r="I49" i="1147"/>
  <c r="J49" i="1147"/>
  <c r="D50" i="1147"/>
  <c r="E50" i="1147"/>
  <c r="F50" i="1147"/>
  <c r="G50" i="1147"/>
  <c r="H50" i="1147"/>
  <c r="I50" i="1147"/>
  <c r="J50" i="1147"/>
  <c r="D51" i="1147"/>
  <c r="E51" i="1147"/>
  <c r="F51" i="1147"/>
  <c r="G51" i="1147"/>
  <c r="H51" i="1147"/>
  <c r="I51" i="1147"/>
  <c r="J51" i="1147"/>
  <c r="D52" i="1147"/>
  <c r="E52" i="1147"/>
  <c r="F52" i="1147"/>
  <c r="G52" i="1147"/>
  <c r="H52" i="1147"/>
  <c r="I52" i="1147"/>
  <c r="J52" i="1147"/>
  <c r="D53" i="1147"/>
  <c r="E53" i="1147"/>
  <c r="F53" i="1147"/>
  <c r="G53" i="1147"/>
  <c r="H53" i="1147"/>
  <c r="I53" i="1147"/>
  <c r="J53" i="1147"/>
  <c r="D54" i="1147"/>
  <c r="E54" i="1147"/>
  <c r="F54" i="1147"/>
  <c r="G54" i="1147"/>
  <c r="H54" i="1147"/>
  <c r="I54" i="1147"/>
  <c r="J54" i="1147"/>
  <c r="D55" i="1147"/>
  <c r="E55" i="1147"/>
  <c r="F55" i="1147"/>
  <c r="G55" i="1147"/>
  <c r="H55" i="1147"/>
  <c r="I55" i="1147"/>
  <c r="J55" i="1147"/>
  <c r="D56" i="1147"/>
  <c r="E56" i="1147"/>
  <c r="F56" i="1147"/>
  <c r="G56" i="1147"/>
  <c r="H56" i="1147"/>
  <c r="I56" i="1147"/>
  <c r="J56" i="1147"/>
  <c r="D57" i="1147"/>
  <c r="E57" i="1147"/>
  <c r="F57" i="1147"/>
  <c r="G57" i="1147"/>
  <c r="H57" i="1147"/>
  <c r="I57" i="1147"/>
  <c r="J57" i="1147"/>
  <c r="D58" i="1147"/>
  <c r="E58" i="1147"/>
  <c r="F58" i="1147"/>
  <c r="G58" i="1147"/>
  <c r="H58" i="1147"/>
  <c r="I58" i="1147"/>
  <c r="J58" i="1147"/>
  <c r="D59" i="1147"/>
  <c r="E59" i="1147"/>
  <c r="F59" i="1147"/>
  <c r="G59" i="1147"/>
  <c r="H59" i="1147"/>
  <c r="I59" i="1147"/>
  <c r="J59" i="1147"/>
  <c r="D60" i="1147"/>
  <c r="E60" i="1147"/>
  <c r="F60" i="1147"/>
  <c r="G60" i="1147"/>
  <c r="H60" i="1147"/>
  <c r="I60" i="1147"/>
  <c r="J60" i="1147"/>
  <c r="D61" i="1147"/>
  <c r="E61" i="1147"/>
  <c r="F61" i="1147"/>
  <c r="G61" i="1147"/>
  <c r="H61" i="1147"/>
  <c r="I61" i="1147"/>
  <c r="J61" i="1147"/>
  <c r="D62" i="1147"/>
  <c r="E62" i="1147"/>
  <c r="F62" i="1147"/>
  <c r="G62" i="1147"/>
  <c r="H62" i="1147"/>
  <c r="I62" i="1147"/>
  <c r="J62" i="1147"/>
  <c r="D63" i="1147"/>
  <c r="E63" i="1147"/>
  <c r="F63" i="1147"/>
  <c r="G63" i="1147"/>
  <c r="H63" i="1147"/>
  <c r="I63" i="1147"/>
  <c r="J63" i="1147"/>
  <c r="D64" i="1147"/>
  <c r="E64" i="1147"/>
  <c r="F64" i="1147"/>
  <c r="G64" i="1147"/>
  <c r="H64" i="1147"/>
  <c r="I64" i="1147"/>
  <c r="J64" i="1147"/>
  <c r="D65" i="1147"/>
  <c r="E65" i="1147"/>
  <c r="F65" i="1147"/>
  <c r="G65" i="1147"/>
  <c r="H65" i="1147"/>
  <c r="I65" i="1147"/>
  <c r="J65" i="1147"/>
  <c r="D66" i="1147"/>
  <c r="E66" i="1147"/>
  <c r="F66" i="1147"/>
  <c r="G66" i="1147"/>
  <c r="H66" i="1147"/>
  <c r="I66" i="1147"/>
  <c r="J66" i="1147"/>
  <c r="D67" i="1147"/>
  <c r="E67" i="1147"/>
  <c r="F67" i="1147"/>
  <c r="G67" i="1147"/>
  <c r="H67" i="1147"/>
  <c r="I67" i="1147"/>
  <c r="J67" i="1147"/>
  <c r="D68" i="1147"/>
  <c r="E68" i="1147"/>
  <c r="F68" i="1147"/>
  <c r="G68" i="1147"/>
  <c r="H68" i="1147"/>
  <c r="I68" i="1147"/>
  <c r="J68" i="1147"/>
  <c r="D69" i="1147"/>
  <c r="E69" i="1147"/>
  <c r="F69" i="1147"/>
  <c r="G69" i="1147"/>
  <c r="H69" i="1147"/>
  <c r="I69" i="1147"/>
  <c r="J69" i="1147"/>
  <c r="D70" i="1147"/>
  <c r="E70" i="1147"/>
  <c r="F70" i="1147"/>
  <c r="G70" i="1147"/>
  <c r="H70" i="1147"/>
  <c r="I70" i="1147"/>
  <c r="J70" i="1147"/>
  <c r="D71" i="1147"/>
  <c r="E71" i="1147"/>
  <c r="F71" i="1147"/>
  <c r="G71" i="1147"/>
  <c r="H71" i="1147"/>
  <c r="I71" i="1147"/>
  <c r="J71" i="1147"/>
  <c r="D72" i="1147"/>
  <c r="E72" i="1147"/>
  <c r="F72" i="1147"/>
  <c r="G72" i="1147"/>
  <c r="H72" i="1147"/>
  <c r="I72" i="1147"/>
  <c r="J72" i="1147"/>
  <c r="D73" i="1147"/>
  <c r="E73" i="1147"/>
  <c r="F73" i="1147"/>
  <c r="G73" i="1147"/>
  <c r="H73" i="1147"/>
  <c r="I73" i="1147"/>
  <c r="J73" i="1147"/>
  <c r="D74" i="1147"/>
  <c r="E74" i="1147"/>
  <c r="F74" i="1147"/>
  <c r="G74" i="1147"/>
  <c r="H74" i="1147"/>
  <c r="I74" i="1147"/>
  <c r="J74" i="1147"/>
  <c r="D75" i="1147"/>
  <c r="E75" i="1147"/>
  <c r="F75" i="1147"/>
  <c r="G75" i="1147"/>
  <c r="H75" i="1147"/>
  <c r="I75" i="1147"/>
  <c r="J75" i="1147"/>
  <c r="D76" i="1147"/>
  <c r="E76" i="1147"/>
  <c r="F76" i="1147"/>
  <c r="G76" i="1147"/>
  <c r="H76" i="1147"/>
  <c r="I76" i="1147"/>
  <c r="J76" i="1147"/>
  <c r="D77" i="1147"/>
  <c r="E77" i="1147"/>
  <c r="F77" i="1147"/>
  <c r="G77" i="1147"/>
  <c r="H77" i="1147"/>
  <c r="I77" i="1147"/>
  <c r="J77" i="1147"/>
  <c r="D78" i="1147"/>
  <c r="E78" i="1147"/>
  <c r="F78" i="1147"/>
  <c r="G78" i="1147"/>
  <c r="H78" i="1147"/>
  <c r="I78" i="1147"/>
  <c r="J78" i="1147"/>
  <c r="D79" i="1147"/>
  <c r="E79" i="1147"/>
  <c r="F79" i="1147"/>
  <c r="G79" i="1147"/>
  <c r="H79" i="1147"/>
  <c r="I79" i="1147"/>
  <c r="J79" i="1147"/>
  <c r="D80" i="1147"/>
  <c r="E80" i="1147"/>
  <c r="F80" i="1147"/>
  <c r="G80" i="1147"/>
  <c r="H80" i="1147"/>
  <c r="I80" i="1147"/>
  <c r="J80" i="1147"/>
  <c r="D81" i="1147"/>
  <c r="E81" i="1147"/>
  <c r="F81" i="1147"/>
  <c r="G81" i="1147"/>
  <c r="H81" i="1147"/>
  <c r="I81" i="1147"/>
  <c r="J81" i="1147"/>
  <c r="D82" i="1147"/>
  <c r="E82" i="1147"/>
  <c r="F82" i="1147"/>
  <c r="G82" i="1147"/>
  <c r="H82" i="1147"/>
  <c r="I82" i="1147"/>
  <c r="J82" i="1147"/>
  <c r="D83" i="1147"/>
  <c r="E83" i="1147"/>
  <c r="F83" i="1147"/>
  <c r="G83" i="1147"/>
  <c r="H83" i="1147"/>
  <c r="I83" i="1147"/>
  <c r="J83" i="1147"/>
  <c r="D84" i="1147"/>
  <c r="E84" i="1147"/>
  <c r="F84" i="1147"/>
  <c r="G84" i="1147"/>
  <c r="H84" i="1147"/>
  <c r="I84" i="1147"/>
  <c r="J84" i="1147"/>
  <c r="D85" i="1147"/>
  <c r="E85" i="1147"/>
  <c r="F85" i="1147"/>
  <c r="G85" i="1147"/>
  <c r="H85" i="1147"/>
  <c r="I85" i="1147"/>
  <c r="J85" i="1147"/>
  <c r="D86" i="1147"/>
  <c r="E86" i="1147"/>
  <c r="F86" i="1147"/>
  <c r="G86" i="1147"/>
  <c r="H86" i="1147"/>
  <c r="I86" i="1147"/>
  <c r="J86" i="1147"/>
  <c r="D87" i="1147"/>
  <c r="E87" i="1147"/>
  <c r="F87" i="1147"/>
  <c r="G87" i="1147"/>
  <c r="H87" i="1147"/>
  <c r="I87" i="1147"/>
  <c r="J87" i="1147"/>
  <c r="D88" i="1147"/>
  <c r="E88" i="1147"/>
  <c r="F88" i="1147"/>
  <c r="G88" i="1147"/>
  <c r="H88" i="1147"/>
  <c r="I88" i="1147"/>
  <c r="J88" i="1147"/>
  <c r="D89" i="1147"/>
  <c r="E89" i="1147"/>
  <c r="F89" i="1147"/>
  <c r="G89" i="1147"/>
  <c r="H89" i="1147"/>
  <c r="I89" i="1147"/>
  <c r="J89" i="1147"/>
  <c r="D90" i="1147"/>
  <c r="E90" i="1147"/>
  <c r="F90" i="1147"/>
  <c r="G90" i="1147"/>
  <c r="H90" i="1147"/>
  <c r="I90" i="1147"/>
  <c r="J90" i="1147"/>
  <c r="D91" i="1147"/>
  <c r="E91" i="1147"/>
  <c r="F91" i="1147"/>
  <c r="G91" i="1147"/>
  <c r="H91" i="1147"/>
  <c r="I91" i="1147"/>
  <c r="J91" i="1147"/>
  <c r="D92" i="1147"/>
  <c r="E92" i="1147"/>
  <c r="F92" i="1147"/>
  <c r="G92" i="1147"/>
  <c r="H92" i="1147"/>
  <c r="I92" i="1147"/>
  <c r="J92" i="1147"/>
  <c r="D93" i="1147"/>
  <c r="E93" i="1147"/>
  <c r="F93" i="1147"/>
  <c r="G93" i="1147"/>
  <c r="H93" i="1147"/>
  <c r="I93" i="1147"/>
  <c r="J93" i="1147"/>
  <c r="D94" i="1147"/>
  <c r="E94" i="1147"/>
  <c r="F94" i="1147"/>
  <c r="G94" i="1147"/>
  <c r="H94" i="1147"/>
  <c r="I94" i="1147"/>
  <c r="J94" i="1147"/>
  <c r="D95" i="1147"/>
  <c r="E95" i="1147"/>
  <c r="F95" i="1147"/>
  <c r="G95" i="1147"/>
  <c r="H95" i="1147"/>
  <c r="I95" i="1147"/>
  <c r="J95" i="1147"/>
  <c r="D96" i="1147"/>
  <c r="E96" i="1147"/>
  <c r="F96" i="1147"/>
  <c r="G96" i="1147"/>
  <c r="H96" i="1147"/>
  <c r="I96" i="1147"/>
  <c r="J96" i="1147"/>
  <c r="D97" i="1147"/>
  <c r="E97" i="1147"/>
  <c r="F97" i="1147"/>
  <c r="G97" i="1147"/>
  <c r="H97" i="1147"/>
  <c r="I97" i="1147"/>
  <c r="J97" i="1147"/>
  <c r="D98" i="1147"/>
  <c r="E98" i="1147"/>
  <c r="F98" i="1147"/>
  <c r="G98" i="1147"/>
  <c r="H98" i="1147"/>
  <c r="I98" i="1147"/>
  <c r="J98" i="1147"/>
  <c r="D99" i="1147"/>
  <c r="E99" i="1147"/>
  <c r="F99" i="1147"/>
  <c r="G99" i="1147"/>
  <c r="H99" i="1147"/>
  <c r="I99" i="1147"/>
  <c r="J99" i="1147"/>
  <c r="D100" i="1147"/>
  <c r="E100" i="1147"/>
  <c r="F100" i="1147"/>
  <c r="G100" i="1147"/>
  <c r="H100" i="1147"/>
  <c r="I100" i="1147"/>
  <c r="J100" i="1147"/>
  <c r="D101" i="1147"/>
  <c r="E101" i="1147"/>
  <c r="F101" i="1147"/>
  <c r="G101" i="1147"/>
  <c r="H101" i="1147"/>
  <c r="I101" i="1147"/>
  <c r="J101" i="1147"/>
  <c r="D102" i="1147"/>
  <c r="E102" i="1147"/>
  <c r="F102" i="1147"/>
  <c r="G102" i="1147"/>
  <c r="H102" i="1147"/>
  <c r="I102" i="1147"/>
  <c r="J102" i="1147"/>
  <c r="D103" i="1147"/>
  <c r="E103" i="1147"/>
  <c r="F103" i="1147"/>
  <c r="G103" i="1147"/>
  <c r="H103" i="1147"/>
  <c r="I103" i="1147"/>
  <c r="J103" i="1147"/>
  <c r="D104" i="1147"/>
  <c r="E104" i="1147"/>
  <c r="F104" i="1147"/>
  <c r="G104" i="1147"/>
  <c r="H104" i="1147"/>
  <c r="I104" i="1147"/>
  <c r="J104" i="1147"/>
  <c r="D105" i="1147"/>
  <c r="E105" i="1147"/>
  <c r="F105" i="1147"/>
  <c r="G105" i="1147"/>
  <c r="H105" i="1147"/>
  <c r="I105" i="1147"/>
  <c r="J105" i="1147"/>
  <c r="D106" i="1147"/>
  <c r="E106" i="1147"/>
  <c r="F106" i="1147"/>
  <c r="G106" i="1147"/>
  <c r="H106" i="1147"/>
  <c r="I106" i="1147"/>
  <c r="J106" i="1147"/>
  <c r="D107" i="1147"/>
  <c r="E107" i="1147"/>
  <c r="F107" i="1147"/>
  <c r="G107" i="1147"/>
  <c r="H107" i="1147"/>
  <c r="I107" i="1147"/>
  <c r="J107" i="1147"/>
  <c r="D108" i="1147"/>
  <c r="E108" i="1147"/>
  <c r="F108" i="1147"/>
  <c r="G108" i="1147"/>
  <c r="H108" i="1147"/>
  <c r="I108" i="1147"/>
  <c r="J108" i="1147"/>
  <c r="D109" i="1147"/>
  <c r="E109" i="1147"/>
  <c r="F109" i="1147"/>
  <c r="G109" i="1147"/>
  <c r="H109" i="1147"/>
  <c r="I109" i="1147"/>
  <c r="J109" i="1147"/>
  <c r="D110" i="1147"/>
  <c r="E110" i="1147"/>
  <c r="F110" i="1147"/>
  <c r="G110" i="1147"/>
  <c r="H110" i="1147"/>
  <c r="I110" i="1147"/>
  <c r="J110" i="1147"/>
  <c r="D111" i="1147"/>
  <c r="E111" i="1147"/>
  <c r="F111" i="1147"/>
  <c r="G111" i="1147"/>
  <c r="H111" i="1147"/>
  <c r="I111" i="1147"/>
  <c r="J111" i="1147"/>
  <c r="D112" i="1147"/>
  <c r="E112" i="1147"/>
  <c r="F112" i="1147"/>
  <c r="G112" i="1147"/>
  <c r="H112" i="1147"/>
  <c r="I112" i="1147"/>
  <c r="J112" i="1147"/>
  <c r="D113" i="1147"/>
  <c r="E113" i="1147"/>
  <c r="F113" i="1147"/>
  <c r="G113" i="1147"/>
  <c r="H113" i="1147"/>
  <c r="I113" i="1147"/>
  <c r="J113" i="1147"/>
  <c r="D114" i="1147"/>
  <c r="E114" i="1147"/>
  <c r="F114" i="1147"/>
  <c r="G114" i="1147"/>
  <c r="H114" i="1147"/>
  <c r="I114" i="1147"/>
  <c r="J114" i="1147"/>
  <c r="D115" i="1147"/>
  <c r="E115" i="1147"/>
  <c r="F115" i="1147"/>
  <c r="G115" i="1147"/>
  <c r="H115" i="1147"/>
  <c r="I115" i="1147"/>
  <c r="J115" i="1147"/>
  <c r="D116" i="1147"/>
  <c r="E116" i="1147"/>
  <c r="F116" i="1147"/>
  <c r="G116" i="1147"/>
  <c r="H116" i="1147"/>
  <c r="I116" i="1147"/>
  <c r="J116" i="1147"/>
  <c r="D117" i="1147"/>
  <c r="E117" i="1147"/>
  <c r="F117" i="1147"/>
  <c r="G117" i="1147"/>
  <c r="H117" i="1147"/>
  <c r="I117" i="1147"/>
  <c r="J117" i="1147"/>
  <c r="D118" i="1147"/>
  <c r="E118" i="1147"/>
  <c r="F118" i="1147"/>
  <c r="G118" i="1147"/>
  <c r="H118" i="1147"/>
  <c r="I118" i="1147"/>
  <c r="J118" i="1147"/>
  <c r="D119" i="1147"/>
  <c r="E119" i="1147"/>
  <c r="F119" i="1147"/>
  <c r="G119" i="1147"/>
  <c r="H119" i="1147"/>
  <c r="I119" i="1147"/>
  <c r="J119" i="1147"/>
  <c r="D120" i="1147"/>
  <c r="E120" i="1147"/>
  <c r="F120" i="1147"/>
  <c r="G120" i="1147"/>
  <c r="H120" i="1147"/>
  <c r="I120" i="1147"/>
  <c r="J120" i="1147"/>
  <c r="D121" i="1147"/>
  <c r="E121" i="1147"/>
  <c r="F121" i="1147"/>
  <c r="G121" i="1147"/>
  <c r="H121" i="1147"/>
  <c r="I121" i="1147"/>
  <c r="J121" i="1147"/>
  <c r="D122" i="1147"/>
  <c r="E122" i="1147"/>
  <c r="F122" i="1147"/>
  <c r="G122" i="1147"/>
  <c r="H122" i="1147"/>
  <c r="I122" i="1147"/>
  <c r="J122" i="1147"/>
  <c r="D123" i="1147"/>
  <c r="E123" i="1147"/>
  <c r="F123" i="1147"/>
  <c r="G123" i="1147"/>
  <c r="H123" i="1147"/>
  <c r="I123" i="1147"/>
  <c r="J123" i="1147"/>
  <c r="D124" i="1147"/>
  <c r="E124" i="1147"/>
  <c r="F124" i="1147"/>
  <c r="G124" i="1147"/>
  <c r="H124" i="1147"/>
  <c r="I124" i="1147"/>
  <c r="J124" i="1147"/>
  <c r="D125" i="1147"/>
  <c r="E125" i="1147"/>
  <c r="F125" i="1147"/>
  <c r="G125" i="1147"/>
  <c r="H125" i="1147"/>
  <c r="I125" i="1147"/>
  <c r="J125" i="1147"/>
  <c r="D126" i="1147"/>
  <c r="E126" i="1147"/>
  <c r="F126" i="1147"/>
  <c r="G126" i="1147"/>
  <c r="H126" i="1147"/>
  <c r="I126" i="1147"/>
  <c r="J126" i="1147"/>
  <c r="D127" i="1147"/>
  <c r="E127" i="1147"/>
  <c r="F127" i="1147"/>
  <c r="G127" i="1147"/>
  <c r="H127" i="1147"/>
  <c r="I127" i="1147"/>
  <c r="J127" i="1147"/>
  <c r="D128" i="1147"/>
  <c r="E128" i="1147"/>
  <c r="F128" i="1147"/>
  <c r="G128" i="1147"/>
  <c r="H128" i="1147"/>
  <c r="I128" i="1147"/>
  <c r="J128" i="1147"/>
  <c r="D129" i="1147"/>
  <c r="E129" i="1147"/>
  <c r="F129" i="1147"/>
  <c r="G129" i="1147"/>
  <c r="H129" i="1147"/>
  <c r="I129" i="1147"/>
  <c r="J129" i="1147"/>
  <c r="D130" i="1147"/>
  <c r="E130" i="1147"/>
  <c r="F130" i="1147"/>
  <c r="G130" i="1147"/>
  <c r="H130" i="1147"/>
  <c r="I130" i="1147"/>
  <c r="J130" i="1147"/>
  <c r="D131" i="1147"/>
  <c r="E131" i="1147"/>
  <c r="F131" i="1147"/>
  <c r="G131" i="1147"/>
  <c r="H131" i="1147"/>
  <c r="I131" i="1147"/>
  <c r="J131" i="1147"/>
  <c r="D132" i="1147"/>
  <c r="E132" i="1147"/>
  <c r="F132" i="1147"/>
  <c r="G132" i="1147"/>
  <c r="H132" i="1147"/>
  <c r="I132" i="1147"/>
  <c r="J132" i="1147"/>
  <c r="D133" i="1147"/>
  <c r="E133" i="1147"/>
  <c r="F133" i="1147"/>
  <c r="G133" i="1147"/>
  <c r="H133" i="1147"/>
  <c r="I133" i="1147"/>
  <c r="J133" i="1147"/>
  <c r="D134" i="1147"/>
  <c r="E134" i="1147"/>
  <c r="F134" i="1147"/>
  <c r="G134" i="1147"/>
  <c r="H134" i="1147"/>
  <c r="I134" i="1147"/>
  <c r="J134" i="1147"/>
  <c r="D135" i="1147"/>
  <c r="E135" i="1147"/>
  <c r="F135" i="1147"/>
  <c r="G135" i="1147"/>
  <c r="H135" i="1147"/>
  <c r="I135" i="1147"/>
  <c r="J135" i="1147"/>
  <c r="D136" i="1147"/>
  <c r="E136" i="1147"/>
  <c r="F136" i="1147"/>
  <c r="G136" i="1147"/>
  <c r="H136" i="1147"/>
  <c r="I136" i="1147"/>
  <c r="J136" i="1147"/>
  <c r="D137" i="1147"/>
  <c r="E137" i="1147"/>
  <c r="F137" i="1147"/>
  <c r="G137" i="1147"/>
  <c r="H137" i="1147"/>
  <c r="I137" i="1147"/>
  <c r="J137" i="1147"/>
  <c r="D138" i="1147"/>
  <c r="E138" i="1147"/>
  <c r="F138" i="1147"/>
  <c r="G138" i="1147"/>
  <c r="H138" i="1147"/>
  <c r="I138" i="1147"/>
  <c r="J138" i="1147"/>
  <c r="D139" i="1147"/>
  <c r="E139" i="1147"/>
  <c r="F139" i="1147"/>
  <c r="G139" i="1147"/>
  <c r="H139" i="1147"/>
  <c r="I139" i="1147"/>
  <c r="J139" i="1147"/>
  <c r="D140" i="1147"/>
  <c r="E140" i="1147"/>
  <c r="F140" i="1147"/>
  <c r="G140" i="1147"/>
  <c r="H140" i="1147"/>
  <c r="I140" i="1147"/>
  <c r="J140" i="1147"/>
  <c r="D141" i="1147"/>
  <c r="E141" i="1147"/>
  <c r="F141" i="1147"/>
  <c r="G141" i="1147"/>
  <c r="H141" i="1147"/>
  <c r="I141" i="1147"/>
  <c r="J141" i="1147"/>
  <c r="D142" i="1147"/>
  <c r="E142" i="1147"/>
  <c r="F142" i="1147"/>
  <c r="G142" i="1147"/>
  <c r="H142" i="1147"/>
  <c r="I142" i="1147"/>
  <c r="J142" i="1147"/>
  <c r="D143" i="1147"/>
  <c r="E143" i="1147"/>
  <c r="F143" i="1147"/>
  <c r="G143" i="1147"/>
  <c r="H143" i="1147"/>
  <c r="I143" i="1147"/>
  <c r="J143" i="1147"/>
  <c r="D144" i="1147"/>
  <c r="E144" i="1147"/>
  <c r="F144" i="1147"/>
  <c r="G144" i="1147"/>
  <c r="H144" i="1147"/>
  <c r="I144" i="1147"/>
  <c r="J144" i="1147"/>
  <c r="D145" i="1147"/>
  <c r="E145" i="1147"/>
  <c r="F145" i="1147"/>
  <c r="G145" i="1147"/>
  <c r="H145" i="1147"/>
  <c r="I145" i="1147"/>
  <c r="J145" i="1147"/>
  <c r="D146" i="1147"/>
  <c r="E146" i="1147"/>
  <c r="F146" i="1147"/>
  <c r="G146" i="1147"/>
  <c r="H146" i="1147"/>
  <c r="I146" i="1147"/>
  <c r="J146" i="1147"/>
  <c r="D147" i="1147"/>
  <c r="E147" i="1147"/>
  <c r="F147" i="1147"/>
  <c r="G147" i="1147"/>
  <c r="H147" i="1147"/>
  <c r="I147" i="1147"/>
  <c r="J147" i="1147"/>
  <c r="D148" i="1147"/>
  <c r="E148" i="1147"/>
  <c r="F148" i="1147"/>
  <c r="G148" i="1147"/>
  <c r="H148" i="1147"/>
  <c r="I148" i="1147"/>
  <c r="J148" i="1147"/>
  <c r="D149" i="1147"/>
  <c r="E149" i="1147"/>
  <c r="F149" i="1147"/>
  <c r="G149" i="1147"/>
  <c r="H149" i="1147"/>
  <c r="I149" i="1147"/>
  <c r="J149" i="1147"/>
  <c r="D150" i="1147"/>
  <c r="E150" i="1147"/>
  <c r="F150" i="1147"/>
  <c r="G150" i="1147"/>
  <c r="H150" i="1147"/>
  <c r="I150" i="1147"/>
  <c r="J150" i="1147"/>
  <c r="D151" i="1147"/>
  <c r="E151" i="1147"/>
  <c r="F151" i="1147"/>
  <c r="G151" i="1147"/>
  <c r="H151" i="1147"/>
  <c r="I151" i="1147"/>
  <c r="J151" i="1147"/>
  <c r="D152" i="1147"/>
  <c r="E152" i="1147"/>
  <c r="F152" i="1147"/>
  <c r="G152" i="1147"/>
  <c r="H152" i="1147"/>
  <c r="I152" i="1147"/>
  <c r="J152" i="1147"/>
  <c r="D153" i="1147"/>
  <c r="E153" i="1147"/>
  <c r="F153" i="1147"/>
  <c r="G153" i="1147"/>
  <c r="H153" i="1147"/>
  <c r="I153" i="1147"/>
  <c r="J153" i="1147"/>
  <c r="D154" i="1147"/>
  <c r="E154" i="1147"/>
  <c r="F154" i="1147"/>
  <c r="G154" i="1147"/>
  <c r="H154" i="1147"/>
  <c r="I154" i="1147"/>
  <c r="J154" i="1147"/>
  <c r="D155" i="1147"/>
  <c r="E155" i="1147"/>
  <c r="F155" i="1147"/>
  <c r="G155" i="1147"/>
  <c r="H155" i="1147"/>
  <c r="I155" i="1147"/>
  <c r="J155" i="1147"/>
  <c r="D156" i="1147"/>
  <c r="E156" i="1147"/>
  <c r="F156" i="1147"/>
  <c r="G156" i="1147"/>
  <c r="H156" i="1147"/>
  <c r="I156" i="1147"/>
  <c r="J156" i="1147"/>
  <c r="D157" i="1147"/>
  <c r="E157" i="1147"/>
  <c r="F157" i="1147"/>
  <c r="G157" i="1147"/>
  <c r="H157" i="1147"/>
  <c r="I157" i="1147"/>
  <c r="J157" i="1147"/>
  <c r="D158" i="1147"/>
  <c r="E158" i="1147"/>
  <c r="F158" i="1147"/>
  <c r="G158" i="1147"/>
  <c r="H158" i="1147"/>
  <c r="I158" i="1147"/>
  <c r="J158" i="1147"/>
  <c r="D159" i="1147"/>
  <c r="E159" i="1147"/>
  <c r="F159" i="1147"/>
  <c r="G159" i="1147"/>
  <c r="H159" i="1147"/>
  <c r="I159" i="1147"/>
  <c r="J159" i="1147"/>
  <c r="D160" i="1147"/>
  <c r="E160" i="1147"/>
  <c r="F160" i="1147"/>
  <c r="G160" i="1147"/>
  <c r="H160" i="1147"/>
  <c r="I160" i="1147"/>
  <c r="J160" i="1147"/>
  <c r="D161" i="1147"/>
  <c r="E161" i="1147"/>
  <c r="F161" i="1147"/>
  <c r="G161" i="1147"/>
  <c r="H161" i="1147"/>
  <c r="I161" i="1147"/>
  <c r="J161" i="1147"/>
  <c r="D162" i="1147"/>
  <c r="E162" i="1147"/>
  <c r="F162" i="1147"/>
  <c r="G162" i="1147"/>
  <c r="H162" i="1147"/>
  <c r="I162" i="1147"/>
  <c r="J162" i="1147"/>
  <c r="D163" i="1147"/>
  <c r="E163" i="1147"/>
  <c r="F163" i="1147"/>
  <c r="G163" i="1147"/>
  <c r="H163" i="1147"/>
  <c r="I163" i="1147"/>
  <c r="J163" i="1147"/>
  <c r="D164" i="1147"/>
  <c r="E164" i="1147"/>
  <c r="F164" i="1147"/>
  <c r="G164" i="1147"/>
  <c r="H164" i="1147"/>
  <c r="I164" i="1147"/>
  <c r="J164" i="1147"/>
  <c r="D165" i="1147"/>
  <c r="E165" i="1147"/>
  <c r="F165" i="1147"/>
  <c r="G165" i="1147"/>
  <c r="H165" i="1147"/>
  <c r="I165" i="1147"/>
  <c r="J165" i="1147"/>
  <c r="D166" i="1147"/>
  <c r="E166" i="1147"/>
  <c r="F166" i="1147"/>
  <c r="G166" i="1147"/>
  <c r="H166" i="1147"/>
  <c r="I166" i="1147"/>
  <c r="J166" i="1147"/>
  <c r="D167" i="1147"/>
  <c r="E167" i="1147"/>
  <c r="F167" i="1147"/>
  <c r="G167" i="1147"/>
  <c r="H167" i="1147"/>
  <c r="I167" i="1147"/>
  <c r="J167" i="1147"/>
  <c r="D168" i="1147"/>
  <c r="E168" i="1147"/>
  <c r="F168" i="1147"/>
  <c r="G168" i="1147"/>
  <c r="H168" i="1147"/>
  <c r="I168" i="1147"/>
  <c r="J168" i="1147"/>
  <c r="D169" i="1147"/>
  <c r="E169" i="1147"/>
  <c r="F169" i="1147"/>
  <c r="G169" i="1147"/>
  <c r="H169" i="1147"/>
  <c r="I169" i="1147"/>
  <c r="J169" i="1147"/>
  <c r="D170" i="1147"/>
  <c r="E170" i="1147"/>
  <c r="F170" i="1147"/>
  <c r="G170" i="1147"/>
  <c r="H170" i="1147"/>
  <c r="I170" i="1147"/>
  <c r="J170" i="1147"/>
  <c r="D171" i="1147"/>
  <c r="E171" i="1147"/>
  <c r="F171" i="1147"/>
  <c r="G171" i="1147"/>
  <c r="H171" i="1147"/>
  <c r="I171" i="1147"/>
  <c r="J171" i="1147"/>
  <c r="D172" i="1147"/>
  <c r="E172" i="1147"/>
  <c r="F172" i="1147"/>
  <c r="G172" i="1147"/>
  <c r="H172" i="1147"/>
  <c r="I172" i="1147"/>
  <c r="J172" i="1147"/>
  <c r="D173" i="1147"/>
  <c r="E173" i="1147"/>
  <c r="F173" i="1147"/>
  <c r="G173" i="1147"/>
  <c r="H173" i="1147"/>
  <c r="I173" i="1147"/>
  <c r="J173" i="1147"/>
  <c r="D174" i="1147"/>
  <c r="E174" i="1147"/>
  <c r="F174" i="1147"/>
  <c r="G174" i="1147"/>
  <c r="H174" i="1147"/>
  <c r="I174" i="1147"/>
  <c r="J174" i="1147"/>
  <c r="D175" i="1147"/>
  <c r="E175" i="1147"/>
  <c r="F175" i="1147"/>
  <c r="G175" i="1147"/>
  <c r="H175" i="1147"/>
  <c r="I175" i="1147"/>
  <c r="J175" i="1147"/>
  <c r="D176" i="1147"/>
  <c r="E176" i="1147"/>
  <c r="F176" i="1147"/>
  <c r="G176" i="1147"/>
  <c r="H176" i="1147"/>
  <c r="I176" i="1147"/>
  <c r="J176" i="1147"/>
  <c r="D177" i="1147"/>
  <c r="E177" i="1147"/>
  <c r="F177" i="1147"/>
  <c r="G177" i="1147"/>
  <c r="H177" i="1147"/>
  <c r="I177" i="1147"/>
  <c r="J177" i="1147"/>
  <c r="D178" i="1147"/>
  <c r="E178" i="1147"/>
  <c r="F178" i="1147"/>
  <c r="G178" i="1147"/>
  <c r="H178" i="1147"/>
  <c r="I178" i="1147"/>
  <c r="J178" i="1147"/>
  <c r="D179" i="1147"/>
  <c r="E179" i="1147"/>
  <c r="F179" i="1147"/>
  <c r="G179" i="1147"/>
  <c r="H179" i="1147"/>
  <c r="I179" i="1147"/>
  <c r="J179" i="1147"/>
  <c r="D180" i="1147"/>
  <c r="E180" i="1147"/>
  <c r="F180" i="1147"/>
  <c r="G180" i="1147"/>
  <c r="H180" i="1147"/>
  <c r="I180" i="1147"/>
  <c r="J180" i="1147"/>
  <c r="D181" i="1147"/>
  <c r="E181" i="1147"/>
  <c r="F181" i="1147"/>
  <c r="G181" i="1147"/>
  <c r="H181" i="1147"/>
  <c r="I181" i="1147"/>
  <c r="J181" i="1147"/>
  <c r="D182" i="1147"/>
  <c r="E182" i="1147"/>
  <c r="F182" i="1147"/>
  <c r="G182" i="1147"/>
  <c r="H182" i="1147"/>
  <c r="I182" i="1147"/>
  <c r="J182" i="1147"/>
  <c r="D183" i="1147"/>
  <c r="E183" i="1147"/>
  <c r="F183" i="1147"/>
  <c r="G183" i="1147"/>
  <c r="H183" i="1147"/>
  <c r="I183" i="1147"/>
  <c r="J183" i="1147"/>
  <c r="D184" i="1147"/>
  <c r="E184" i="1147"/>
  <c r="F184" i="1147"/>
  <c r="G184" i="1147"/>
  <c r="H184" i="1147"/>
  <c r="I184" i="1147"/>
  <c r="J184" i="1147"/>
  <c r="D185" i="1147"/>
  <c r="E185" i="1147"/>
  <c r="F185" i="1147"/>
  <c r="G185" i="1147"/>
  <c r="H185" i="1147"/>
  <c r="I185" i="1147"/>
  <c r="J185" i="1147"/>
  <c r="D186" i="1147"/>
  <c r="E186" i="1147"/>
  <c r="F186" i="1147"/>
  <c r="G186" i="1147"/>
  <c r="H186" i="1147"/>
  <c r="I186" i="1147"/>
  <c r="J186" i="1147"/>
  <c r="D187" i="1147"/>
  <c r="E187" i="1147"/>
  <c r="F187" i="1147"/>
  <c r="G187" i="1147"/>
  <c r="H187" i="1147"/>
  <c r="I187" i="1147"/>
  <c r="J187" i="1147"/>
  <c r="D188" i="1147"/>
  <c r="E188" i="1147"/>
  <c r="F188" i="1147"/>
  <c r="G188" i="1147"/>
  <c r="H188" i="1147"/>
  <c r="I188" i="1147"/>
  <c r="J188" i="1147"/>
  <c r="D189" i="1147"/>
  <c r="E189" i="1147"/>
  <c r="F189" i="1147"/>
  <c r="G189" i="1147"/>
  <c r="H189" i="1147"/>
  <c r="I189" i="1147"/>
  <c r="J189" i="1147"/>
  <c r="D190" i="1147"/>
  <c r="E190" i="1147"/>
  <c r="F190" i="1147"/>
  <c r="G190" i="1147"/>
  <c r="H190" i="1147"/>
  <c r="I190" i="1147"/>
  <c r="J190" i="1147"/>
  <c r="D191" i="1147"/>
  <c r="E191" i="1147"/>
  <c r="F191" i="1147"/>
  <c r="G191" i="1147"/>
  <c r="H191" i="1147"/>
  <c r="I191" i="1147"/>
  <c r="J191" i="1147"/>
  <c r="D192" i="1147"/>
  <c r="E192" i="1147"/>
  <c r="F192" i="1147"/>
  <c r="G192" i="1147"/>
  <c r="H192" i="1147"/>
  <c r="I192" i="1147"/>
  <c r="J192" i="1147"/>
  <c r="D193" i="1147"/>
  <c r="E193" i="1147"/>
  <c r="F193" i="1147"/>
  <c r="G193" i="1147"/>
  <c r="H193" i="1147"/>
  <c r="I193" i="1147"/>
  <c r="J193" i="1147"/>
  <c r="D194" i="1147"/>
  <c r="E194" i="1147"/>
  <c r="F194" i="1147"/>
  <c r="G194" i="1147"/>
  <c r="H194" i="1147"/>
  <c r="I194" i="1147"/>
  <c r="J194" i="1147"/>
  <c r="D195" i="1147"/>
  <c r="E195" i="1147"/>
  <c r="F195" i="1147"/>
  <c r="G195" i="1147"/>
  <c r="H195" i="1147"/>
  <c r="I195" i="1147"/>
  <c r="J195" i="1147"/>
  <c r="D196" i="1147"/>
  <c r="E196" i="1147"/>
  <c r="F196" i="1147"/>
  <c r="G196" i="1147"/>
  <c r="H196" i="1147"/>
  <c r="I196" i="1147"/>
  <c r="J196" i="1147"/>
  <c r="D197" i="1147"/>
  <c r="E197" i="1147"/>
  <c r="F197" i="1147"/>
  <c r="G197" i="1147"/>
  <c r="H197" i="1147"/>
  <c r="I197" i="1147"/>
  <c r="J197" i="1147"/>
  <c r="D198" i="1147"/>
  <c r="E198" i="1147"/>
  <c r="F198" i="1147"/>
  <c r="G198" i="1147"/>
  <c r="H198" i="1147"/>
  <c r="I198" i="1147"/>
  <c r="J198" i="1147"/>
  <c r="D199" i="1147"/>
  <c r="E199" i="1147"/>
  <c r="F199" i="1147"/>
  <c r="G199" i="1147"/>
  <c r="H199" i="1147"/>
  <c r="I199" i="1147"/>
  <c r="J199" i="1147"/>
  <c r="D200" i="1147"/>
  <c r="E200" i="1147"/>
  <c r="F200" i="1147"/>
  <c r="G200" i="1147"/>
  <c r="H200" i="1147"/>
  <c r="I200" i="1147"/>
  <c r="J200" i="1147"/>
  <c r="D201" i="1147"/>
  <c r="E201" i="1147"/>
  <c r="F201" i="1147"/>
  <c r="G201" i="1147"/>
  <c r="H201" i="1147"/>
  <c r="I201" i="1147"/>
  <c r="J201" i="1147"/>
  <c r="D202" i="1147"/>
  <c r="E202" i="1147"/>
  <c r="F202" i="1147"/>
  <c r="G202" i="1147"/>
  <c r="H202" i="1147"/>
  <c r="I202" i="1147"/>
  <c r="J202" i="1147"/>
  <c r="D203" i="1147"/>
  <c r="E203" i="1147"/>
  <c r="F203" i="1147"/>
  <c r="G203" i="1147"/>
  <c r="H203" i="1147"/>
  <c r="I203" i="1147"/>
  <c r="J203" i="1147"/>
  <c r="D204" i="1147"/>
  <c r="E204" i="1147"/>
  <c r="F204" i="1147"/>
  <c r="G204" i="1147"/>
  <c r="H204" i="1147"/>
  <c r="I204" i="1147"/>
  <c r="J204" i="1147"/>
  <c r="D205" i="1147"/>
  <c r="E205" i="1147"/>
  <c r="F205" i="1147"/>
  <c r="G205" i="1147"/>
  <c r="H205" i="1147"/>
  <c r="I205" i="1147"/>
  <c r="J205" i="1147"/>
  <c r="D206" i="1147"/>
  <c r="E206" i="1147"/>
  <c r="F206" i="1147"/>
  <c r="G206" i="1147"/>
  <c r="H206" i="1147"/>
  <c r="I206" i="1147"/>
  <c r="J206" i="1147"/>
  <c r="D207" i="1147"/>
  <c r="E207" i="1147"/>
  <c r="F207" i="1147"/>
  <c r="G207" i="1147"/>
  <c r="H207" i="1147"/>
  <c r="I207" i="1147"/>
  <c r="J207" i="1147"/>
  <c r="D208" i="1147"/>
  <c r="E208" i="1147"/>
  <c r="F208" i="1147"/>
  <c r="G208" i="1147"/>
  <c r="H208" i="1147"/>
  <c r="I208" i="1147"/>
  <c r="J208" i="1147"/>
  <c r="D209" i="1147"/>
  <c r="E209" i="1147"/>
  <c r="F209" i="1147"/>
  <c r="G209" i="1147"/>
  <c r="H209" i="1147"/>
  <c r="I209" i="1147"/>
  <c r="J209" i="1147"/>
  <c r="D210" i="1147"/>
  <c r="E210" i="1147"/>
  <c r="F210" i="1147"/>
  <c r="G210" i="1147"/>
  <c r="H210" i="1147"/>
  <c r="I210" i="1147"/>
  <c r="J210" i="1147"/>
  <c r="D211" i="1147"/>
  <c r="E211" i="1147"/>
  <c r="F211" i="1147"/>
  <c r="G211" i="1147"/>
  <c r="H211" i="1147"/>
  <c r="I211" i="1147"/>
  <c r="J211" i="1147"/>
  <c r="D212" i="1147"/>
  <c r="E212" i="1147"/>
  <c r="F212" i="1147"/>
  <c r="G212" i="1147"/>
  <c r="H212" i="1147"/>
  <c r="I212" i="1147"/>
  <c r="J212" i="1147"/>
  <c r="D213" i="1147"/>
  <c r="E213" i="1147"/>
  <c r="F213" i="1147"/>
  <c r="G213" i="1147"/>
  <c r="H213" i="1147"/>
  <c r="I213" i="1147"/>
  <c r="J213" i="1147"/>
  <c r="D214" i="1147"/>
  <c r="E214" i="1147"/>
  <c r="F214" i="1147"/>
  <c r="G214" i="1147"/>
  <c r="H214" i="1147"/>
  <c r="I214" i="1147"/>
  <c r="J214" i="1147"/>
  <c r="D215" i="1147"/>
  <c r="E215" i="1147"/>
  <c r="F215" i="1147"/>
  <c r="G215" i="1147"/>
  <c r="H215" i="1147"/>
  <c r="I215" i="1147"/>
  <c r="J215" i="1147"/>
  <c r="D216" i="1147"/>
  <c r="E216" i="1147"/>
  <c r="F216" i="1147"/>
  <c r="G216" i="1147"/>
  <c r="H216" i="1147"/>
  <c r="I216" i="1147"/>
  <c r="J216" i="1147"/>
  <c r="D217" i="1147"/>
  <c r="E217" i="1147"/>
  <c r="F217" i="1147"/>
  <c r="G217" i="1147"/>
  <c r="H217" i="1147"/>
  <c r="I217" i="1147"/>
  <c r="J217" i="1147"/>
  <c r="D218" i="1147"/>
  <c r="E218" i="1147"/>
  <c r="F218" i="1147"/>
  <c r="G218" i="1147"/>
  <c r="H218" i="1147"/>
  <c r="I218" i="1147"/>
  <c r="J218" i="1147"/>
  <c r="D219" i="1147"/>
  <c r="E219" i="1147"/>
  <c r="F219" i="1147"/>
  <c r="G219" i="1147"/>
  <c r="H219" i="1147"/>
  <c r="I219" i="1147"/>
  <c r="J219" i="1147"/>
  <c r="D220" i="1147"/>
  <c r="E220" i="1147"/>
  <c r="F220" i="1147"/>
  <c r="G220" i="1147"/>
  <c r="H220" i="1147"/>
  <c r="I220" i="1147"/>
  <c r="J220" i="1147"/>
  <c r="D221" i="1147"/>
  <c r="E221" i="1147"/>
  <c r="F221" i="1147"/>
  <c r="G221" i="1147"/>
  <c r="H221" i="1147"/>
  <c r="I221" i="1147"/>
  <c r="J221" i="1147"/>
  <c r="D222" i="1147"/>
  <c r="E222" i="1147"/>
  <c r="F222" i="1147"/>
  <c r="G222" i="1147"/>
  <c r="H222" i="1147"/>
  <c r="I222" i="1147"/>
  <c r="J222" i="1147"/>
  <c r="D223" i="1147"/>
  <c r="E223" i="1147"/>
  <c r="F223" i="1147"/>
  <c r="G223" i="1147"/>
  <c r="H223" i="1147"/>
  <c r="I223" i="1147"/>
  <c r="J223" i="1147"/>
  <c r="D224" i="1147"/>
  <c r="E224" i="1147"/>
  <c r="F224" i="1147"/>
  <c r="G224" i="1147"/>
  <c r="H224" i="1147"/>
  <c r="I224" i="1147"/>
  <c r="J224" i="1147"/>
  <c r="D225" i="1147"/>
  <c r="E225" i="1147"/>
  <c r="F225" i="1147"/>
  <c r="G225" i="1147"/>
  <c r="H225" i="1147"/>
  <c r="I225" i="1147"/>
  <c r="J225" i="1147"/>
  <c r="D226" i="1147"/>
  <c r="E226" i="1147"/>
  <c r="F226" i="1147"/>
  <c r="G226" i="1147"/>
  <c r="H226" i="1147"/>
  <c r="I226" i="1147"/>
  <c r="J226" i="1147"/>
  <c r="D227" i="1147"/>
  <c r="E227" i="1147"/>
  <c r="F227" i="1147"/>
  <c r="G227" i="1147"/>
  <c r="H227" i="1147"/>
  <c r="I227" i="1147"/>
  <c r="J227" i="1147"/>
  <c r="D228" i="1147"/>
  <c r="E228" i="1147"/>
  <c r="F228" i="1147"/>
  <c r="G228" i="1147"/>
  <c r="H228" i="1147"/>
  <c r="I228" i="1147"/>
  <c r="J228" i="1147"/>
  <c r="D229" i="1147"/>
  <c r="E229" i="1147"/>
  <c r="F229" i="1147"/>
  <c r="G229" i="1147"/>
  <c r="H229" i="1147"/>
  <c r="I229" i="1147"/>
  <c r="J229" i="1147"/>
  <c r="D230" i="1147"/>
  <c r="E230" i="1147"/>
  <c r="F230" i="1147"/>
  <c r="G230" i="1147"/>
  <c r="H230" i="1147"/>
  <c r="I230" i="1147"/>
  <c r="J230" i="1147"/>
  <c r="D231" i="1147"/>
  <c r="E231" i="1147"/>
  <c r="F231" i="1147"/>
  <c r="G231" i="1147"/>
  <c r="H231" i="1147"/>
  <c r="I231" i="1147"/>
  <c r="J231" i="1147"/>
  <c r="D232" i="1147"/>
  <c r="E232" i="1147"/>
  <c r="F232" i="1147"/>
  <c r="G232" i="1147"/>
  <c r="H232" i="1147"/>
  <c r="I232" i="1147"/>
  <c r="J232" i="1147"/>
  <c r="D233" i="1147"/>
  <c r="E233" i="1147"/>
  <c r="F233" i="1147"/>
  <c r="G233" i="1147"/>
  <c r="H233" i="1147"/>
  <c r="I233" i="1147"/>
  <c r="J233" i="1147"/>
  <c r="D234" i="1147"/>
  <c r="E234" i="1147"/>
  <c r="F234" i="1147"/>
  <c r="G234" i="1147"/>
  <c r="H234" i="1147"/>
  <c r="I234" i="1147"/>
  <c r="J234" i="1147"/>
  <c r="D235" i="1147"/>
  <c r="E235" i="1147"/>
  <c r="F235" i="1147"/>
  <c r="G235" i="1147"/>
  <c r="H235" i="1147"/>
  <c r="I235" i="1147"/>
  <c r="J235" i="1147"/>
  <c r="D236" i="1147"/>
  <c r="E236" i="1147"/>
  <c r="F236" i="1147"/>
  <c r="G236" i="1147"/>
  <c r="H236" i="1147"/>
  <c r="I236" i="1147"/>
  <c r="J236" i="1147"/>
  <c r="D237" i="1147"/>
  <c r="E237" i="1147"/>
  <c r="F237" i="1147"/>
  <c r="G237" i="1147"/>
  <c r="H237" i="1147"/>
  <c r="I237" i="1147"/>
  <c r="J237" i="1147"/>
  <c r="D238" i="1147"/>
  <c r="E238" i="1147"/>
  <c r="F238" i="1147"/>
  <c r="G238" i="1147"/>
  <c r="H238" i="1147"/>
  <c r="I238" i="1147"/>
  <c r="J238" i="1147"/>
  <c r="D239" i="1147"/>
  <c r="E239" i="1147"/>
  <c r="F239" i="1147"/>
  <c r="G239" i="1147"/>
  <c r="H239" i="1147"/>
  <c r="I239" i="1147"/>
  <c r="J239" i="1147"/>
  <c r="D240" i="1147"/>
  <c r="E240" i="1147"/>
  <c r="F240" i="1147"/>
  <c r="G240" i="1147"/>
  <c r="H240" i="1147"/>
  <c r="I240" i="1147"/>
  <c r="J240" i="1147"/>
  <c r="D241" i="1147"/>
  <c r="E241" i="1147"/>
  <c r="F241" i="1147"/>
  <c r="G241" i="1147"/>
  <c r="H241" i="1147"/>
  <c r="I241" i="1147"/>
  <c r="J241" i="1147"/>
  <c r="D242" i="1147"/>
  <c r="E242" i="1147"/>
  <c r="F242" i="1147"/>
  <c r="G242" i="1147"/>
  <c r="H242" i="1147"/>
  <c r="I242" i="1147"/>
  <c r="J242" i="1147"/>
  <c r="D243" i="1147"/>
  <c r="E243" i="1147"/>
  <c r="F243" i="1147"/>
  <c r="G243" i="1147"/>
  <c r="H243" i="1147"/>
  <c r="I243" i="1147"/>
  <c r="J243" i="1147"/>
  <c r="D244" i="1147"/>
  <c r="E244" i="1147"/>
  <c r="F244" i="1147"/>
  <c r="G244" i="1147"/>
  <c r="H244" i="1147"/>
  <c r="I244" i="1147"/>
  <c r="J244" i="1147"/>
  <c r="D245" i="1147"/>
  <c r="E245" i="1147"/>
  <c r="F245" i="1147"/>
  <c r="G245" i="1147"/>
  <c r="H245" i="1147"/>
  <c r="I245" i="1147"/>
  <c r="J245" i="1147"/>
  <c r="D246" i="1147"/>
  <c r="E246" i="1147"/>
  <c r="F246" i="1147"/>
  <c r="G246" i="1147"/>
  <c r="H246" i="1147"/>
  <c r="I246" i="1147"/>
  <c r="J246" i="1147"/>
  <c r="D247" i="1147"/>
  <c r="E247" i="1147"/>
  <c r="F247" i="1147"/>
  <c r="G247" i="1147"/>
  <c r="H247" i="1147"/>
  <c r="I247" i="1147"/>
  <c r="J247" i="1147"/>
  <c r="D248" i="1147"/>
  <c r="E248" i="1147"/>
  <c r="F248" i="1147"/>
  <c r="G248" i="1147"/>
  <c r="H248" i="1147"/>
  <c r="I248" i="1147"/>
  <c r="J248" i="1147"/>
  <c r="D249" i="1147"/>
  <c r="E249" i="1147"/>
  <c r="F249" i="1147"/>
  <c r="G249" i="1147"/>
  <c r="H249" i="1147"/>
  <c r="I249" i="1147"/>
  <c r="J249" i="1147"/>
  <c r="D250" i="1147"/>
  <c r="E250" i="1147"/>
  <c r="F250" i="1147"/>
  <c r="G250" i="1147"/>
  <c r="H250" i="1147"/>
  <c r="I250" i="1147"/>
  <c r="J250" i="1147"/>
  <c r="D251" i="1147"/>
  <c r="E251" i="1147"/>
  <c r="F251" i="1147"/>
  <c r="G251" i="1147"/>
  <c r="H251" i="1147"/>
  <c r="I251" i="1147"/>
  <c r="J251" i="1147"/>
  <c r="D252" i="1147"/>
  <c r="E252" i="1147"/>
  <c r="F252" i="1147"/>
  <c r="G252" i="1147"/>
  <c r="H252" i="1147"/>
  <c r="I252" i="1147"/>
  <c r="J252" i="1147"/>
  <c r="D253" i="1147"/>
  <c r="E253" i="1147"/>
  <c r="F253" i="1147"/>
  <c r="G253" i="1147"/>
  <c r="H253" i="1147"/>
  <c r="I253" i="1147"/>
  <c r="J253" i="1147"/>
  <c r="D254" i="1147"/>
  <c r="E254" i="1147"/>
  <c r="F254" i="1147"/>
  <c r="G254" i="1147"/>
  <c r="H254" i="1147"/>
  <c r="I254" i="1147"/>
  <c r="J254" i="1147"/>
  <c r="D255" i="1147"/>
  <c r="E255" i="1147"/>
  <c r="F255" i="1147"/>
  <c r="G255" i="1147"/>
  <c r="H255" i="1147"/>
  <c r="I255" i="1147"/>
  <c r="J255" i="1147"/>
  <c r="D256" i="1147"/>
  <c r="E256" i="1147"/>
  <c r="F256" i="1147"/>
  <c r="G256" i="1147"/>
  <c r="H256" i="1147"/>
  <c r="I256" i="1147"/>
  <c r="J256" i="1147"/>
  <c r="D257" i="1147"/>
  <c r="E257" i="1147"/>
  <c r="F257" i="1147"/>
  <c r="G257" i="1147"/>
  <c r="H257" i="1147"/>
  <c r="I257" i="1147"/>
  <c r="J257" i="1147"/>
  <c r="D258" i="1147"/>
  <c r="E258" i="1147"/>
  <c r="F258" i="1147"/>
  <c r="G258" i="1147"/>
  <c r="H258" i="1147"/>
  <c r="I258" i="1147"/>
  <c r="J258" i="1147"/>
  <c r="D259" i="1147"/>
  <c r="E259" i="1147"/>
  <c r="F259" i="1147"/>
  <c r="G259" i="1147"/>
  <c r="H259" i="1147"/>
  <c r="I259" i="1147"/>
  <c r="J259" i="1147"/>
  <c r="D260" i="1147"/>
  <c r="E260" i="1147"/>
  <c r="F260" i="1147"/>
  <c r="G260" i="1147"/>
  <c r="H260" i="1147"/>
  <c r="I260" i="1147"/>
  <c r="J260" i="1147"/>
  <c r="D261" i="1147"/>
  <c r="E261" i="1147"/>
  <c r="F261" i="1147"/>
  <c r="G261" i="1147"/>
  <c r="H261" i="1147"/>
  <c r="I261" i="1147"/>
  <c r="J261" i="1147"/>
  <c r="D262" i="1147"/>
  <c r="E262" i="1147"/>
  <c r="F262" i="1147"/>
  <c r="G262" i="1147"/>
  <c r="H262" i="1147"/>
  <c r="I262" i="1147"/>
  <c r="J262" i="1147"/>
  <c r="D263" i="1147"/>
  <c r="E263" i="1147"/>
  <c r="F263" i="1147"/>
  <c r="G263" i="1147"/>
  <c r="H263" i="1147"/>
  <c r="I263" i="1147"/>
  <c r="J263" i="1147"/>
  <c r="D264" i="1147"/>
  <c r="E264" i="1147"/>
  <c r="F264" i="1147"/>
  <c r="G264" i="1147"/>
  <c r="H264" i="1147"/>
  <c r="I264" i="1147"/>
  <c r="J264" i="1147"/>
  <c r="D265" i="1147"/>
  <c r="E265" i="1147"/>
  <c r="F265" i="1147"/>
  <c r="G265" i="1147"/>
  <c r="H265" i="1147"/>
  <c r="I265" i="1147"/>
  <c r="J265" i="1147"/>
  <c r="D266" i="1147"/>
  <c r="E266" i="1147"/>
  <c r="F266" i="1147"/>
  <c r="G266" i="1147"/>
  <c r="H266" i="1147"/>
  <c r="I266" i="1147"/>
  <c r="J266" i="1147"/>
  <c r="D267" i="1147"/>
  <c r="E267" i="1147"/>
  <c r="F267" i="1147"/>
  <c r="G267" i="1147"/>
  <c r="H267" i="1147"/>
  <c r="I267" i="1147"/>
  <c r="J267" i="1147"/>
  <c r="D268" i="1147"/>
  <c r="E268" i="1147"/>
  <c r="F268" i="1147"/>
  <c r="G268" i="1147"/>
  <c r="H268" i="1147"/>
  <c r="I268" i="1147"/>
  <c r="J268" i="1147"/>
  <c r="D269" i="1147"/>
  <c r="E269" i="1147"/>
  <c r="F269" i="1147"/>
  <c r="G269" i="1147"/>
  <c r="H269" i="1147"/>
  <c r="I269" i="1147"/>
  <c r="J269" i="1147"/>
  <c r="D270" i="1147"/>
  <c r="E270" i="1147"/>
  <c r="F270" i="1147"/>
  <c r="G270" i="1147"/>
  <c r="H270" i="1147"/>
  <c r="I270" i="1147"/>
  <c r="J270" i="1147"/>
  <c r="D271" i="1147"/>
  <c r="E271" i="1147"/>
  <c r="F271" i="1147"/>
  <c r="G271" i="1147"/>
  <c r="H271" i="1147"/>
  <c r="I271" i="1147"/>
  <c r="J271" i="1147"/>
  <c r="D272" i="1147"/>
  <c r="E272" i="1147"/>
  <c r="F272" i="1147"/>
  <c r="G272" i="1147"/>
  <c r="H272" i="1147"/>
  <c r="I272" i="1147"/>
  <c r="J272" i="1147"/>
  <c r="D273" i="1147"/>
  <c r="E273" i="1147"/>
  <c r="F273" i="1147"/>
  <c r="G273" i="1147"/>
  <c r="H273" i="1147"/>
  <c r="I273" i="1147"/>
  <c r="J273" i="1147"/>
  <c r="D274" i="1147"/>
  <c r="E274" i="1147"/>
  <c r="F274" i="1147"/>
  <c r="G274" i="1147"/>
  <c r="H274" i="1147"/>
  <c r="I274" i="1147"/>
  <c r="J274" i="1147"/>
  <c r="D275" i="1147"/>
  <c r="E275" i="1147"/>
  <c r="F275" i="1147"/>
  <c r="G275" i="1147"/>
  <c r="H275" i="1147"/>
  <c r="I275" i="1147"/>
  <c r="J275" i="1147"/>
  <c r="D276" i="1147"/>
  <c r="F276" i="1147"/>
  <c r="G276" i="1147"/>
  <c r="H276" i="1147"/>
  <c r="I276" i="1147"/>
  <c r="J276" i="1147"/>
  <c r="D277" i="1147"/>
  <c r="E277" i="1147"/>
  <c r="F277" i="1147"/>
  <c r="G277" i="1147"/>
  <c r="H277" i="1147"/>
  <c r="I277" i="1147"/>
  <c r="J277" i="1147"/>
  <c r="D278" i="1147"/>
  <c r="E278" i="1147"/>
  <c r="F278" i="1147"/>
  <c r="G278" i="1147"/>
  <c r="H278" i="1147"/>
  <c r="I278" i="1147"/>
  <c r="J278" i="1147"/>
  <c r="D279" i="1147"/>
  <c r="E279" i="1147"/>
  <c r="F279" i="1147"/>
  <c r="G279" i="1147"/>
  <c r="H279" i="1147"/>
  <c r="I279" i="1147"/>
  <c r="J279" i="1147"/>
  <c r="D280" i="1147"/>
  <c r="E280" i="1147"/>
  <c r="F280" i="1147"/>
  <c r="G280" i="1147"/>
  <c r="H280" i="1147"/>
  <c r="I280" i="1147"/>
  <c r="J280" i="1147"/>
  <c r="D281" i="1147"/>
  <c r="E281" i="1147"/>
  <c r="F281" i="1147"/>
  <c r="G281" i="1147"/>
  <c r="H281" i="1147"/>
  <c r="I281" i="1147"/>
  <c r="J281" i="1147"/>
  <c r="D282" i="1147"/>
  <c r="E282" i="1147"/>
  <c r="F282" i="1147"/>
  <c r="G282" i="1147"/>
  <c r="H282" i="1147"/>
  <c r="I282" i="1147"/>
  <c r="J282" i="1147"/>
  <c r="D283" i="1147"/>
  <c r="E283" i="1147"/>
  <c r="F283" i="1147"/>
  <c r="G283" i="1147"/>
  <c r="H283" i="1147"/>
  <c r="I283" i="1147"/>
  <c r="J283" i="1147"/>
  <c r="D284" i="1147"/>
  <c r="E284" i="1147"/>
  <c r="F284" i="1147"/>
  <c r="G284" i="1147"/>
  <c r="H284" i="1147"/>
  <c r="I284" i="1147"/>
  <c r="J284" i="1147"/>
  <c r="D285" i="1147"/>
  <c r="E285" i="1147"/>
  <c r="F285" i="1147"/>
  <c r="G285" i="1147"/>
  <c r="H285" i="1147"/>
  <c r="I285" i="1147"/>
  <c r="J285" i="1147"/>
  <c r="D286" i="1147"/>
  <c r="E286" i="1147"/>
  <c r="F286" i="1147"/>
  <c r="G286" i="1147"/>
  <c r="H286" i="1147"/>
  <c r="I286" i="1147"/>
  <c r="J286" i="1147"/>
  <c r="D287" i="1147"/>
  <c r="E287" i="1147"/>
  <c r="F287" i="1147"/>
  <c r="G287" i="1147"/>
  <c r="H287" i="1147"/>
  <c r="I287" i="1147"/>
  <c r="J287" i="1147"/>
  <c r="D288" i="1147"/>
  <c r="E288" i="1147"/>
  <c r="F288" i="1147"/>
  <c r="G288" i="1147"/>
  <c r="H288" i="1147"/>
  <c r="I288" i="1147"/>
  <c r="J288" i="1147"/>
  <c r="D289" i="1147"/>
  <c r="E289" i="1147"/>
  <c r="F289" i="1147"/>
  <c r="G289" i="1147"/>
  <c r="H289" i="1147"/>
  <c r="I289" i="1147"/>
  <c r="J289" i="1147"/>
  <c r="D290" i="1147"/>
  <c r="E290" i="1147"/>
  <c r="F290" i="1147"/>
  <c r="G290" i="1147"/>
  <c r="H290" i="1147"/>
  <c r="I290" i="1147"/>
  <c r="J290" i="1147"/>
  <c r="D291" i="1147"/>
  <c r="E291" i="1147"/>
  <c r="F291" i="1147"/>
  <c r="G291" i="1147"/>
  <c r="H291" i="1147"/>
  <c r="I291" i="1147"/>
  <c r="J291" i="1147"/>
  <c r="D292" i="1147"/>
  <c r="E292" i="1147"/>
  <c r="F292" i="1147"/>
  <c r="G292" i="1147"/>
  <c r="H292" i="1147"/>
  <c r="I292" i="1147"/>
  <c r="J292" i="1147"/>
  <c r="D293" i="1147"/>
  <c r="E293" i="1147"/>
  <c r="F293" i="1147"/>
  <c r="G293" i="1147"/>
  <c r="H293" i="1147"/>
  <c r="I293" i="1147"/>
  <c r="J293" i="1147"/>
  <c r="D294" i="1147"/>
  <c r="E294" i="1147"/>
  <c r="F294" i="1147"/>
  <c r="G294" i="1147"/>
  <c r="H294" i="1147"/>
  <c r="I294" i="1147"/>
  <c r="J294" i="1147"/>
  <c r="D295" i="1147"/>
  <c r="E295" i="1147"/>
  <c r="F295" i="1147"/>
  <c r="G295" i="1147"/>
  <c r="H295" i="1147"/>
  <c r="I295" i="1147"/>
  <c r="J295" i="1147"/>
  <c r="D296" i="1147"/>
  <c r="E296" i="1147"/>
  <c r="F296" i="1147"/>
  <c r="G296" i="1147"/>
  <c r="H296" i="1147"/>
  <c r="I296" i="1147"/>
  <c r="J296" i="1147"/>
  <c r="D297" i="1147"/>
  <c r="E297" i="1147"/>
  <c r="F297" i="1147"/>
  <c r="G297" i="1147"/>
  <c r="H297" i="1147"/>
  <c r="I297" i="1147"/>
  <c r="J297" i="1147"/>
  <c r="D298" i="1147"/>
  <c r="E298" i="1147"/>
  <c r="F298" i="1147"/>
  <c r="G298" i="1147"/>
  <c r="H298" i="1147"/>
  <c r="I298" i="1147"/>
  <c r="J298" i="1147"/>
  <c r="D299" i="1147"/>
  <c r="E299" i="1147"/>
  <c r="F299" i="1147"/>
  <c r="G299" i="1147"/>
  <c r="H299" i="1147"/>
  <c r="I299" i="1147"/>
  <c r="J299" i="1147"/>
  <c r="D300" i="1147"/>
  <c r="E300" i="1147"/>
  <c r="F300" i="1147"/>
  <c r="G300" i="1147"/>
  <c r="H300" i="1147"/>
  <c r="I300" i="1147"/>
  <c r="J300" i="1147"/>
  <c r="D301" i="1147"/>
  <c r="E301" i="1147"/>
  <c r="F301" i="1147"/>
  <c r="G301" i="1147"/>
  <c r="H301" i="1147"/>
  <c r="I301" i="1147"/>
  <c r="J301" i="1147"/>
  <c r="D302" i="1147"/>
  <c r="E302" i="1147"/>
  <c r="F302" i="1147"/>
  <c r="G302" i="1147"/>
  <c r="H302" i="1147"/>
  <c r="I302" i="1147"/>
  <c r="J302" i="1147"/>
  <c r="D303" i="1147"/>
  <c r="E303" i="1147"/>
  <c r="F303" i="1147"/>
  <c r="G303" i="1147"/>
  <c r="H303" i="1147"/>
  <c r="I303" i="1147"/>
  <c r="J303" i="1147"/>
  <c r="D304" i="1147"/>
  <c r="E304" i="1147"/>
  <c r="F304" i="1147"/>
  <c r="G304" i="1147"/>
  <c r="H304" i="1147"/>
  <c r="I304" i="1147"/>
  <c r="J304" i="1147"/>
  <c r="D305" i="1147"/>
  <c r="E305" i="1147"/>
  <c r="F305" i="1147"/>
  <c r="G305" i="1147"/>
  <c r="H305" i="1147"/>
  <c r="I305" i="1147"/>
  <c r="J305" i="1147"/>
  <c r="D306" i="1147"/>
  <c r="E306" i="1147"/>
  <c r="F306" i="1147"/>
  <c r="G306" i="1147"/>
  <c r="H306" i="1147"/>
  <c r="I306" i="1147"/>
  <c r="J306" i="1147"/>
  <c r="D307" i="1147"/>
  <c r="E307" i="1147"/>
  <c r="F307" i="1147"/>
  <c r="G307" i="1147"/>
  <c r="H307" i="1147"/>
  <c r="I307" i="1147"/>
  <c r="J307" i="1147"/>
  <c r="D308" i="1147"/>
  <c r="E308" i="1147"/>
  <c r="F308" i="1147"/>
  <c r="G308" i="1147"/>
  <c r="H308" i="1147"/>
  <c r="I308" i="1147"/>
  <c r="J308" i="1147"/>
  <c r="D309" i="1147"/>
  <c r="E309" i="1147"/>
  <c r="F309" i="1147"/>
  <c r="G309" i="1147"/>
  <c r="H309" i="1147"/>
  <c r="I309" i="1147"/>
  <c r="J309" i="1147"/>
  <c r="D310" i="1147"/>
  <c r="E310" i="1147"/>
  <c r="F310" i="1147"/>
  <c r="G310" i="1147"/>
  <c r="H310" i="1147"/>
  <c r="I310" i="1147"/>
  <c r="J310" i="1147"/>
  <c r="D311" i="1147"/>
  <c r="E311" i="1147"/>
  <c r="F311" i="1147"/>
  <c r="G311" i="1147"/>
  <c r="H311" i="1147"/>
  <c r="I311" i="1147"/>
  <c r="J311" i="1147"/>
  <c r="D312" i="1147"/>
  <c r="E312" i="1147"/>
  <c r="F312" i="1147"/>
  <c r="G312" i="1147"/>
  <c r="H312" i="1147"/>
  <c r="I312" i="1147"/>
  <c r="J312" i="1147"/>
  <c r="D313" i="1147"/>
  <c r="E313" i="1147"/>
  <c r="F313" i="1147"/>
  <c r="G313" i="1147"/>
  <c r="H313" i="1147"/>
  <c r="I313" i="1147"/>
  <c r="J313" i="1147"/>
  <c r="D314" i="1147"/>
  <c r="E314" i="1147"/>
  <c r="F314" i="1147"/>
  <c r="G314" i="1147"/>
  <c r="H314" i="1147"/>
  <c r="I314" i="1147"/>
  <c r="J314" i="1147"/>
  <c r="D315" i="1147"/>
  <c r="E315" i="1147"/>
  <c r="F315" i="1147"/>
  <c r="G315" i="1147"/>
  <c r="H315" i="1147"/>
  <c r="I315" i="1147"/>
  <c r="J315" i="1147"/>
  <c r="D316" i="1147"/>
  <c r="E316" i="1147"/>
  <c r="F316" i="1147"/>
  <c r="G316" i="1147"/>
  <c r="H316" i="1147"/>
  <c r="I316" i="1147"/>
  <c r="J316" i="1147"/>
  <c r="D317" i="1147"/>
  <c r="E317" i="1147"/>
  <c r="F317" i="1147"/>
  <c r="G317" i="1147"/>
  <c r="H317" i="1147"/>
  <c r="I317" i="1147"/>
  <c r="J317" i="1147"/>
  <c r="D318" i="1147"/>
  <c r="E318" i="1147"/>
  <c r="F318" i="1147"/>
  <c r="G318" i="1147"/>
  <c r="H318" i="1147"/>
  <c r="I318" i="1147"/>
  <c r="J318" i="1147"/>
  <c r="D319" i="1147"/>
  <c r="E319" i="1147"/>
  <c r="F319" i="1147"/>
  <c r="G319" i="1147"/>
  <c r="H319" i="1147"/>
  <c r="I319" i="1147"/>
  <c r="J319" i="1147"/>
  <c r="D320" i="1147"/>
  <c r="E320" i="1147"/>
  <c r="F320" i="1147"/>
  <c r="G320" i="1147"/>
  <c r="H320" i="1147"/>
  <c r="I320" i="1147"/>
  <c r="J320" i="1147"/>
  <c r="D321" i="1147"/>
  <c r="E321" i="1147"/>
  <c r="F321" i="1147"/>
  <c r="G321" i="1147"/>
  <c r="H321" i="1147"/>
  <c r="I321" i="1147"/>
  <c r="J321" i="1147"/>
  <c r="D322" i="1147"/>
  <c r="E322" i="1147"/>
  <c r="F322" i="1147"/>
  <c r="G322" i="1147"/>
  <c r="H322" i="1147"/>
  <c r="I322" i="1147"/>
  <c r="J322" i="1147"/>
  <c r="D323" i="1147"/>
  <c r="E323" i="1147"/>
  <c r="F323" i="1147"/>
  <c r="G323" i="1147"/>
  <c r="H323" i="1147"/>
  <c r="I323" i="1147"/>
  <c r="J323" i="1147"/>
  <c r="D324" i="1147"/>
  <c r="E324" i="1147"/>
  <c r="F324" i="1147"/>
  <c r="G324" i="1147"/>
  <c r="H324" i="1147"/>
  <c r="I324" i="1147"/>
  <c r="J324" i="1147"/>
  <c r="D325" i="1147"/>
  <c r="E325" i="1147"/>
  <c r="F325" i="1147"/>
  <c r="G325" i="1147"/>
  <c r="H325" i="1147"/>
  <c r="I325" i="1147"/>
  <c r="J325" i="1147"/>
  <c r="D326" i="1147"/>
  <c r="E326" i="1147"/>
  <c r="F326" i="1147"/>
  <c r="G326" i="1147"/>
  <c r="H326" i="1147"/>
  <c r="I326" i="1147"/>
  <c r="J326" i="1147"/>
  <c r="D327" i="1147"/>
  <c r="E327" i="1147"/>
  <c r="F327" i="1147"/>
  <c r="G327" i="1147"/>
  <c r="H327" i="1147"/>
  <c r="I327" i="1147"/>
  <c r="J327" i="1147"/>
  <c r="D328" i="1147"/>
  <c r="E328" i="1147"/>
  <c r="F328" i="1147"/>
  <c r="G328" i="1147"/>
  <c r="H328" i="1147"/>
  <c r="I328" i="1147"/>
  <c r="J328" i="1147"/>
  <c r="D329" i="1147"/>
  <c r="E329" i="1147"/>
  <c r="F329" i="1147"/>
  <c r="G329" i="1147"/>
  <c r="H329" i="1147"/>
  <c r="I329" i="1147"/>
  <c r="J329" i="1147"/>
  <c r="D330" i="1147"/>
  <c r="E330" i="1147"/>
  <c r="F330" i="1147"/>
  <c r="G330" i="1147"/>
  <c r="H330" i="1147"/>
  <c r="I330" i="1147"/>
  <c r="J330" i="1147"/>
  <c r="D331" i="1147"/>
  <c r="E331" i="1147"/>
  <c r="F331" i="1147"/>
  <c r="G331" i="1147"/>
  <c r="H331" i="1147"/>
  <c r="I331" i="1147"/>
  <c r="J331" i="1147"/>
  <c r="D332" i="1147"/>
  <c r="E332" i="1147"/>
  <c r="F332" i="1147"/>
  <c r="G332" i="1147"/>
  <c r="H332" i="1147"/>
  <c r="I332" i="1147"/>
  <c r="J332" i="1147"/>
  <c r="D333" i="1147"/>
  <c r="E333" i="1147"/>
  <c r="F333" i="1147"/>
  <c r="G333" i="1147"/>
  <c r="H333" i="1147"/>
  <c r="I333" i="1147"/>
  <c r="J333" i="1147"/>
  <c r="D334" i="1147"/>
  <c r="E334" i="1147"/>
  <c r="F334" i="1147"/>
  <c r="G334" i="1147"/>
  <c r="H334" i="1147"/>
  <c r="I334" i="1147"/>
  <c r="J334" i="1147"/>
  <c r="D335" i="1147"/>
  <c r="E335" i="1147"/>
  <c r="F335" i="1147"/>
  <c r="G335" i="1147"/>
  <c r="H335" i="1147"/>
  <c r="I335" i="1147"/>
  <c r="J335" i="1147"/>
  <c r="D336" i="1147"/>
  <c r="E336" i="1147"/>
  <c r="F336" i="1147"/>
  <c r="G336" i="1147"/>
  <c r="H336" i="1147"/>
  <c r="I336" i="1147"/>
  <c r="J336" i="1147"/>
  <c r="D337" i="1147"/>
  <c r="E337" i="1147"/>
  <c r="F337" i="1147"/>
  <c r="G337" i="1147"/>
  <c r="H337" i="1147"/>
  <c r="I337" i="1147"/>
  <c r="J337" i="1147"/>
  <c r="D338" i="1147"/>
  <c r="E338" i="1147"/>
  <c r="F338" i="1147"/>
  <c r="G338" i="1147"/>
  <c r="H338" i="1147"/>
  <c r="I338" i="1147"/>
  <c r="J338" i="1147"/>
  <c r="D339" i="1147"/>
  <c r="E339" i="1147"/>
  <c r="F339" i="1147"/>
  <c r="G339" i="1147"/>
  <c r="H339" i="1147"/>
  <c r="I339" i="1147"/>
  <c r="J339" i="1147"/>
  <c r="D340" i="1147"/>
  <c r="E340" i="1147"/>
  <c r="F340" i="1147"/>
  <c r="G340" i="1147"/>
  <c r="H340" i="1147"/>
  <c r="I340" i="1147"/>
  <c r="J340" i="1147"/>
  <c r="D341" i="1147"/>
  <c r="E341" i="1147"/>
  <c r="F341" i="1147"/>
  <c r="G341" i="1147"/>
  <c r="H341" i="1147"/>
  <c r="I341" i="1147"/>
  <c r="J341" i="1147"/>
  <c r="D342" i="1147"/>
  <c r="E342" i="1147"/>
  <c r="F342" i="1147"/>
  <c r="G342" i="1147"/>
  <c r="H342" i="1147"/>
  <c r="I342" i="1147"/>
  <c r="J342" i="1147"/>
  <c r="D343" i="1147"/>
  <c r="E343" i="1147"/>
  <c r="F343" i="1147"/>
  <c r="G343" i="1147"/>
  <c r="H343" i="1147"/>
  <c r="I343" i="1147"/>
  <c r="J343" i="1147"/>
  <c r="D344" i="1147"/>
  <c r="E344" i="1147"/>
  <c r="F344" i="1147"/>
  <c r="G344" i="1147"/>
  <c r="H344" i="1147"/>
  <c r="I344" i="1147"/>
  <c r="J344" i="1147"/>
  <c r="D345" i="1147"/>
  <c r="E345" i="1147"/>
  <c r="F345" i="1147"/>
  <c r="G345" i="1147"/>
  <c r="H345" i="1147"/>
  <c r="I345" i="1147"/>
  <c r="J345" i="1147"/>
  <c r="D346" i="1147"/>
  <c r="E346" i="1147"/>
  <c r="F346" i="1147"/>
  <c r="G346" i="1147"/>
  <c r="H346" i="1147"/>
  <c r="I346" i="1147"/>
  <c r="J346" i="1147"/>
  <c r="D347" i="1147"/>
  <c r="E347" i="1147"/>
  <c r="F347" i="1147"/>
  <c r="G347" i="1147"/>
  <c r="H347" i="1147"/>
  <c r="I347" i="1147"/>
  <c r="J347" i="1147"/>
  <c r="D348" i="1147"/>
  <c r="E348" i="1147"/>
  <c r="F348" i="1147"/>
  <c r="G348" i="1147"/>
  <c r="H348" i="1147"/>
  <c r="I348" i="1147"/>
  <c r="J348" i="1147"/>
  <c r="D349" i="1147"/>
  <c r="E349" i="1147"/>
  <c r="F349" i="1147"/>
  <c r="G349" i="1147"/>
  <c r="H349" i="1147"/>
  <c r="I349" i="1147"/>
  <c r="J349" i="1147"/>
  <c r="D350" i="1147"/>
  <c r="E350" i="1147"/>
  <c r="F350" i="1147"/>
  <c r="G350" i="1147"/>
  <c r="H350" i="1147"/>
  <c r="I350" i="1147"/>
  <c r="J350" i="1147"/>
  <c r="D351" i="1147"/>
  <c r="E351" i="1147"/>
  <c r="F351" i="1147"/>
  <c r="G351" i="1147"/>
  <c r="H351" i="1147"/>
  <c r="I351" i="1147"/>
  <c r="J351" i="1147"/>
  <c r="D352" i="1147"/>
  <c r="E352" i="1147"/>
  <c r="F352" i="1147"/>
  <c r="G352" i="1147"/>
  <c r="H352" i="1147"/>
  <c r="I352" i="1147"/>
  <c r="J352" i="1147"/>
  <c r="D353" i="1147"/>
  <c r="E353" i="1147"/>
  <c r="F353" i="1147"/>
  <c r="G353" i="1147"/>
  <c r="H353" i="1147"/>
  <c r="I353" i="1147"/>
  <c r="J353" i="1147"/>
  <c r="D354" i="1147"/>
  <c r="E354" i="1147"/>
  <c r="F354" i="1147"/>
  <c r="G354" i="1147"/>
  <c r="H354" i="1147"/>
  <c r="I354" i="1147"/>
  <c r="J354" i="1147"/>
  <c r="D355" i="1147"/>
  <c r="E355" i="1147"/>
  <c r="F355" i="1147"/>
  <c r="G355" i="1147"/>
  <c r="H355" i="1147"/>
  <c r="I355" i="1147"/>
  <c r="J355" i="1147"/>
  <c r="D356" i="1147"/>
  <c r="E356" i="1147"/>
  <c r="F356" i="1147"/>
  <c r="G356" i="1147"/>
  <c r="H356" i="1147"/>
  <c r="I356" i="1147"/>
  <c r="J356" i="1147"/>
  <c r="D357" i="1147"/>
  <c r="E357" i="1147"/>
  <c r="F357" i="1147"/>
  <c r="G357" i="1147"/>
  <c r="H357" i="1147"/>
  <c r="I357" i="1147"/>
  <c r="J357" i="1147"/>
  <c r="D358" i="1147"/>
  <c r="E358" i="1147"/>
  <c r="F358" i="1147"/>
  <c r="G358" i="1147"/>
  <c r="H358" i="1147"/>
  <c r="I358" i="1147"/>
  <c r="J358" i="1147"/>
  <c r="D359" i="1147"/>
  <c r="E359" i="1147"/>
  <c r="F359" i="1147"/>
  <c r="G359" i="1147"/>
  <c r="H359" i="1147"/>
  <c r="I359" i="1147"/>
  <c r="J359" i="1147"/>
  <c r="D360" i="1147"/>
  <c r="E360" i="1147"/>
  <c r="F360" i="1147"/>
  <c r="G360" i="1147"/>
  <c r="H360" i="1147"/>
  <c r="I360" i="1147"/>
  <c r="J360" i="1147"/>
  <c r="D361" i="1147"/>
  <c r="E361" i="1147"/>
  <c r="F361" i="1147"/>
  <c r="G361" i="1147"/>
  <c r="H361" i="1147"/>
  <c r="I361" i="1147"/>
  <c r="J361" i="1147"/>
  <c r="D362" i="1147"/>
  <c r="E362" i="1147"/>
  <c r="F362" i="1147"/>
  <c r="G362" i="1147"/>
  <c r="H362" i="1147"/>
  <c r="I362" i="1147"/>
  <c r="J362" i="1147"/>
  <c r="D363" i="1147"/>
  <c r="E363" i="1147"/>
  <c r="F363" i="1147"/>
  <c r="G363" i="1147"/>
  <c r="H363" i="1147"/>
  <c r="I363" i="1147"/>
  <c r="J363" i="1147"/>
  <c r="D364" i="1147"/>
  <c r="E364" i="1147"/>
  <c r="F364" i="1147"/>
  <c r="G364" i="1147"/>
  <c r="H364" i="1147"/>
  <c r="I364" i="1147"/>
  <c r="J364" i="1147"/>
  <c r="D365" i="1147"/>
  <c r="E365" i="1147"/>
  <c r="F365" i="1147"/>
  <c r="G365" i="1147"/>
  <c r="H365" i="1147"/>
  <c r="I365" i="1147"/>
  <c r="J365" i="1147"/>
  <c r="D366" i="1147"/>
  <c r="E366" i="1147"/>
  <c r="F366" i="1147"/>
  <c r="G366" i="1147"/>
  <c r="H366" i="1147"/>
  <c r="I366" i="1147"/>
  <c r="J366" i="1147"/>
  <c r="D367" i="1147"/>
  <c r="E367" i="1147"/>
  <c r="F367" i="1147"/>
  <c r="G367" i="1147"/>
  <c r="H367" i="1147"/>
  <c r="I367" i="1147"/>
  <c r="J367" i="1147"/>
  <c r="D368" i="1147"/>
  <c r="E368" i="1147"/>
  <c r="F368" i="1147"/>
  <c r="G368" i="1147"/>
  <c r="H368" i="1147"/>
  <c r="I368" i="1147"/>
  <c r="J368" i="1147"/>
  <c r="D369" i="1147"/>
  <c r="E369" i="1147"/>
  <c r="F369" i="1147"/>
  <c r="G369" i="1147"/>
  <c r="H369" i="1147"/>
  <c r="I369" i="1147"/>
  <c r="J369" i="1147"/>
  <c r="D370" i="1147"/>
  <c r="E370" i="1147"/>
  <c r="F370" i="1147"/>
  <c r="G370" i="1147"/>
  <c r="H370" i="1147"/>
  <c r="I370" i="1147"/>
  <c r="J370" i="1147"/>
  <c r="D371" i="1147"/>
  <c r="E371" i="1147"/>
  <c r="F371" i="1147"/>
  <c r="G371" i="1147"/>
  <c r="H371" i="1147"/>
  <c r="I371" i="1147"/>
  <c r="J371" i="1147"/>
  <c r="D372" i="1147"/>
  <c r="E372" i="1147"/>
  <c r="F372" i="1147"/>
  <c r="G372" i="1147"/>
  <c r="H372" i="1147"/>
  <c r="I372" i="1147"/>
  <c r="J372" i="1147"/>
  <c r="D373" i="1147"/>
  <c r="E373" i="1147"/>
  <c r="F373" i="1147"/>
  <c r="G373" i="1147"/>
  <c r="H373" i="1147"/>
  <c r="I373" i="1147"/>
  <c r="J373" i="1147"/>
  <c r="D374" i="1147"/>
  <c r="E374" i="1147"/>
  <c r="F374" i="1147"/>
  <c r="G374" i="1147"/>
  <c r="H374" i="1147"/>
  <c r="I374" i="1147"/>
  <c r="J374" i="1147"/>
  <c r="D375" i="1147"/>
  <c r="E375" i="1147"/>
  <c r="F375" i="1147"/>
  <c r="G375" i="1147"/>
  <c r="H375" i="1147"/>
  <c r="I375" i="1147"/>
  <c r="J375" i="1147"/>
  <c r="D376" i="1147"/>
  <c r="E376" i="1147"/>
  <c r="F376" i="1147"/>
  <c r="G376" i="1147"/>
  <c r="H376" i="1147"/>
  <c r="I376" i="1147"/>
  <c r="J376" i="1147"/>
  <c r="D377" i="1147"/>
  <c r="E377" i="1147"/>
  <c r="F377" i="1147"/>
  <c r="G377" i="1147"/>
  <c r="H377" i="1147"/>
  <c r="I377" i="1147"/>
  <c r="J377" i="1147"/>
  <c r="D378" i="1147"/>
  <c r="E378" i="1147"/>
  <c r="F378" i="1147"/>
  <c r="G378" i="1147"/>
  <c r="H378" i="1147"/>
  <c r="I378" i="1147"/>
  <c r="J378" i="1147"/>
  <c r="D379" i="1147"/>
  <c r="E379" i="1147"/>
  <c r="F379" i="1147"/>
  <c r="G379" i="1147"/>
  <c r="H379" i="1147"/>
  <c r="I379" i="1147"/>
  <c r="J379" i="1147"/>
  <c r="D380" i="1147"/>
  <c r="E380" i="1147"/>
  <c r="F380" i="1147"/>
  <c r="G380" i="1147"/>
  <c r="H380" i="1147"/>
  <c r="I380" i="1147"/>
  <c r="J380" i="1147"/>
  <c r="D381" i="1147"/>
  <c r="E381" i="1147"/>
  <c r="F381" i="1147"/>
  <c r="G381" i="1147"/>
  <c r="H381" i="1147"/>
  <c r="I381" i="1147"/>
  <c r="J381" i="1147"/>
  <c r="D382" i="1147"/>
  <c r="E382" i="1147"/>
  <c r="F382" i="1147"/>
  <c r="G382" i="1147"/>
  <c r="H382" i="1147"/>
  <c r="I382" i="1147"/>
  <c r="J382" i="1147"/>
  <c r="D383" i="1147"/>
  <c r="E383" i="1147"/>
  <c r="F383" i="1147"/>
  <c r="G383" i="1147"/>
  <c r="H383" i="1147"/>
  <c r="I383" i="1147"/>
  <c r="J383" i="1147"/>
  <c r="D384" i="1147"/>
  <c r="E384" i="1147"/>
  <c r="F384" i="1147"/>
  <c r="G384" i="1147"/>
  <c r="H384" i="1147"/>
  <c r="I384" i="1147"/>
  <c r="J384" i="1147"/>
  <c r="D385" i="1147"/>
  <c r="E385" i="1147"/>
  <c r="F385" i="1147"/>
  <c r="G385" i="1147"/>
  <c r="H385" i="1147"/>
  <c r="I385" i="1147"/>
  <c r="J385" i="1147"/>
  <c r="D386" i="1147"/>
  <c r="E386" i="1147"/>
  <c r="F386" i="1147"/>
  <c r="G386" i="1147"/>
  <c r="H386" i="1147"/>
  <c r="I386" i="1147"/>
  <c r="J386" i="1147"/>
  <c r="D387" i="1147"/>
  <c r="E387" i="1147"/>
  <c r="F387" i="1147"/>
  <c r="G387" i="1147"/>
  <c r="H387" i="1147"/>
  <c r="I387" i="1147"/>
  <c r="J387" i="1147"/>
  <c r="D388" i="1147"/>
  <c r="E388" i="1147"/>
  <c r="F388" i="1147"/>
  <c r="G388" i="1147"/>
  <c r="H388" i="1147"/>
  <c r="I388" i="1147"/>
  <c r="J388" i="1147"/>
  <c r="D389" i="1147"/>
  <c r="E389" i="1147"/>
  <c r="F389" i="1147"/>
  <c r="G389" i="1147"/>
  <c r="H389" i="1147"/>
  <c r="I389" i="1147"/>
  <c r="J389" i="1147"/>
  <c r="D390" i="1147"/>
  <c r="E390" i="1147"/>
  <c r="F390" i="1147"/>
  <c r="G390" i="1147"/>
  <c r="H390" i="1147"/>
  <c r="I390" i="1147"/>
  <c r="J390" i="1147"/>
  <c r="D391" i="1147"/>
  <c r="E391" i="1147"/>
  <c r="F391" i="1147"/>
  <c r="G391" i="1147"/>
  <c r="H391" i="1147"/>
  <c r="I391" i="1147"/>
  <c r="J391" i="1147"/>
  <c r="D392" i="1147"/>
  <c r="E392" i="1147"/>
  <c r="F392" i="1147"/>
  <c r="G392" i="1147"/>
  <c r="H392" i="1147"/>
  <c r="I392" i="1147"/>
  <c r="J392" i="1147"/>
  <c r="D393" i="1147"/>
  <c r="E393" i="1147"/>
  <c r="F393" i="1147"/>
  <c r="G393" i="1147"/>
  <c r="H393" i="1147"/>
  <c r="I393" i="1147"/>
  <c r="J393" i="1147"/>
  <c r="D394" i="1147"/>
  <c r="E394" i="1147"/>
  <c r="F394" i="1147"/>
  <c r="G394" i="1147"/>
  <c r="H394" i="1147"/>
  <c r="I394" i="1147"/>
  <c r="J394" i="1147"/>
  <c r="D395" i="1147"/>
  <c r="E395" i="1147"/>
  <c r="F395" i="1147"/>
  <c r="G395" i="1147"/>
  <c r="H395" i="1147"/>
  <c r="I395" i="1147"/>
  <c r="J395" i="1147"/>
  <c r="D396" i="1147"/>
  <c r="E396" i="1147"/>
  <c r="F396" i="1147"/>
  <c r="G396" i="1147"/>
  <c r="H396" i="1147"/>
  <c r="I396" i="1147"/>
  <c r="J396" i="1147"/>
  <c r="D397" i="1147"/>
  <c r="E397" i="1147"/>
  <c r="F397" i="1147"/>
  <c r="G397" i="1147"/>
  <c r="H397" i="1147"/>
  <c r="I397" i="1147"/>
  <c r="J397" i="1147"/>
  <c r="D398" i="1147"/>
  <c r="E398" i="1147"/>
  <c r="F398" i="1147"/>
  <c r="G398" i="1147"/>
  <c r="H398" i="1147"/>
  <c r="I398" i="1147"/>
  <c r="J398" i="1147"/>
  <c r="D399" i="1147"/>
  <c r="E399" i="1147"/>
  <c r="F399" i="1147"/>
  <c r="G399" i="1147"/>
  <c r="H399" i="1147"/>
  <c r="I399" i="1147"/>
  <c r="J399" i="1147"/>
  <c r="D400" i="1147"/>
  <c r="E400" i="1147"/>
  <c r="F400" i="1147"/>
  <c r="G400" i="1147"/>
  <c r="H400" i="1147"/>
  <c r="I400" i="1147"/>
  <c r="J400" i="1147"/>
  <c r="D401" i="1147"/>
  <c r="E401" i="1147"/>
  <c r="F401" i="1147"/>
  <c r="G401" i="1147"/>
  <c r="H401" i="1147"/>
  <c r="I401" i="1147"/>
  <c r="J401" i="1147"/>
  <c r="D402" i="1147"/>
  <c r="E402" i="1147"/>
  <c r="F402" i="1147"/>
  <c r="G402" i="1147"/>
  <c r="H402" i="1147"/>
  <c r="I402" i="1147"/>
  <c r="J402" i="1147"/>
  <c r="D403" i="1147"/>
  <c r="E403" i="1147"/>
  <c r="F403" i="1147"/>
  <c r="G403" i="1147"/>
  <c r="H403" i="1147"/>
  <c r="I403" i="1147"/>
  <c r="J403" i="1147"/>
  <c r="D404" i="1147"/>
  <c r="E404" i="1147"/>
  <c r="F404" i="1147"/>
  <c r="G404" i="1147"/>
  <c r="H404" i="1147"/>
  <c r="I404" i="1147"/>
  <c r="J404" i="1147"/>
  <c r="D405" i="1147"/>
  <c r="E405" i="1147"/>
  <c r="F405" i="1147"/>
  <c r="G405" i="1147"/>
  <c r="H405" i="1147"/>
  <c r="I405" i="1147"/>
  <c r="J405" i="1147"/>
  <c r="D406" i="1147"/>
  <c r="E406" i="1147"/>
  <c r="F406" i="1147"/>
  <c r="G406" i="1147"/>
  <c r="H406" i="1147"/>
  <c r="I406" i="1147"/>
  <c r="J406" i="1147"/>
  <c r="D407" i="1147"/>
  <c r="E407" i="1147"/>
  <c r="F407" i="1147"/>
  <c r="G407" i="1147"/>
  <c r="H407" i="1147"/>
  <c r="I407" i="1147"/>
  <c r="J407" i="1147"/>
  <c r="D408" i="1147"/>
  <c r="E408" i="1147"/>
  <c r="F408" i="1147"/>
  <c r="G408" i="1147"/>
  <c r="H408" i="1147"/>
  <c r="I408" i="1147"/>
  <c r="J408" i="1147"/>
  <c r="D409" i="1147"/>
  <c r="E409" i="1147"/>
  <c r="F409" i="1147"/>
  <c r="G409" i="1147"/>
  <c r="H409" i="1147"/>
  <c r="I409" i="1147"/>
  <c r="J409" i="1147"/>
  <c r="D410" i="1147"/>
  <c r="E410" i="1147"/>
  <c r="F410" i="1147"/>
  <c r="G410" i="1147"/>
  <c r="H410" i="1147"/>
  <c r="I410" i="1147"/>
  <c r="J410" i="1147"/>
  <c r="D411" i="1147"/>
  <c r="E411" i="1147"/>
  <c r="F411" i="1147"/>
  <c r="G411" i="1147"/>
  <c r="H411" i="1147"/>
  <c r="I411" i="1147"/>
  <c r="J411" i="1147"/>
  <c r="D412" i="1147"/>
  <c r="E412" i="1147"/>
  <c r="F412" i="1147"/>
  <c r="G412" i="1147"/>
  <c r="H412" i="1147"/>
  <c r="I412" i="1147"/>
  <c r="J412" i="1147"/>
  <c r="D413" i="1147"/>
  <c r="E413" i="1147"/>
  <c r="F413" i="1147"/>
  <c r="G413" i="1147"/>
  <c r="H413" i="1147"/>
  <c r="I413" i="1147"/>
  <c r="J413" i="1147"/>
  <c r="D414" i="1147"/>
  <c r="E414" i="1147"/>
  <c r="F414" i="1147"/>
  <c r="G414" i="1147"/>
  <c r="H414" i="1147"/>
  <c r="I414" i="1147"/>
  <c r="J414" i="1147"/>
  <c r="D415" i="1147"/>
  <c r="E415" i="1147"/>
  <c r="F415" i="1147"/>
  <c r="G415" i="1147"/>
  <c r="H415" i="1147"/>
  <c r="I415" i="1147"/>
  <c r="J415" i="1147"/>
  <c r="D416" i="1147"/>
  <c r="E416" i="1147"/>
  <c r="F416" i="1147"/>
  <c r="G416" i="1147"/>
  <c r="H416" i="1147"/>
  <c r="I416" i="1147"/>
  <c r="J416" i="1147"/>
  <c r="D417" i="1147"/>
  <c r="E417" i="1147"/>
  <c r="F417" i="1147"/>
  <c r="G417" i="1147"/>
  <c r="H417" i="1147"/>
  <c r="I417" i="1147"/>
  <c r="J417" i="1147"/>
  <c r="D418" i="1147"/>
  <c r="E418" i="1147"/>
  <c r="F418" i="1147"/>
  <c r="G418" i="1147"/>
  <c r="H418" i="1147"/>
  <c r="I418" i="1147"/>
  <c r="J418" i="1147"/>
  <c r="D419" i="1147"/>
  <c r="E419" i="1147"/>
  <c r="F419" i="1147"/>
  <c r="G419" i="1147"/>
  <c r="H419" i="1147"/>
  <c r="I419" i="1147"/>
  <c r="J419" i="1147"/>
  <c r="D420" i="1147"/>
  <c r="E420" i="1147"/>
  <c r="F420" i="1147"/>
  <c r="G420" i="1147"/>
  <c r="H420" i="1147"/>
  <c r="I420" i="1147"/>
  <c r="J420" i="1147"/>
  <c r="D421" i="1147"/>
  <c r="E421" i="1147"/>
  <c r="F421" i="1147"/>
  <c r="G421" i="1147"/>
  <c r="H421" i="1147"/>
  <c r="I421" i="1147"/>
  <c r="J421" i="1147"/>
  <c r="D422" i="1147"/>
  <c r="E422" i="1147"/>
  <c r="F422" i="1147"/>
  <c r="G422" i="1147"/>
  <c r="H422" i="1147"/>
  <c r="I422" i="1147"/>
  <c r="J422" i="1147"/>
  <c r="D423" i="1147"/>
  <c r="E423" i="1147"/>
  <c r="F423" i="1147"/>
  <c r="G423" i="1147"/>
  <c r="H423" i="1147"/>
  <c r="I423" i="1147"/>
  <c r="J423" i="1147"/>
  <c r="D424" i="1147"/>
  <c r="E424" i="1147"/>
  <c r="F424" i="1147"/>
  <c r="G424" i="1147"/>
  <c r="H424" i="1147"/>
  <c r="I424" i="1147"/>
  <c r="J424" i="1147"/>
  <c r="D425" i="1147"/>
  <c r="E425" i="1147"/>
  <c r="F425" i="1147"/>
  <c r="G425" i="1147"/>
  <c r="H425" i="1147"/>
  <c r="I425" i="1147"/>
  <c r="J425" i="1147"/>
  <c r="D426" i="1147"/>
  <c r="E426" i="1147"/>
  <c r="F426" i="1147"/>
  <c r="G426" i="1147"/>
  <c r="H426" i="1147"/>
  <c r="I426" i="1147"/>
  <c r="J426" i="1147"/>
  <c r="D427" i="1147"/>
  <c r="E427" i="1147"/>
  <c r="F427" i="1147"/>
  <c r="G427" i="1147"/>
  <c r="H427" i="1147"/>
  <c r="I427" i="1147"/>
  <c r="J427" i="1147"/>
  <c r="D428" i="1147"/>
  <c r="E428" i="1147"/>
  <c r="F428" i="1147"/>
  <c r="G428" i="1147"/>
  <c r="H428" i="1147"/>
  <c r="I428" i="1147"/>
  <c r="J428" i="1147"/>
  <c r="D429" i="1147"/>
  <c r="E429" i="1147"/>
  <c r="F429" i="1147"/>
  <c r="G429" i="1147"/>
  <c r="H429" i="1147"/>
  <c r="I429" i="1147"/>
  <c r="J429" i="1147"/>
  <c r="D430" i="1147"/>
  <c r="E430" i="1147"/>
  <c r="F430" i="1147"/>
  <c r="G430" i="1147"/>
  <c r="H430" i="1147"/>
  <c r="I430" i="1147"/>
  <c r="J430" i="1147"/>
  <c r="D431" i="1147"/>
  <c r="E431" i="1147"/>
  <c r="F431" i="1147"/>
  <c r="G431" i="1147"/>
  <c r="H431" i="1147"/>
  <c r="I431" i="1147"/>
  <c r="J431" i="1147"/>
  <c r="D432" i="1147"/>
  <c r="E432" i="1147"/>
  <c r="F432" i="1147"/>
  <c r="G432" i="1147"/>
  <c r="H432" i="1147"/>
  <c r="I432" i="1147"/>
  <c r="J432" i="1147"/>
  <c r="D433" i="1147"/>
  <c r="E433" i="1147"/>
  <c r="F433" i="1147"/>
  <c r="G433" i="1147"/>
  <c r="H433" i="1147"/>
  <c r="I433" i="1147"/>
  <c r="J433" i="1147"/>
  <c r="D434" i="1147"/>
  <c r="E434" i="1147"/>
  <c r="F434" i="1147"/>
  <c r="G434" i="1147"/>
  <c r="H434" i="1147"/>
  <c r="I434" i="1147"/>
  <c r="J434" i="1147"/>
  <c r="D435" i="1147"/>
  <c r="E435" i="1147"/>
  <c r="F435" i="1147"/>
  <c r="G435" i="1147"/>
  <c r="H435" i="1147"/>
  <c r="I435" i="1147"/>
  <c r="J435" i="1147"/>
  <c r="D436" i="1147"/>
  <c r="E436" i="1147"/>
  <c r="F436" i="1147"/>
  <c r="G436" i="1147"/>
  <c r="H436" i="1147"/>
  <c r="I436" i="1147"/>
  <c r="J436" i="1147"/>
  <c r="D437" i="1147"/>
  <c r="E437" i="1147"/>
  <c r="F437" i="1147"/>
  <c r="G437" i="1147"/>
  <c r="H437" i="1147"/>
  <c r="I437" i="1147"/>
  <c r="J437" i="1147"/>
  <c r="D438" i="1147"/>
  <c r="E438" i="1147"/>
  <c r="F438" i="1147"/>
  <c r="G438" i="1147"/>
  <c r="H438" i="1147"/>
  <c r="I438" i="1147"/>
  <c r="J438" i="1147"/>
  <c r="D439" i="1147"/>
  <c r="E439" i="1147"/>
  <c r="F439" i="1147"/>
  <c r="G439" i="1147"/>
  <c r="H439" i="1147"/>
  <c r="I439" i="1147"/>
  <c r="J439" i="1147"/>
  <c r="D440" i="1147"/>
  <c r="E440" i="1147"/>
  <c r="F440" i="1147"/>
  <c r="G440" i="1147"/>
  <c r="H440" i="1147"/>
  <c r="I440" i="1147"/>
  <c r="J440" i="1147"/>
  <c r="D441" i="1147"/>
  <c r="E441" i="1147"/>
  <c r="F441" i="1147"/>
  <c r="G441" i="1147"/>
  <c r="H441" i="1147"/>
  <c r="I441" i="1147"/>
  <c r="J441" i="1147"/>
  <c r="D442" i="1147"/>
  <c r="E442" i="1147"/>
  <c r="F442" i="1147"/>
  <c r="G442" i="1147"/>
  <c r="H442" i="1147"/>
  <c r="I442" i="1147"/>
  <c r="J442" i="1147"/>
  <c r="D443" i="1147"/>
  <c r="E443" i="1147"/>
  <c r="F443" i="1147"/>
  <c r="G443" i="1147"/>
  <c r="H443" i="1147"/>
  <c r="I443" i="1147"/>
  <c r="J443" i="1147"/>
  <c r="D444" i="1147"/>
  <c r="E444" i="1147"/>
  <c r="F444" i="1147"/>
  <c r="G444" i="1147"/>
  <c r="H444" i="1147"/>
  <c r="I444" i="1147"/>
  <c r="J444" i="1147"/>
  <c r="D445" i="1147"/>
  <c r="E445" i="1147"/>
  <c r="F445" i="1147"/>
  <c r="G445" i="1147"/>
  <c r="H445" i="1147"/>
  <c r="I445" i="1147"/>
  <c r="J445" i="1147"/>
  <c r="D446" i="1147"/>
  <c r="E446" i="1147"/>
  <c r="F446" i="1147"/>
  <c r="G446" i="1147"/>
  <c r="H446" i="1147"/>
  <c r="I446" i="1147"/>
  <c r="J446" i="1147"/>
  <c r="D447" i="1147"/>
  <c r="E447" i="1147"/>
  <c r="F447" i="1147"/>
  <c r="G447" i="1147"/>
  <c r="H447" i="1147"/>
  <c r="I447" i="1147"/>
  <c r="J447" i="1147"/>
  <c r="D448" i="1147"/>
  <c r="E448" i="1147"/>
  <c r="F448" i="1147"/>
  <c r="G448" i="1147"/>
  <c r="H448" i="1147"/>
  <c r="I448" i="1147"/>
  <c r="J448" i="1147"/>
  <c r="D449" i="1147"/>
  <c r="E449" i="1147"/>
  <c r="F449" i="1147"/>
  <c r="G449" i="1147"/>
  <c r="H449" i="1147"/>
  <c r="I449" i="1147"/>
  <c r="J449" i="1147"/>
  <c r="D450" i="1147"/>
  <c r="E450" i="1147"/>
  <c r="F450" i="1147"/>
  <c r="G450" i="1147"/>
  <c r="H450" i="1147"/>
  <c r="I450" i="1147"/>
  <c r="J450" i="1147"/>
  <c r="D451" i="1147"/>
  <c r="E451" i="1147"/>
  <c r="F451" i="1147"/>
  <c r="G451" i="1147"/>
  <c r="H451" i="1147"/>
  <c r="I451" i="1147"/>
  <c r="J451" i="1147"/>
  <c r="D452" i="1147"/>
  <c r="E452" i="1147"/>
  <c r="F452" i="1147"/>
  <c r="G452" i="1147"/>
  <c r="H452" i="1147"/>
  <c r="I452" i="1147"/>
  <c r="J452" i="1147"/>
  <c r="D453" i="1147"/>
  <c r="E453" i="1147"/>
  <c r="F453" i="1147"/>
  <c r="G453" i="1147"/>
  <c r="H453" i="1147"/>
  <c r="I453" i="1147"/>
  <c r="J453" i="1147"/>
  <c r="D454" i="1147"/>
  <c r="E454" i="1147"/>
  <c r="F454" i="1147"/>
  <c r="G454" i="1147"/>
  <c r="H454" i="1147"/>
  <c r="I454" i="1147"/>
  <c r="J454" i="1147"/>
  <c r="D455" i="1147"/>
  <c r="E455" i="1147"/>
  <c r="F455" i="1147"/>
  <c r="G455" i="1147"/>
  <c r="H455" i="1147"/>
  <c r="I455" i="1147"/>
  <c r="J455" i="1147"/>
  <c r="D456" i="1147"/>
  <c r="E456" i="1147"/>
  <c r="F456" i="1147"/>
  <c r="G456" i="1147"/>
  <c r="H456" i="1147"/>
  <c r="I456" i="1147"/>
  <c r="J456" i="1147"/>
  <c r="D457" i="1147"/>
  <c r="E457" i="1147"/>
  <c r="F457" i="1147"/>
  <c r="G457" i="1147"/>
  <c r="H457" i="1147"/>
  <c r="I457" i="1147"/>
  <c r="J457" i="1147"/>
  <c r="D458" i="1147"/>
  <c r="E458" i="1147"/>
  <c r="F458" i="1147"/>
  <c r="G458" i="1147"/>
  <c r="H458" i="1147"/>
  <c r="I458" i="1147"/>
  <c r="J458" i="1147"/>
  <c r="D459" i="1147"/>
  <c r="E459" i="1147"/>
  <c r="F459" i="1147"/>
  <c r="G459" i="1147"/>
  <c r="H459" i="1147"/>
  <c r="I459" i="1147"/>
  <c r="J459" i="1147"/>
  <c r="D460" i="1147"/>
  <c r="E460" i="1147"/>
  <c r="F460" i="1147"/>
  <c r="G460" i="1147"/>
  <c r="H460" i="1147"/>
  <c r="I460" i="1147"/>
  <c r="J460" i="1147"/>
  <c r="D461" i="1147"/>
  <c r="E461" i="1147"/>
  <c r="F461" i="1147"/>
  <c r="G461" i="1147"/>
  <c r="H461" i="1147"/>
  <c r="I461" i="1147"/>
  <c r="J461" i="1147"/>
  <c r="D462" i="1147"/>
  <c r="E462" i="1147"/>
  <c r="F462" i="1147"/>
  <c r="G462" i="1147"/>
  <c r="H462" i="1147"/>
  <c r="I462" i="1147"/>
  <c r="J462" i="1147"/>
  <c r="D463" i="1147"/>
  <c r="E463" i="1147"/>
  <c r="F463" i="1147"/>
  <c r="G463" i="1147"/>
  <c r="H463" i="1147"/>
  <c r="I463" i="1147"/>
  <c r="J463" i="1147"/>
  <c r="D464" i="1147"/>
  <c r="E464" i="1147"/>
  <c r="F464" i="1147"/>
  <c r="G464" i="1147"/>
  <c r="H464" i="1147"/>
  <c r="I464" i="1147"/>
  <c r="J464" i="1147"/>
  <c r="D465" i="1147"/>
  <c r="E465" i="1147"/>
  <c r="F465" i="1147"/>
  <c r="G465" i="1147"/>
  <c r="H465" i="1147"/>
  <c r="I465" i="1147"/>
  <c r="J465" i="1147"/>
  <c r="D466" i="1147"/>
  <c r="E466" i="1147"/>
  <c r="F466" i="1147"/>
  <c r="G466" i="1147"/>
  <c r="H466" i="1147"/>
  <c r="I466" i="1147"/>
  <c r="J466" i="1147"/>
  <c r="D467" i="1147"/>
  <c r="E467" i="1147"/>
  <c r="F467" i="1147"/>
  <c r="G467" i="1147"/>
  <c r="H467" i="1147"/>
  <c r="I467" i="1147"/>
  <c r="J467" i="1147"/>
  <c r="D468" i="1147"/>
  <c r="E468" i="1147"/>
  <c r="F468" i="1147"/>
  <c r="G468" i="1147"/>
  <c r="H468" i="1147"/>
  <c r="I468" i="1147"/>
  <c r="J468" i="1147"/>
  <c r="D469" i="1147"/>
  <c r="E469" i="1147"/>
  <c r="F469" i="1147"/>
  <c r="G469" i="1147"/>
  <c r="H469" i="1147"/>
  <c r="I469" i="1147"/>
  <c r="J469" i="1147"/>
  <c r="D470" i="1147"/>
  <c r="E470" i="1147"/>
  <c r="F470" i="1147"/>
  <c r="G470" i="1147"/>
  <c r="H470" i="1147"/>
  <c r="I470" i="1147"/>
  <c r="J470" i="1147"/>
  <c r="D471" i="1147"/>
  <c r="E471" i="1147"/>
  <c r="F471" i="1147"/>
  <c r="G471" i="1147"/>
  <c r="H471" i="1147"/>
  <c r="I471" i="1147"/>
  <c r="J471" i="1147"/>
  <c r="D472" i="1147"/>
  <c r="E472" i="1147"/>
  <c r="F472" i="1147"/>
  <c r="G472" i="1147"/>
  <c r="H472" i="1147"/>
  <c r="I472" i="1147"/>
  <c r="J472" i="1147"/>
  <c r="D473" i="1147"/>
  <c r="E473" i="1147"/>
  <c r="F473" i="1147"/>
  <c r="G473" i="1147"/>
  <c r="H473" i="1147"/>
  <c r="I473" i="1147"/>
  <c r="J473" i="1147"/>
  <c r="D474" i="1147"/>
  <c r="E474" i="1147"/>
  <c r="F474" i="1147"/>
  <c r="G474" i="1147"/>
  <c r="H474" i="1147"/>
  <c r="I474" i="1147"/>
  <c r="J474" i="1147"/>
  <c r="D475" i="1147"/>
  <c r="E475" i="1147"/>
  <c r="F475" i="1147"/>
  <c r="G475" i="1147"/>
  <c r="H475" i="1147"/>
  <c r="I475" i="1147"/>
  <c r="J475" i="1147"/>
  <c r="D476" i="1147"/>
  <c r="E476" i="1147"/>
  <c r="F476" i="1147"/>
  <c r="G476" i="1147"/>
  <c r="H476" i="1147"/>
  <c r="I476" i="1147"/>
  <c r="J476" i="1147"/>
  <c r="D477" i="1147"/>
  <c r="E477" i="1147"/>
  <c r="F477" i="1147"/>
  <c r="G477" i="1147"/>
  <c r="H477" i="1147"/>
  <c r="I477" i="1147"/>
  <c r="J477" i="1147"/>
  <c r="D478" i="1147"/>
  <c r="E478" i="1147"/>
  <c r="F478" i="1147"/>
  <c r="G478" i="1147"/>
  <c r="H478" i="1147"/>
  <c r="I478" i="1147"/>
  <c r="J478" i="1147"/>
  <c r="D479" i="1147"/>
  <c r="E479" i="1147"/>
  <c r="F479" i="1147"/>
  <c r="G479" i="1147"/>
  <c r="H479" i="1147"/>
  <c r="I479" i="1147"/>
  <c r="J479" i="1147"/>
  <c r="D480" i="1147"/>
  <c r="E480" i="1147"/>
  <c r="F480" i="1147"/>
  <c r="G480" i="1147"/>
  <c r="H480" i="1147"/>
  <c r="I480" i="1147"/>
  <c r="J480" i="1147"/>
  <c r="D481" i="1147"/>
  <c r="E481" i="1147"/>
  <c r="F481" i="1147"/>
  <c r="G481" i="1147"/>
  <c r="H481" i="1147"/>
  <c r="I481" i="1147"/>
  <c r="J481" i="1147"/>
  <c r="D482" i="1147"/>
  <c r="E482" i="1147"/>
  <c r="F482" i="1147"/>
  <c r="G482" i="1147"/>
  <c r="H482" i="1147"/>
  <c r="I482" i="1147"/>
  <c r="J482" i="1147"/>
  <c r="D483" i="1147"/>
  <c r="E483" i="1147"/>
  <c r="F483" i="1147"/>
  <c r="G483" i="1147"/>
  <c r="H483" i="1147"/>
  <c r="I483" i="1147"/>
  <c r="J483" i="1147"/>
  <c r="D484" i="1147"/>
  <c r="E484" i="1147"/>
  <c r="F484" i="1147"/>
  <c r="G484" i="1147"/>
  <c r="H484" i="1147"/>
  <c r="I484" i="1147"/>
  <c r="J484" i="1147"/>
  <c r="D485" i="1147"/>
  <c r="E485" i="1147"/>
  <c r="F485" i="1147"/>
  <c r="G485" i="1147"/>
  <c r="H485" i="1147"/>
  <c r="I485" i="1147"/>
  <c r="J485" i="1147"/>
  <c r="D486" i="1147"/>
  <c r="E486" i="1147"/>
  <c r="F486" i="1147"/>
  <c r="G486" i="1147"/>
  <c r="H486" i="1147"/>
  <c r="I486" i="1147"/>
  <c r="J486" i="1147"/>
  <c r="D487" i="1147"/>
  <c r="E487" i="1147"/>
  <c r="F487" i="1147"/>
  <c r="G487" i="1147"/>
  <c r="H487" i="1147"/>
  <c r="I487" i="1147"/>
  <c r="J487" i="1147"/>
  <c r="D488" i="1147"/>
  <c r="E488" i="1147"/>
  <c r="F488" i="1147"/>
  <c r="G488" i="1147"/>
  <c r="H488" i="1147"/>
  <c r="I488" i="1147"/>
  <c r="J488" i="1147"/>
  <c r="D489" i="1147"/>
  <c r="E489" i="1147"/>
  <c r="F489" i="1147"/>
  <c r="G489" i="1147"/>
  <c r="H489" i="1147"/>
  <c r="I489" i="1147"/>
  <c r="J489" i="1147"/>
  <c r="D490" i="1147"/>
  <c r="E490" i="1147"/>
  <c r="F490" i="1147"/>
  <c r="G490" i="1147"/>
  <c r="H490" i="1147"/>
  <c r="I490" i="1147"/>
  <c r="J490" i="1147"/>
  <c r="D491" i="1147"/>
  <c r="E491" i="1147"/>
  <c r="F491" i="1147"/>
  <c r="G491" i="1147"/>
  <c r="H491" i="1147"/>
  <c r="I491" i="1147"/>
  <c r="J491" i="1147"/>
  <c r="D492" i="1147"/>
  <c r="E492" i="1147"/>
  <c r="F492" i="1147"/>
  <c r="G492" i="1147"/>
  <c r="H492" i="1147"/>
  <c r="I492" i="1147"/>
  <c r="J492" i="1147"/>
  <c r="D493" i="1147"/>
  <c r="E493" i="1147"/>
  <c r="F493" i="1147"/>
  <c r="G493" i="1147"/>
  <c r="H493" i="1147"/>
  <c r="I493" i="1147"/>
  <c r="J493" i="1147"/>
  <c r="D494" i="1147"/>
  <c r="E494" i="1147"/>
  <c r="F494" i="1147"/>
  <c r="G494" i="1147"/>
  <c r="H494" i="1147"/>
  <c r="I494" i="1147"/>
  <c r="J494" i="1147"/>
  <c r="D495" i="1147"/>
  <c r="E495" i="1147"/>
  <c r="F495" i="1147"/>
  <c r="G495" i="1147"/>
  <c r="H495" i="1147"/>
  <c r="I495" i="1147"/>
  <c r="J495" i="1147"/>
  <c r="D496" i="1147"/>
  <c r="E496" i="1147"/>
  <c r="F496" i="1147"/>
  <c r="G496" i="1147"/>
  <c r="H496" i="1147"/>
  <c r="I496" i="1147"/>
  <c r="J496" i="1147"/>
  <c r="D497" i="1147"/>
  <c r="E497" i="1147"/>
  <c r="F497" i="1147"/>
  <c r="G497" i="1147"/>
  <c r="H497" i="1147"/>
  <c r="I497" i="1147"/>
  <c r="J497" i="1147"/>
  <c r="D498" i="1147"/>
  <c r="E498" i="1147"/>
  <c r="F498" i="1147"/>
  <c r="G498" i="1147"/>
  <c r="H498" i="1147"/>
  <c r="I498" i="1147"/>
  <c r="J498" i="1147"/>
  <c r="D499" i="1147"/>
  <c r="E499" i="1147"/>
  <c r="F499" i="1147"/>
  <c r="G499" i="1147"/>
  <c r="H499" i="1147"/>
  <c r="I499" i="1147"/>
  <c r="J499" i="1147"/>
  <c r="D500" i="1147"/>
  <c r="E500" i="1147"/>
  <c r="F500" i="1147"/>
  <c r="G500" i="1147"/>
  <c r="H500" i="1147"/>
  <c r="I500" i="1147"/>
  <c r="J500" i="1147"/>
  <c r="D501" i="1147"/>
  <c r="E501" i="1147"/>
  <c r="F501" i="1147"/>
  <c r="G501" i="1147"/>
  <c r="H501" i="1147"/>
  <c r="I501" i="1147"/>
  <c r="J501" i="1147"/>
  <c r="D502" i="1147"/>
  <c r="E502" i="1147"/>
  <c r="F502" i="1147"/>
  <c r="G502" i="1147"/>
  <c r="H502" i="1147"/>
  <c r="I502" i="1147"/>
  <c r="J502" i="1147"/>
  <c r="D503" i="1147"/>
  <c r="E503" i="1147"/>
  <c r="F503" i="1147"/>
  <c r="G503" i="1147"/>
  <c r="H503" i="1147"/>
  <c r="I503" i="1147"/>
  <c r="J503" i="1147"/>
  <c r="D504" i="1147"/>
  <c r="E504" i="1147"/>
  <c r="F504" i="1147"/>
  <c r="G504" i="1147"/>
  <c r="H504" i="1147"/>
  <c r="I504" i="1147"/>
  <c r="J504" i="1147"/>
  <c r="D505" i="1147"/>
  <c r="E505" i="1147"/>
  <c r="F505" i="1147"/>
  <c r="G505" i="1147"/>
  <c r="H505" i="1147"/>
  <c r="I505" i="1147"/>
  <c r="J505" i="1147"/>
  <c r="D506" i="1147"/>
  <c r="E506" i="1147"/>
  <c r="F506" i="1147"/>
  <c r="G506" i="1147"/>
  <c r="H506" i="1147"/>
  <c r="I506" i="1147"/>
  <c r="J506" i="1147"/>
  <c r="D507" i="1147"/>
  <c r="E507" i="1147"/>
  <c r="F507" i="1147"/>
  <c r="G507" i="1147"/>
  <c r="H507" i="1147"/>
  <c r="I507" i="1147"/>
  <c r="J507" i="1147"/>
  <c r="D508" i="1147"/>
  <c r="E508" i="1147"/>
  <c r="F508" i="1147"/>
  <c r="G508" i="1147"/>
  <c r="H508" i="1147"/>
  <c r="I508" i="1147"/>
  <c r="J508" i="1147"/>
  <c r="D509" i="1147"/>
  <c r="E509" i="1147"/>
  <c r="F509" i="1147"/>
  <c r="G509" i="1147"/>
  <c r="H509" i="1147"/>
  <c r="I509" i="1147"/>
  <c r="J509" i="1147"/>
  <c r="D510" i="1147"/>
  <c r="E510" i="1147"/>
  <c r="F510" i="1147"/>
  <c r="G510" i="1147"/>
  <c r="H510" i="1147"/>
  <c r="I510" i="1147"/>
  <c r="J510" i="1147"/>
  <c r="D511" i="1147"/>
  <c r="E511" i="1147"/>
  <c r="F511" i="1147"/>
  <c r="G511" i="1147"/>
  <c r="H511" i="1147"/>
  <c r="I511" i="1147"/>
  <c r="J511" i="1147"/>
  <c r="D512" i="1147"/>
  <c r="E512" i="1147"/>
  <c r="F512" i="1147"/>
  <c r="G512" i="1147"/>
  <c r="H512" i="1147"/>
  <c r="I512" i="1147"/>
  <c r="J512" i="1147"/>
  <c r="D513" i="1147"/>
  <c r="E513" i="1147"/>
  <c r="F513" i="1147"/>
  <c r="G513" i="1147"/>
  <c r="H513" i="1147"/>
  <c r="I513" i="1147"/>
  <c r="J513" i="1147"/>
  <c r="D514" i="1147"/>
  <c r="E514" i="1147"/>
  <c r="F514" i="1147"/>
  <c r="G514" i="1147"/>
  <c r="H514" i="1147"/>
  <c r="I514" i="1147"/>
  <c r="J514" i="1147"/>
  <c r="D515" i="1147"/>
  <c r="E515" i="1147"/>
  <c r="F515" i="1147"/>
  <c r="G515" i="1147"/>
  <c r="H515" i="1147"/>
  <c r="I515" i="1147"/>
  <c r="J515" i="1147"/>
  <c r="D516" i="1147"/>
  <c r="E516" i="1147"/>
  <c r="F516" i="1147"/>
  <c r="G516" i="1147"/>
  <c r="H516" i="1147"/>
  <c r="I516" i="1147"/>
  <c r="J516" i="1147"/>
  <c r="D517" i="1147"/>
  <c r="E517" i="1147"/>
  <c r="F517" i="1147"/>
  <c r="G517" i="1147"/>
  <c r="H517" i="1147"/>
  <c r="I517" i="1147"/>
  <c r="J517" i="1147"/>
  <c r="D518" i="1147"/>
  <c r="E518" i="1147"/>
  <c r="F518" i="1147"/>
  <c r="G518" i="1147"/>
  <c r="H518" i="1147"/>
  <c r="I518" i="1147"/>
  <c r="J518" i="1147"/>
  <c r="D519" i="1147"/>
  <c r="E519" i="1147"/>
  <c r="F519" i="1147"/>
  <c r="G519" i="1147"/>
  <c r="H519" i="1147"/>
  <c r="I519" i="1147"/>
  <c r="J519" i="1147"/>
  <c r="D520" i="1147"/>
  <c r="E520" i="1147"/>
  <c r="F520" i="1147"/>
  <c r="G520" i="1147"/>
  <c r="H520" i="1147"/>
  <c r="I520" i="1147"/>
  <c r="J520" i="1147"/>
  <c r="D521" i="1147"/>
  <c r="E521" i="1147"/>
  <c r="F521" i="1147"/>
  <c r="G521" i="1147"/>
  <c r="H521" i="1147"/>
  <c r="I521" i="1147"/>
  <c r="J521" i="1147"/>
  <c r="D522" i="1147"/>
  <c r="E522" i="1147"/>
  <c r="F522" i="1147"/>
  <c r="G522" i="1147"/>
  <c r="H522" i="1147"/>
  <c r="I522" i="1147"/>
  <c r="J522" i="1147"/>
  <c r="D523" i="1147"/>
  <c r="E523" i="1147"/>
  <c r="F523" i="1147"/>
  <c r="G523" i="1147"/>
  <c r="H523" i="1147"/>
  <c r="I523" i="1147"/>
  <c r="J523" i="1147"/>
  <c r="D524" i="1147"/>
  <c r="E524" i="1147"/>
  <c r="F524" i="1147"/>
  <c r="G524" i="1147"/>
  <c r="H524" i="1147"/>
  <c r="I524" i="1147"/>
  <c r="J524" i="1147"/>
  <c r="D525" i="1147"/>
  <c r="E525" i="1147"/>
  <c r="F525" i="1147"/>
  <c r="G525" i="1147"/>
  <c r="H525" i="1147"/>
  <c r="I525" i="1147"/>
  <c r="J525" i="1147"/>
  <c r="D526" i="1147"/>
  <c r="E526" i="1147"/>
  <c r="F526" i="1147"/>
  <c r="G526" i="1147"/>
  <c r="H526" i="1147"/>
  <c r="I526" i="1147"/>
  <c r="J526" i="1147"/>
  <c r="D527" i="1147"/>
  <c r="E527" i="1147"/>
  <c r="F527" i="1147"/>
  <c r="G527" i="1147"/>
  <c r="H527" i="1147"/>
  <c r="I527" i="1147"/>
  <c r="J527" i="1147"/>
  <c r="D528" i="1147"/>
  <c r="E528" i="1147"/>
  <c r="F528" i="1147"/>
  <c r="G528" i="1147"/>
  <c r="H528" i="1147"/>
  <c r="I528" i="1147"/>
  <c r="J528" i="1147"/>
  <c r="D529" i="1147"/>
  <c r="E529" i="1147"/>
  <c r="F529" i="1147"/>
  <c r="G529" i="1147"/>
  <c r="H529" i="1147"/>
  <c r="I529" i="1147"/>
  <c r="J529" i="1147"/>
  <c r="D530" i="1147"/>
  <c r="E530" i="1147"/>
  <c r="F530" i="1147"/>
  <c r="G530" i="1147"/>
  <c r="H530" i="1147"/>
  <c r="I530" i="1147"/>
  <c r="J530" i="1147"/>
  <c r="D531" i="1147"/>
  <c r="E531" i="1147"/>
  <c r="F531" i="1147"/>
  <c r="G531" i="1147"/>
  <c r="H531" i="1147"/>
  <c r="I531" i="1147"/>
  <c r="J531" i="1147"/>
  <c r="D532" i="1147"/>
  <c r="E532" i="1147"/>
  <c r="F532" i="1147"/>
  <c r="G532" i="1147"/>
  <c r="H532" i="1147"/>
  <c r="I532" i="1147"/>
  <c r="J532" i="1147"/>
  <c r="D533" i="1147"/>
  <c r="E533" i="1147"/>
  <c r="F533" i="1147"/>
  <c r="G533" i="1147"/>
  <c r="H533" i="1147"/>
  <c r="I533" i="1147"/>
  <c r="J533" i="1147"/>
  <c r="D534" i="1147"/>
  <c r="E534" i="1147"/>
  <c r="F534" i="1147"/>
  <c r="G534" i="1147"/>
  <c r="H534" i="1147"/>
  <c r="I534" i="1147"/>
  <c r="J534" i="1147"/>
  <c r="D535" i="1147"/>
  <c r="E535" i="1147"/>
  <c r="F535" i="1147"/>
  <c r="G535" i="1147"/>
  <c r="H535" i="1147"/>
  <c r="I535" i="1147"/>
  <c r="J535" i="1147"/>
  <c r="D536" i="1147"/>
  <c r="E536" i="1147"/>
  <c r="F536" i="1147"/>
  <c r="G536" i="1147"/>
  <c r="H536" i="1147"/>
  <c r="I536" i="1147"/>
  <c r="J536" i="1147"/>
  <c r="D537" i="1147"/>
  <c r="E537" i="1147"/>
  <c r="F537" i="1147"/>
  <c r="G537" i="1147"/>
  <c r="H537" i="1147"/>
  <c r="I537" i="1147"/>
  <c r="J537" i="1147"/>
  <c r="D538" i="1147"/>
  <c r="E538" i="1147"/>
  <c r="F538" i="1147"/>
  <c r="G538" i="1147"/>
  <c r="H538" i="1147"/>
  <c r="I538" i="1147"/>
  <c r="J538" i="1147"/>
  <c r="D539" i="1147"/>
  <c r="E539" i="1147"/>
  <c r="F539" i="1147"/>
  <c r="G539" i="1147"/>
  <c r="H539" i="1147"/>
  <c r="I539" i="1147"/>
  <c r="J539" i="1147"/>
  <c r="D540" i="1147"/>
  <c r="E540" i="1147"/>
  <c r="F540" i="1147"/>
  <c r="G540" i="1147"/>
  <c r="H540" i="1147"/>
  <c r="I540" i="1147"/>
  <c r="J540" i="1147"/>
  <c r="D541" i="1147"/>
  <c r="E541" i="1147"/>
  <c r="F541" i="1147"/>
  <c r="G541" i="1147"/>
  <c r="H541" i="1147"/>
  <c r="I541" i="1147"/>
  <c r="J541" i="1147"/>
  <c r="D542" i="1147"/>
  <c r="E542" i="1147"/>
  <c r="F542" i="1147"/>
  <c r="G542" i="1147"/>
  <c r="H542" i="1147"/>
  <c r="I542" i="1147"/>
  <c r="J542" i="1147"/>
  <c r="D543" i="1147"/>
  <c r="E543" i="1147"/>
  <c r="F543" i="1147"/>
  <c r="G543" i="1147"/>
  <c r="H543" i="1147"/>
  <c r="I543" i="1147"/>
  <c r="J543" i="1147"/>
  <c r="D544" i="1147"/>
  <c r="E544" i="1147"/>
  <c r="F544" i="1147"/>
  <c r="G544" i="1147"/>
  <c r="H544" i="1147"/>
  <c r="I544" i="1147"/>
  <c r="J544" i="1147"/>
  <c r="D545" i="1147"/>
  <c r="E545" i="1147"/>
  <c r="F545" i="1147"/>
  <c r="G545" i="1147"/>
  <c r="H545" i="1147"/>
  <c r="I545" i="1147"/>
  <c r="J545" i="1147"/>
  <c r="D546" i="1147"/>
  <c r="E546" i="1147"/>
  <c r="F546" i="1147"/>
  <c r="G546" i="1147"/>
  <c r="H546" i="1147"/>
  <c r="I546" i="1147"/>
  <c r="J546" i="1147"/>
  <c r="D547" i="1147"/>
  <c r="E547" i="1147"/>
  <c r="F547" i="1147"/>
  <c r="G547" i="1147"/>
  <c r="H547" i="1147"/>
  <c r="I547" i="1147"/>
  <c r="J547" i="1147"/>
  <c r="D548" i="1147"/>
  <c r="E548" i="1147"/>
  <c r="F548" i="1147"/>
  <c r="G548" i="1147"/>
  <c r="H548" i="1147"/>
  <c r="I548" i="1147"/>
  <c r="J548" i="1147"/>
  <c r="D549" i="1147"/>
  <c r="E549" i="1147"/>
  <c r="F549" i="1147"/>
  <c r="G549" i="1147"/>
  <c r="H549" i="1147"/>
  <c r="I549" i="1147"/>
  <c r="J549" i="1147"/>
  <c r="D550" i="1147"/>
  <c r="E550" i="1147"/>
  <c r="F550" i="1147"/>
  <c r="G550" i="1147"/>
  <c r="H550" i="1147"/>
  <c r="I550" i="1147"/>
  <c r="J550" i="1147"/>
  <c r="D551" i="1147"/>
  <c r="E551" i="1147"/>
  <c r="F551" i="1147"/>
  <c r="G551" i="1147"/>
  <c r="H551" i="1147"/>
  <c r="I551" i="1147"/>
  <c r="J551" i="1147"/>
  <c r="D552" i="1147"/>
  <c r="E552" i="1147"/>
  <c r="F552" i="1147"/>
  <c r="G552" i="1147"/>
  <c r="H552" i="1147"/>
  <c r="I552" i="1147"/>
  <c r="J552" i="1147"/>
  <c r="D553" i="1147"/>
  <c r="E553" i="1147"/>
  <c r="F553" i="1147"/>
  <c r="G553" i="1147"/>
  <c r="H553" i="1147"/>
  <c r="I553" i="1147"/>
  <c r="J553" i="1147"/>
  <c r="D554" i="1147"/>
  <c r="E554" i="1147"/>
  <c r="F554" i="1147"/>
  <c r="G554" i="1147"/>
  <c r="H554" i="1147"/>
  <c r="I554" i="1147"/>
  <c r="J554" i="1147"/>
  <c r="D555" i="1147"/>
  <c r="E555" i="1147"/>
  <c r="F555" i="1147"/>
  <c r="G555" i="1147"/>
  <c r="H555" i="1147"/>
  <c r="I555" i="1147"/>
  <c r="J555" i="1147"/>
  <c r="D556" i="1147"/>
  <c r="E556" i="1147"/>
  <c r="F556" i="1147"/>
  <c r="G556" i="1147"/>
  <c r="H556" i="1147"/>
  <c r="I556" i="1147"/>
  <c r="J556" i="1147"/>
  <c r="D557" i="1147"/>
  <c r="E557" i="1147"/>
  <c r="F557" i="1147"/>
  <c r="G557" i="1147"/>
  <c r="H557" i="1147"/>
  <c r="I557" i="1147"/>
  <c r="J557" i="1147"/>
  <c r="D558" i="1147"/>
  <c r="E558" i="1147"/>
  <c r="F558" i="1147"/>
  <c r="G558" i="1147"/>
  <c r="H558" i="1147"/>
  <c r="I558" i="1147"/>
  <c r="J558" i="1147"/>
  <c r="D559" i="1147"/>
  <c r="E559" i="1147"/>
  <c r="F559" i="1147"/>
  <c r="G559" i="1147"/>
  <c r="H559" i="1147"/>
  <c r="I559" i="1147"/>
  <c r="J559" i="1147"/>
  <c r="D560" i="1147"/>
  <c r="E560" i="1147"/>
  <c r="F560" i="1147"/>
  <c r="G560" i="1147"/>
  <c r="H560" i="1147"/>
  <c r="I560" i="1147"/>
  <c r="J560" i="1147"/>
  <c r="D561" i="1147"/>
  <c r="E561" i="1147"/>
  <c r="F561" i="1147"/>
  <c r="G561" i="1147"/>
  <c r="H561" i="1147"/>
  <c r="I561" i="1147"/>
  <c r="J561" i="1147"/>
  <c r="D562" i="1147"/>
  <c r="E562" i="1147"/>
  <c r="F562" i="1147"/>
  <c r="G562" i="1147"/>
  <c r="H562" i="1147"/>
  <c r="I562" i="1147"/>
  <c r="J562" i="1147"/>
  <c r="D563" i="1147"/>
  <c r="E563" i="1147"/>
  <c r="F563" i="1147"/>
  <c r="G563" i="1147"/>
  <c r="H563" i="1147"/>
  <c r="I563" i="1147"/>
  <c r="J563" i="1147"/>
  <c r="D564" i="1147"/>
  <c r="E564" i="1147"/>
  <c r="F564" i="1147"/>
  <c r="G564" i="1147"/>
  <c r="H564" i="1147"/>
  <c r="I564" i="1147"/>
  <c r="J564" i="1147"/>
  <c r="D565" i="1147"/>
  <c r="E565" i="1147"/>
  <c r="F565" i="1147"/>
  <c r="G565" i="1147"/>
  <c r="H565" i="1147"/>
  <c r="I565" i="1147"/>
  <c r="J565" i="1147"/>
  <c r="D566" i="1147"/>
  <c r="E566" i="1147"/>
  <c r="F566" i="1147"/>
  <c r="G566" i="1147"/>
  <c r="H566" i="1147"/>
  <c r="I566" i="1147"/>
  <c r="J566" i="1147"/>
  <c r="D567" i="1147"/>
  <c r="E567" i="1147"/>
  <c r="F567" i="1147"/>
  <c r="G567" i="1147"/>
  <c r="H567" i="1147"/>
  <c r="I567" i="1147"/>
  <c r="J567" i="1147"/>
  <c r="D568" i="1147"/>
  <c r="E568" i="1147"/>
  <c r="F568" i="1147"/>
  <c r="G568" i="1147"/>
  <c r="H568" i="1147"/>
  <c r="I568" i="1147"/>
  <c r="J568" i="1147"/>
  <c r="D569" i="1147"/>
  <c r="E569" i="1147"/>
  <c r="F569" i="1147"/>
  <c r="G569" i="1147"/>
  <c r="H569" i="1147"/>
  <c r="I569" i="1147"/>
  <c r="J569" i="1147"/>
  <c r="D570" i="1147"/>
  <c r="E570" i="1147"/>
  <c r="F570" i="1147"/>
  <c r="G570" i="1147"/>
  <c r="H570" i="1147"/>
  <c r="I570" i="1147"/>
  <c r="J570" i="1147"/>
  <c r="D571" i="1147"/>
  <c r="E571" i="1147"/>
  <c r="F571" i="1147"/>
  <c r="G571" i="1147"/>
  <c r="H571" i="1147"/>
  <c r="I571" i="1147"/>
  <c r="J571" i="1147"/>
  <c r="D572" i="1147"/>
  <c r="E572" i="1147"/>
  <c r="F572" i="1147"/>
  <c r="G572" i="1147"/>
  <c r="H572" i="1147"/>
  <c r="I572" i="1147"/>
  <c r="J572" i="1147"/>
  <c r="D573" i="1147"/>
  <c r="E573" i="1147"/>
  <c r="F573" i="1147"/>
  <c r="G573" i="1147"/>
  <c r="H573" i="1147"/>
  <c r="I573" i="1147"/>
  <c r="J573" i="1147"/>
  <c r="D574" i="1147"/>
  <c r="E574" i="1147"/>
  <c r="F574" i="1147"/>
  <c r="G574" i="1147"/>
  <c r="H574" i="1147"/>
  <c r="I574" i="1147"/>
  <c r="J574" i="1147"/>
  <c r="D575" i="1147"/>
  <c r="E575" i="1147"/>
  <c r="F575" i="1147"/>
  <c r="G575" i="1147"/>
  <c r="H575" i="1147"/>
  <c r="I575" i="1147"/>
  <c r="J575" i="1147"/>
  <c r="D576" i="1147"/>
  <c r="E576" i="1147"/>
  <c r="F576" i="1147"/>
  <c r="G576" i="1147"/>
  <c r="H576" i="1147"/>
  <c r="I576" i="1147"/>
  <c r="J576" i="1147"/>
  <c r="D577" i="1147"/>
  <c r="E577" i="1147"/>
  <c r="F577" i="1147"/>
  <c r="G577" i="1147"/>
  <c r="H577" i="1147"/>
  <c r="I577" i="1147"/>
  <c r="J577" i="1147"/>
  <c r="D578" i="1147"/>
  <c r="E578" i="1147"/>
  <c r="F578" i="1147"/>
  <c r="G578" i="1147"/>
  <c r="H578" i="1147"/>
  <c r="I578" i="1147"/>
  <c r="J578" i="1147"/>
  <c r="D579" i="1147"/>
  <c r="E579" i="1147"/>
  <c r="F579" i="1147"/>
  <c r="G579" i="1147"/>
  <c r="H579" i="1147"/>
  <c r="I579" i="1147"/>
  <c r="J579" i="1147"/>
  <c r="D580" i="1147"/>
  <c r="E580" i="1147"/>
  <c r="F580" i="1147"/>
  <c r="G580" i="1147"/>
  <c r="H580" i="1147"/>
  <c r="I580" i="1147"/>
  <c r="J580" i="1147"/>
  <c r="D581" i="1147"/>
  <c r="E581" i="1147"/>
  <c r="F581" i="1147"/>
  <c r="G581" i="1147"/>
  <c r="H581" i="1147"/>
  <c r="I581" i="1147"/>
  <c r="J581" i="1147"/>
  <c r="D582" i="1147"/>
  <c r="E582" i="1147"/>
  <c r="F582" i="1147"/>
  <c r="G582" i="1147"/>
  <c r="H582" i="1147"/>
  <c r="I582" i="1147"/>
  <c r="J582" i="1147"/>
  <c r="D583" i="1147"/>
  <c r="E583" i="1147"/>
  <c r="F583" i="1147"/>
  <c r="G583" i="1147"/>
  <c r="H583" i="1147"/>
  <c r="I583" i="1147"/>
  <c r="J583" i="1147"/>
  <c r="D584" i="1147"/>
  <c r="E584" i="1147"/>
  <c r="F584" i="1147"/>
  <c r="G584" i="1147"/>
  <c r="H584" i="1147"/>
  <c r="I584" i="1147"/>
  <c r="J584" i="1147"/>
  <c r="D585" i="1147"/>
  <c r="E585" i="1147"/>
  <c r="F585" i="1147"/>
  <c r="G585" i="1147"/>
  <c r="H585" i="1147"/>
  <c r="I585" i="1147"/>
  <c r="J585" i="1147"/>
  <c r="D586" i="1147"/>
  <c r="E586" i="1147"/>
  <c r="F586" i="1147"/>
  <c r="G586" i="1147"/>
  <c r="H586" i="1147"/>
  <c r="I586" i="1147"/>
  <c r="J586" i="1147"/>
  <c r="D587" i="1147"/>
  <c r="E587" i="1147"/>
  <c r="F587" i="1147"/>
  <c r="G587" i="1147"/>
  <c r="H587" i="1147"/>
  <c r="I587" i="1147"/>
  <c r="J587" i="1147"/>
  <c r="D588" i="1147"/>
  <c r="E588" i="1147"/>
  <c r="F588" i="1147"/>
  <c r="G588" i="1147"/>
  <c r="H588" i="1147"/>
  <c r="I588" i="1147"/>
  <c r="J588" i="1147"/>
  <c r="D589" i="1147"/>
  <c r="E589" i="1147"/>
  <c r="F589" i="1147"/>
  <c r="G589" i="1147"/>
  <c r="H589" i="1147"/>
  <c r="I589" i="1147"/>
  <c r="J589" i="1147"/>
  <c r="D590" i="1147"/>
  <c r="E590" i="1147"/>
  <c r="F590" i="1147"/>
  <c r="G590" i="1147"/>
  <c r="H590" i="1147"/>
  <c r="I590" i="1147"/>
  <c r="J590" i="1147"/>
  <c r="D591" i="1147"/>
  <c r="E591" i="1147"/>
  <c r="F591" i="1147"/>
  <c r="G591" i="1147"/>
  <c r="H591" i="1147"/>
  <c r="I591" i="1147"/>
  <c r="J591" i="1147"/>
  <c r="D592" i="1147"/>
  <c r="E592" i="1147"/>
  <c r="F592" i="1147"/>
  <c r="G592" i="1147"/>
  <c r="H592" i="1147"/>
  <c r="I592" i="1147"/>
  <c r="J592" i="1147"/>
  <c r="D593" i="1147"/>
  <c r="E593" i="1147"/>
  <c r="F593" i="1147"/>
  <c r="G593" i="1147"/>
  <c r="H593" i="1147"/>
  <c r="I593" i="1147"/>
  <c r="J593" i="1147"/>
  <c r="D594" i="1147"/>
  <c r="E594" i="1147"/>
  <c r="F594" i="1147"/>
  <c r="G594" i="1147"/>
  <c r="H594" i="1147"/>
  <c r="I594" i="1147"/>
  <c r="J594" i="1147"/>
  <c r="D595" i="1147"/>
  <c r="E595" i="1147"/>
  <c r="F595" i="1147"/>
  <c r="G595" i="1147"/>
  <c r="H595" i="1147"/>
  <c r="I595" i="1147"/>
  <c r="J595" i="1147"/>
  <c r="D596" i="1147"/>
  <c r="E596" i="1147"/>
  <c r="F596" i="1147"/>
  <c r="G596" i="1147"/>
  <c r="H596" i="1147"/>
  <c r="I596" i="1147"/>
  <c r="J596" i="1147"/>
  <c r="D597" i="1147"/>
  <c r="E597" i="1147"/>
  <c r="F597" i="1147"/>
  <c r="G597" i="1147"/>
  <c r="H597" i="1147"/>
  <c r="I597" i="1147"/>
  <c r="J597" i="1147"/>
  <c r="D598" i="1147"/>
  <c r="E598" i="1147"/>
  <c r="F598" i="1147"/>
  <c r="G598" i="1147"/>
  <c r="H598" i="1147"/>
  <c r="I598" i="1147"/>
  <c r="J598" i="1147"/>
  <c r="D599" i="1147"/>
  <c r="E599" i="1147"/>
  <c r="F599" i="1147"/>
  <c r="G599" i="1147"/>
  <c r="H599" i="1147"/>
  <c r="I599" i="1147"/>
  <c r="J599" i="1147"/>
  <c r="D600" i="1147"/>
  <c r="E600" i="1147"/>
  <c r="F600" i="1147"/>
  <c r="G600" i="1147"/>
  <c r="H600" i="1147"/>
  <c r="I600" i="1147"/>
  <c r="J600" i="1147"/>
  <c r="D601" i="1147"/>
  <c r="E601" i="1147"/>
  <c r="F601" i="1147"/>
  <c r="G601" i="1147"/>
  <c r="H601" i="1147"/>
  <c r="I601" i="1147"/>
  <c r="J601" i="1147"/>
  <c r="D602" i="1147"/>
  <c r="E602" i="1147"/>
  <c r="F602" i="1147"/>
  <c r="G602" i="1147"/>
  <c r="H602" i="1147"/>
  <c r="I602" i="1147"/>
  <c r="J602" i="1147"/>
  <c r="D603" i="1147"/>
  <c r="E603" i="1147"/>
  <c r="F603" i="1147"/>
  <c r="G603" i="1147"/>
  <c r="H603" i="1147"/>
  <c r="I603" i="1147"/>
  <c r="J603" i="1147"/>
  <c r="D604" i="1147"/>
  <c r="E604" i="1147"/>
  <c r="F604" i="1147"/>
  <c r="G604" i="1147"/>
  <c r="H604" i="1147"/>
  <c r="I604" i="1147"/>
  <c r="J604" i="1147"/>
  <c r="D605" i="1147"/>
  <c r="E605" i="1147"/>
  <c r="F605" i="1147"/>
  <c r="G605" i="1147"/>
  <c r="H605" i="1147"/>
  <c r="I605" i="1147"/>
  <c r="J605" i="1147"/>
  <c r="D606" i="1147"/>
  <c r="E606" i="1147"/>
  <c r="F606" i="1147"/>
  <c r="G606" i="1147"/>
  <c r="H606" i="1147"/>
  <c r="I606" i="1147"/>
  <c r="J606" i="1147"/>
  <c r="D607" i="1147"/>
  <c r="E607" i="1147"/>
  <c r="F607" i="1147"/>
  <c r="G607" i="1147"/>
  <c r="H607" i="1147"/>
  <c r="I607" i="1147"/>
  <c r="J607" i="1147"/>
  <c r="D608" i="1147"/>
  <c r="E608" i="1147"/>
  <c r="F608" i="1147"/>
  <c r="G608" i="1147"/>
  <c r="H608" i="1147"/>
  <c r="I608" i="1147"/>
  <c r="J608" i="1147"/>
  <c r="D609" i="1147"/>
  <c r="E609" i="1147"/>
  <c r="F609" i="1147"/>
  <c r="G609" i="1147"/>
  <c r="H609" i="1147"/>
  <c r="I609" i="1147"/>
  <c r="J609" i="1147"/>
  <c r="D610" i="1147"/>
  <c r="E610" i="1147"/>
  <c r="F610" i="1147"/>
  <c r="G610" i="1147"/>
  <c r="H610" i="1147"/>
  <c r="I610" i="1147"/>
  <c r="J610" i="1147"/>
  <c r="D611" i="1147"/>
  <c r="E611" i="1147"/>
  <c r="F611" i="1147"/>
  <c r="G611" i="1147"/>
  <c r="H611" i="1147"/>
  <c r="I611" i="1147"/>
  <c r="J611" i="1147"/>
  <c r="D612" i="1147"/>
  <c r="E612" i="1147"/>
  <c r="F612" i="1147"/>
  <c r="G612" i="1147"/>
  <c r="H612" i="1147"/>
  <c r="I612" i="1147"/>
  <c r="J612" i="1147"/>
  <c r="D613" i="1147"/>
  <c r="E613" i="1147"/>
  <c r="F613" i="1147"/>
  <c r="G613" i="1147"/>
  <c r="H613" i="1147"/>
  <c r="I613" i="1147"/>
  <c r="J613" i="1147"/>
  <c r="D614" i="1147"/>
  <c r="E614" i="1147"/>
  <c r="F614" i="1147"/>
  <c r="G614" i="1147"/>
  <c r="H614" i="1147"/>
  <c r="I614" i="1147"/>
  <c r="J614" i="1147"/>
  <c r="D615" i="1147"/>
  <c r="E615" i="1147"/>
  <c r="F615" i="1147"/>
  <c r="G615" i="1147"/>
  <c r="H615" i="1147"/>
  <c r="I615" i="1147"/>
  <c r="J615" i="1147"/>
  <c r="D616" i="1147"/>
  <c r="E616" i="1147"/>
  <c r="F616" i="1147"/>
  <c r="G616" i="1147"/>
  <c r="H616" i="1147"/>
  <c r="I616" i="1147"/>
  <c r="J616" i="1147"/>
  <c r="D617" i="1147"/>
  <c r="E617" i="1147"/>
  <c r="F617" i="1147"/>
  <c r="G617" i="1147"/>
  <c r="H617" i="1147"/>
  <c r="I617" i="1147"/>
  <c r="J617" i="1147"/>
  <c r="D618" i="1147"/>
  <c r="E618" i="1147"/>
  <c r="F618" i="1147"/>
  <c r="G618" i="1147"/>
  <c r="H618" i="1147"/>
  <c r="I618" i="1147"/>
  <c r="J618" i="1147"/>
  <c r="D619" i="1147"/>
  <c r="E619" i="1147"/>
  <c r="F619" i="1147"/>
  <c r="G619" i="1147"/>
  <c r="H619" i="1147"/>
  <c r="I619" i="1147"/>
  <c r="J619" i="1147"/>
  <c r="D620" i="1147"/>
  <c r="E620" i="1147"/>
  <c r="F620" i="1147"/>
  <c r="G620" i="1147"/>
  <c r="H620" i="1147"/>
  <c r="I620" i="1147"/>
  <c r="J620" i="1147"/>
  <c r="D621" i="1147"/>
  <c r="E621" i="1147"/>
  <c r="F621" i="1147"/>
  <c r="G621" i="1147"/>
  <c r="H621" i="1147"/>
  <c r="I621" i="1147"/>
  <c r="J621" i="1147"/>
  <c r="D622" i="1147"/>
  <c r="E622" i="1147"/>
  <c r="F622" i="1147"/>
  <c r="G622" i="1147"/>
  <c r="H622" i="1147"/>
  <c r="I622" i="1147"/>
  <c r="J622" i="1147"/>
  <c r="D623" i="1147"/>
  <c r="E623" i="1147"/>
  <c r="F623" i="1147"/>
  <c r="G623" i="1147"/>
  <c r="H623" i="1147"/>
  <c r="I623" i="1147"/>
  <c r="J623" i="1147"/>
  <c r="D624" i="1147"/>
  <c r="E624" i="1147"/>
  <c r="F624" i="1147"/>
  <c r="G624" i="1147"/>
  <c r="H624" i="1147"/>
  <c r="I624" i="1147"/>
  <c r="J624" i="1147"/>
  <c r="D625" i="1147"/>
  <c r="E625" i="1147"/>
  <c r="F625" i="1147"/>
  <c r="G625" i="1147"/>
  <c r="H625" i="1147"/>
  <c r="I625" i="1147"/>
  <c r="J625" i="1147"/>
  <c r="D626" i="1147"/>
  <c r="E626" i="1147"/>
  <c r="F626" i="1147"/>
  <c r="G626" i="1147"/>
  <c r="H626" i="1147"/>
  <c r="I626" i="1147"/>
  <c r="J626" i="1147"/>
  <c r="D627" i="1147"/>
  <c r="E627" i="1147"/>
  <c r="F627" i="1147"/>
  <c r="G627" i="1147"/>
  <c r="H627" i="1147"/>
  <c r="I627" i="1147"/>
  <c r="J627" i="1147"/>
  <c r="D628" i="1147"/>
  <c r="E628" i="1147"/>
  <c r="F628" i="1147"/>
  <c r="G628" i="1147"/>
  <c r="H628" i="1147"/>
  <c r="I628" i="1147"/>
  <c r="J628" i="1147"/>
  <c r="D629" i="1147"/>
  <c r="E629" i="1147"/>
  <c r="F629" i="1147"/>
  <c r="G629" i="1147"/>
  <c r="H629" i="1147"/>
  <c r="I629" i="1147"/>
  <c r="J629" i="1147"/>
  <c r="D630" i="1147"/>
  <c r="E630" i="1147"/>
  <c r="F630" i="1147"/>
  <c r="G630" i="1147"/>
  <c r="H630" i="1147"/>
  <c r="I630" i="1147"/>
  <c r="J630" i="1147"/>
  <c r="D631" i="1147"/>
  <c r="E631" i="1147"/>
  <c r="F631" i="1147"/>
  <c r="G631" i="1147"/>
  <c r="H631" i="1147"/>
  <c r="I631" i="1147"/>
  <c r="J631" i="1147"/>
  <c r="D632" i="1147"/>
  <c r="E632" i="1147"/>
  <c r="F632" i="1147"/>
  <c r="G632" i="1147"/>
  <c r="H632" i="1147"/>
  <c r="I632" i="1147"/>
  <c r="J632" i="1147"/>
  <c r="D633" i="1147"/>
  <c r="E633" i="1147"/>
  <c r="F633" i="1147"/>
  <c r="G633" i="1147"/>
  <c r="H633" i="1147"/>
  <c r="I633" i="1147"/>
  <c r="J633" i="1147"/>
  <c r="D634" i="1147"/>
  <c r="E634" i="1147"/>
  <c r="F634" i="1147"/>
  <c r="G634" i="1147"/>
  <c r="H634" i="1147"/>
  <c r="I634" i="1147"/>
  <c r="J634" i="1147"/>
  <c r="D635" i="1147"/>
  <c r="E635" i="1147"/>
  <c r="F635" i="1147"/>
  <c r="G635" i="1147"/>
  <c r="H635" i="1147"/>
  <c r="I635" i="1147"/>
  <c r="J635" i="1147"/>
  <c r="D636" i="1147"/>
  <c r="E636" i="1147"/>
  <c r="F636" i="1147"/>
  <c r="G636" i="1147"/>
  <c r="H636" i="1147"/>
  <c r="I636" i="1147"/>
  <c r="J636" i="1147"/>
  <c r="D637" i="1147"/>
  <c r="E637" i="1147"/>
  <c r="F637" i="1147"/>
  <c r="G637" i="1147"/>
  <c r="H637" i="1147"/>
  <c r="I637" i="1147"/>
  <c r="J637" i="1147"/>
  <c r="D638" i="1147"/>
  <c r="E638" i="1147"/>
  <c r="F638" i="1147"/>
  <c r="G638" i="1147"/>
  <c r="H638" i="1147"/>
  <c r="I638" i="1147"/>
  <c r="J638" i="1147"/>
  <c r="D639" i="1147"/>
  <c r="E639" i="1147"/>
  <c r="F639" i="1147"/>
  <c r="G639" i="1147"/>
  <c r="H639" i="1147"/>
  <c r="I639" i="1147"/>
  <c r="J639" i="1147"/>
  <c r="D640" i="1147"/>
  <c r="E640" i="1147"/>
  <c r="F640" i="1147"/>
  <c r="G640" i="1147"/>
  <c r="H640" i="1147"/>
  <c r="I640" i="1147"/>
  <c r="J640" i="1147"/>
  <c r="D641" i="1147"/>
  <c r="E641" i="1147"/>
  <c r="F641" i="1147"/>
  <c r="G641" i="1147"/>
  <c r="H641" i="1147"/>
  <c r="I641" i="1147"/>
  <c r="J641" i="1147"/>
  <c r="D642" i="1147"/>
  <c r="E642" i="1147"/>
  <c r="F642" i="1147"/>
  <c r="G642" i="1147"/>
  <c r="H642" i="1147"/>
  <c r="I642" i="1147"/>
  <c r="J642" i="1147"/>
  <c r="D643" i="1147"/>
  <c r="E643" i="1147"/>
  <c r="F643" i="1147"/>
  <c r="G643" i="1147"/>
  <c r="H643" i="1147"/>
  <c r="I643" i="1147"/>
  <c r="J643" i="1147"/>
  <c r="D644" i="1147"/>
  <c r="E644" i="1147"/>
  <c r="F644" i="1147"/>
  <c r="G644" i="1147"/>
  <c r="H644" i="1147"/>
  <c r="I644" i="1147"/>
  <c r="J644" i="1147"/>
  <c r="D645" i="1147"/>
  <c r="E645" i="1147"/>
  <c r="F645" i="1147"/>
  <c r="G645" i="1147"/>
  <c r="H645" i="1147"/>
  <c r="I645" i="1147"/>
  <c r="J645" i="1147"/>
  <c r="D646" i="1147"/>
  <c r="E646" i="1147"/>
  <c r="F646" i="1147"/>
  <c r="G646" i="1147"/>
  <c r="H646" i="1147"/>
  <c r="I646" i="1147"/>
  <c r="J646" i="1147"/>
  <c r="D647" i="1147"/>
  <c r="E647" i="1147"/>
  <c r="F647" i="1147"/>
  <c r="G647" i="1147"/>
  <c r="H647" i="1147"/>
  <c r="I647" i="1147"/>
  <c r="J647" i="1147"/>
  <c r="D648" i="1147"/>
  <c r="E648" i="1147"/>
  <c r="F648" i="1147"/>
  <c r="G648" i="1147"/>
  <c r="H648" i="1147"/>
  <c r="I648" i="1147"/>
  <c r="J648" i="1147"/>
  <c r="D649" i="1147"/>
  <c r="E649" i="1147"/>
  <c r="F649" i="1147"/>
  <c r="G649" i="1147"/>
  <c r="H649" i="1147"/>
  <c r="I649" i="1147"/>
  <c r="J649" i="1147"/>
  <c r="D650" i="1147"/>
  <c r="E650" i="1147"/>
  <c r="F650" i="1147"/>
  <c r="G650" i="1147"/>
  <c r="H650" i="1147"/>
  <c r="I650" i="1147"/>
  <c r="J650" i="1147"/>
  <c r="D651" i="1147"/>
  <c r="E651" i="1147"/>
  <c r="F651" i="1147"/>
  <c r="G651" i="1147"/>
  <c r="H651" i="1147"/>
  <c r="I651" i="1147"/>
  <c r="J651" i="1147"/>
  <c r="D652" i="1147"/>
  <c r="E652" i="1147"/>
  <c r="F652" i="1147"/>
  <c r="G652" i="1147"/>
  <c r="H652" i="1147"/>
  <c r="I652" i="1147"/>
  <c r="J652" i="1147"/>
  <c r="D653" i="1147"/>
  <c r="E653" i="1147"/>
  <c r="F653" i="1147"/>
  <c r="G653" i="1147"/>
  <c r="H653" i="1147"/>
  <c r="I653" i="1147"/>
  <c r="J653" i="1147"/>
  <c r="D654" i="1147"/>
  <c r="E654" i="1147"/>
  <c r="F654" i="1147"/>
  <c r="G654" i="1147"/>
  <c r="H654" i="1147"/>
  <c r="I654" i="1147"/>
  <c r="J654" i="1147"/>
  <c r="D655" i="1147"/>
  <c r="E655" i="1147"/>
  <c r="F655" i="1147"/>
  <c r="G655" i="1147"/>
  <c r="H655" i="1147"/>
  <c r="I655" i="1147"/>
  <c r="J655" i="1147"/>
  <c r="D656" i="1147"/>
  <c r="E656" i="1147"/>
  <c r="F656" i="1147"/>
  <c r="G656" i="1147"/>
  <c r="H656" i="1147"/>
  <c r="I656" i="1147"/>
  <c r="J656" i="1147"/>
  <c r="D657" i="1147"/>
  <c r="E657" i="1147"/>
  <c r="F657" i="1147"/>
  <c r="G657" i="1147"/>
  <c r="H657" i="1147"/>
  <c r="I657" i="1147"/>
  <c r="J657" i="1147"/>
  <c r="D658" i="1147"/>
  <c r="E658" i="1147"/>
  <c r="F658" i="1147"/>
  <c r="G658" i="1147"/>
  <c r="H658" i="1147"/>
  <c r="I658" i="1147"/>
  <c r="J658" i="1147"/>
  <c r="D659" i="1147"/>
  <c r="E659" i="1147"/>
  <c r="F659" i="1147"/>
  <c r="G659" i="1147"/>
  <c r="H659" i="1147"/>
  <c r="I659" i="1147"/>
  <c r="J659" i="1147"/>
  <c r="D660" i="1147"/>
  <c r="E660" i="1147"/>
  <c r="F660" i="1147"/>
  <c r="G660" i="1147"/>
  <c r="H660" i="1147"/>
  <c r="I660" i="1147"/>
  <c r="J660" i="1147"/>
  <c r="D661" i="1147"/>
  <c r="E661" i="1147"/>
  <c r="F661" i="1147"/>
  <c r="G661" i="1147"/>
  <c r="H661" i="1147"/>
  <c r="I661" i="1147"/>
  <c r="J661" i="1147"/>
  <c r="D662" i="1147"/>
  <c r="E662" i="1147"/>
  <c r="F662" i="1147"/>
  <c r="G662" i="1147"/>
  <c r="H662" i="1147"/>
  <c r="I662" i="1147"/>
  <c r="J662" i="1147"/>
  <c r="D663" i="1147"/>
  <c r="E663" i="1147"/>
  <c r="F663" i="1147"/>
  <c r="G663" i="1147"/>
  <c r="H663" i="1147"/>
  <c r="I663" i="1147"/>
  <c r="J663" i="1147"/>
  <c r="D664" i="1147"/>
  <c r="E664" i="1147"/>
  <c r="F664" i="1147"/>
  <c r="G664" i="1147"/>
  <c r="H664" i="1147"/>
  <c r="I664" i="1147"/>
  <c r="J664" i="1147"/>
  <c r="D665" i="1147"/>
  <c r="E665" i="1147"/>
  <c r="F665" i="1147"/>
  <c r="G665" i="1147"/>
  <c r="H665" i="1147"/>
  <c r="I665" i="1147"/>
  <c r="J665" i="1147"/>
  <c r="D666" i="1147"/>
  <c r="E666" i="1147"/>
  <c r="F666" i="1147"/>
  <c r="G666" i="1147"/>
  <c r="H666" i="1147"/>
  <c r="I666" i="1147"/>
  <c r="J666" i="1147"/>
  <c r="D667" i="1147"/>
  <c r="E667" i="1147"/>
  <c r="F667" i="1147"/>
  <c r="G667" i="1147"/>
  <c r="H667" i="1147"/>
  <c r="I667" i="1147"/>
  <c r="J667" i="1147"/>
  <c r="D668" i="1147"/>
  <c r="E668" i="1147"/>
  <c r="F668" i="1147"/>
  <c r="G668" i="1147"/>
  <c r="H668" i="1147"/>
  <c r="I668" i="1147"/>
  <c r="J668" i="1147"/>
  <c r="D669" i="1147"/>
  <c r="E669" i="1147"/>
  <c r="F669" i="1147"/>
  <c r="G669" i="1147"/>
  <c r="H669" i="1147"/>
  <c r="I669" i="1147"/>
  <c r="J669" i="1147"/>
  <c r="D670" i="1147"/>
  <c r="E670" i="1147"/>
  <c r="F670" i="1147"/>
  <c r="G670" i="1147"/>
  <c r="H670" i="1147"/>
  <c r="I670" i="1147"/>
  <c r="J670" i="1147"/>
  <c r="D671" i="1147"/>
  <c r="E671" i="1147"/>
  <c r="F671" i="1147"/>
  <c r="G671" i="1147"/>
  <c r="H671" i="1147"/>
  <c r="I671" i="1147"/>
  <c r="J671" i="1147"/>
  <c r="D672" i="1147"/>
  <c r="E672" i="1147"/>
  <c r="F672" i="1147"/>
  <c r="G672" i="1147"/>
  <c r="H672" i="1147"/>
  <c r="I672" i="1147"/>
  <c r="J672" i="1147"/>
  <c r="D673" i="1147"/>
  <c r="E673" i="1147"/>
  <c r="F673" i="1147"/>
  <c r="G673" i="1147"/>
  <c r="H673" i="1147"/>
  <c r="I673" i="1147"/>
  <c r="J673" i="1147"/>
  <c r="D674" i="1147"/>
  <c r="E674" i="1147"/>
  <c r="F674" i="1147"/>
  <c r="G674" i="1147"/>
  <c r="H674" i="1147"/>
  <c r="I674" i="1147"/>
  <c r="J674" i="1147"/>
  <c r="D675" i="1147"/>
  <c r="E675" i="1147"/>
  <c r="F675" i="1147"/>
  <c r="G675" i="1147"/>
  <c r="H675" i="1147"/>
  <c r="I675" i="1147"/>
  <c r="J675" i="1147"/>
  <c r="D676" i="1147"/>
  <c r="E676" i="1147"/>
  <c r="F676" i="1147"/>
  <c r="G676" i="1147"/>
  <c r="H676" i="1147"/>
  <c r="I676" i="1147"/>
  <c r="J676" i="1147"/>
  <c r="D677" i="1147"/>
  <c r="E677" i="1147"/>
  <c r="F677" i="1147"/>
  <c r="G677" i="1147"/>
  <c r="H677" i="1147"/>
  <c r="I677" i="1147"/>
  <c r="J677" i="1147"/>
  <c r="D678" i="1147"/>
  <c r="E678" i="1147"/>
  <c r="F678" i="1147"/>
  <c r="G678" i="1147"/>
  <c r="H678" i="1147"/>
  <c r="I678" i="1147"/>
  <c r="J678" i="1147"/>
  <c r="D679" i="1147"/>
  <c r="E679" i="1147"/>
  <c r="F679" i="1147"/>
  <c r="G679" i="1147"/>
  <c r="H679" i="1147"/>
  <c r="I679" i="1147"/>
  <c r="J679" i="1147"/>
  <c r="D680" i="1147"/>
  <c r="E680" i="1147"/>
  <c r="F680" i="1147"/>
  <c r="G680" i="1147"/>
  <c r="H680" i="1147"/>
  <c r="I680" i="1147"/>
  <c r="J680" i="1147"/>
  <c r="D681" i="1147"/>
  <c r="E681" i="1147"/>
  <c r="F681" i="1147"/>
  <c r="G681" i="1147"/>
  <c r="H681" i="1147"/>
  <c r="I681" i="1147"/>
  <c r="J681" i="1147"/>
  <c r="D682" i="1147"/>
  <c r="E682" i="1147"/>
  <c r="F682" i="1147"/>
  <c r="G682" i="1147"/>
  <c r="H682" i="1147"/>
  <c r="I682" i="1147"/>
  <c r="J682" i="1147"/>
  <c r="D683" i="1147"/>
  <c r="E683" i="1147"/>
  <c r="F683" i="1147"/>
  <c r="G683" i="1147"/>
  <c r="H683" i="1147"/>
  <c r="I683" i="1147"/>
  <c r="J683" i="1147"/>
  <c r="D684" i="1147"/>
  <c r="E684" i="1147"/>
  <c r="F684" i="1147"/>
  <c r="G684" i="1147"/>
  <c r="H684" i="1147"/>
  <c r="I684" i="1147"/>
  <c r="J684" i="1147"/>
  <c r="D685" i="1147"/>
  <c r="E685" i="1147"/>
  <c r="F685" i="1147"/>
  <c r="G685" i="1147"/>
  <c r="H685" i="1147"/>
  <c r="I685" i="1147"/>
  <c r="J685" i="1147"/>
  <c r="D686" i="1147"/>
  <c r="E686" i="1147"/>
  <c r="F686" i="1147"/>
  <c r="G686" i="1147"/>
  <c r="H686" i="1147"/>
  <c r="I686" i="1147"/>
  <c r="J686" i="1147"/>
  <c r="D687" i="1147"/>
  <c r="E687" i="1147"/>
  <c r="F687" i="1147"/>
  <c r="G687" i="1147"/>
  <c r="H687" i="1147"/>
  <c r="I687" i="1147"/>
  <c r="J687" i="1147"/>
  <c r="D688" i="1147"/>
  <c r="E688" i="1147"/>
  <c r="F688" i="1147"/>
  <c r="G688" i="1147"/>
  <c r="H688" i="1147"/>
  <c r="I688" i="1147"/>
  <c r="J688" i="1147"/>
  <c r="D689" i="1147"/>
  <c r="E689" i="1147"/>
  <c r="F689" i="1147"/>
  <c r="G689" i="1147"/>
  <c r="H689" i="1147"/>
  <c r="I689" i="1147"/>
  <c r="J689" i="1147"/>
  <c r="D690" i="1147"/>
  <c r="E690" i="1147"/>
  <c r="F690" i="1147"/>
  <c r="G690" i="1147"/>
  <c r="H690" i="1147"/>
  <c r="I690" i="1147"/>
  <c r="J690" i="1147"/>
  <c r="D691" i="1147"/>
  <c r="E691" i="1147"/>
  <c r="F691" i="1147"/>
  <c r="G691" i="1147"/>
  <c r="H691" i="1147"/>
  <c r="I691" i="1147"/>
  <c r="J691" i="1147"/>
  <c r="D692" i="1147"/>
  <c r="E692" i="1147"/>
  <c r="F692" i="1147"/>
  <c r="G692" i="1147"/>
  <c r="H692" i="1147"/>
  <c r="I692" i="1147"/>
  <c r="J692" i="1147"/>
  <c r="D693" i="1147"/>
  <c r="E693" i="1147"/>
  <c r="F693" i="1147"/>
  <c r="G693" i="1147"/>
  <c r="H693" i="1147"/>
  <c r="I693" i="1147"/>
  <c r="J693" i="1147"/>
  <c r="D694" i="1147"/>
  <c r="E694" i="1147"/>
  <c r="F694" i="1147"/>
  <c r="G694" i="1147"/>
  <c r="H694" i="1147"/>
  <c r="I694" i="1147"/>
  <c r="J694" i="1147"/>
  <c r="D695" i="1147"/>
  <c r="E695" i="1147"/>
  <c r="F695" i="1147"/>
  <c r="G695" i="1147"/>
  <c r="H695" i="1147"/>
  <c r="I695" i="1147"/>
  <c r="J695" i="1147"/>
  <c r="D696" i="1147"/>
  <c r="E696" i="1147"/>
  <c r="F696" i="1147"/>
  <c r="G696" i="1147"/>
  <c r="H696" i="1147"/>
  <c r="I696" i="1147"/>
  <c r="J696" i="1147"/>
  <c r="D697" i="1147"/>
  <c r="E697" i="1147"/>
  <c r="F697" i="1147"/>
  <c r="G697" i="1147"/>
  <c r="H697" i="1147"/>
  <c r="I697" i="1147"/>
  <c r="J697" i="1147"/>
  <c r="D698" i="1147"/>
  <c r="E698" i="1147"/>
  <c r="F698" i="1147"/>
  <c r="G698" i="1147"/>
  <c r="H698" i="1147"/>
  <c r="I698" i="1147"/>
  <c r="J698" i="1147"/>
  <c r="D699" i="1147"/>
  <c r="E699" i="1147"/>
  <c r="F699" i="1147"/>
  <c r="G699" i="1147"/>
  <c r="H699" i="1147"/>
  <c r="I699" i="1147"/>
  <c r="J699" i="1147"/>
  <c r="D700" i="1147"/>
  <c r="E700" i="1147"/>
  <c r="F700" i="1147"/>
  <c r="G700" i="1147"/>
  <c r="H700" i="1147"/>
  <c r="I700" i="1147"/>
  <c r="J700" i="1147"/>
  <c r="D701" i="1147"/>
  <c r="E701" i="1147"/>
  <c r="F701" i="1147"/>
  <c r="G701" i="1147"/>
  <c r="H701" i="1147"/>
  <c r="I701" i="1147"/>
  <c r="J701" i="1147"/>
  <c r="D702" i="1147"/>
  <c r="E702" i="1147"/>
  <c r="F702" i="1147"/>
  <c r="G702" i="1147"/>
  <c r="H702" i="1147"/>
  <c r="I702" i="1147"/>
  <c r="J702" i="1147"/>
  <c r="D703" i="1147"/>
  <c r="E703" i="1147"/>
  <c r="F703" i="1147"/>
  <c r="G703" i="1147"/>
  <c r="H703" i="1147"/>
  <c r="I703" i="1147"/>
  <c r="J703" i="1147"/>
  <c r="D704" i="1147"/>
  <c r="E704" i="1147"/>
  <c r="F704" i="1147"/>
  <c r="G704" i="1147"/>
  <c r="H704" i="1147"/>
  <c r="I704" i="1147"/>
  <c r="J704" i="1147"/>
  <c r="D705" i="1147"/>
  <c r="E705" i="1147"/>
  <c r="F705" i="1147"/>
  <c r="G705" i="1147"/>
  <c r="H705" i="1147"/>
  <c r="I705" i="1147"/>
  <c r="J705" i="1147"/>
  <c r="D706" i="1147"/>
  <c r="E706" i="1147"/>
  <c r="F706" i="1147"/>
  <c r="G706" i="1147"/>
  <c r="H706" i="1147"/>
  <c r="I706" i="1147"/>
  <c r="J706" i="1147"/>
  <c r="D707" i="1147"/>
  <c r="E707" i="1147"/>
  <c r="F707" i="1147"/>
  <c r="G707" i="1147"/>
  <c r="H707" i="1147"/>
  <c r="I707" i="1147"/>
  <c r="J707" i="1147"/>
  <c r="D708" i="1147"/>
  <c r="E708" i="1147"/>
  <c r="F708" i="1147"/>
  <c r="G708" i="1147"/>
  <c r="H708" i="1147"/>
  <c r="I708" i="1147"/>
  <c r="J708" i="1147"/>
  <c r="D709" i="1147"/>
  <c r="E709" i="1147"/>
  <c r="F709" i="1147"/>
  <c r="G709" i="1147"/>
  <c r="H709" i="1147"/>
  <c r="I709" i="1147"/>
  <c r="J709" i="1147"/>
  <c r="D710" i="1147"/>
  <c r="E710" i="1147"/>
  <c r="F710" i="1147"/>
  <c r="G710" i="1147"/>
  <c r="H710" i="1147"/>
  <c r="I710" i="1147"/>
  <c r="J710" i="1147"/>
  <c r="D711" i="1147"/>
  <c r="E711" i="1147"/>
  <c r="F711" i="1147"/>
  <c r="G711" i="1147"/>
  <c r="H711" i="1147"/>
  <c r="I711" i="1147"/>
  <c r="J711" i="1147"/>
  <c r="D712" i="1147"/>
  <c r="E712" i="1147"/>
  <c r="F712" i="1147"/>
  <c r="G712" i="1147"/>
  <c r="H712" i="1147"/>
  <c r="I712" i="1147"/>
  <c r="J712" i="1147"/>
  <c r="D713" i="1147"/>
  <c r="E713" i="1147"/>
  <c r="F713" i="1147"/>
  <c r="G713" i="1147"/>
  <c r="H713" i="1147"/>
  <c r="I713" i="1147"/>
  <c r="J713" i="1147"/>
  <c r="D714" i="1147"/>
  <c r="E714" i="1147"/>
  <c r="F714" i="1147"/>
  <c r="G714" i="1147"/>
  <c r="H714" i="1147"/>
  <c r="I714" i="1147"/>
  <c r="J714" i="1147"/>
  <c r="D715" i="1147"/>
  <c r="E715" i="1147"/>
  <c r="F715" i="1147"/>
  <c r="G715" i="1147"/>
  <c r="H715" i="1147"/>
  <c r="I715" i="1147"/>
  <c r="J715" i="1147"/>
  <c r="D716" i="1147"/>
  <c r="E716" i="1147"/>
  <c r="F716" i="1147"/>
  <c r="G716" i="1147"/>
  <c r="H716" i="1147"/>
  <c r="I716" i="1147"/>
  <c r="J716" i="1147"/>
  <c r="D717" i="1147"/>
  <c r="E717" i="1147"/>
  <c r="F717" i="1147"/>
  <c r="G717" i="1147"/>
  <c r="H717" i="1147"/>
  <c r="I717" i="1147"/>
  <c r="J717" i="1147"/>
  <c r="D718" i="1147"/>
  <c r="E718" i="1147"/>
  <c r="F718" i="1147"/>
  <c r="G718" i="1147"/>
  <c r="H718" i="1147"/>
  <c r="I718" i="1147"/>
  <c r="J718" i="1147"/>
  <c r="D719" i="1147"/>
  <c r="E719" i="1147"/>
  <c r="F719" i="1147"/>
  <c r="G719" i="1147"/>
  <c r="H719" i="1147"/>
  <c r="I719" i="1147"/>
  <c r="J719" i="1147"/>
  <c r="D720" i="1147"/>
  <c r="E720" i="1147"/>
  <c r="F720" i="1147"/>
  <c r="G720" i="1147"/>
  <c r="H720" i="1147"/>
  <c r="I720" i="1147"/>
  <c r="J720" i="1147"/>
  <c r="D721" i="1147"/>
  <c r="E721" i="1147"/>
  <c r="F721" i="1147"/>
  <c r="G721" i="1147"/>
  <c r="H721" i="1147"/>
  <c r="I721" i="1147"/>
  <c r="J721" i="1147"/>
  <c r="D722" i="1147"/>
  <c r="E722" i="1147"/>
  <c r="F722" i="1147"/>
  <c r="G722" i="1147"/>
  <c r="H722" i="1147"/>
  <c r="I722" i="1147"/>
  <c r="J722" i="1147"/>
  <c r="D723" i="1147"/>
  <c r="E723" i="1147"/>
  <c r="F723" i="1147"/>
  <c r="G723" i="1147"/>
  <c r="H723" i="1147"/>
  <c r="I723" i="1147"/>
  <c r="J723" i="1147"/>
  <c r="D724" i="1147"/>
  <c r="E724" i="1147"/>
  <c r="F724" i="1147"/>
  <c r="G724" i="1147"/>
  <c r="H724" i="1147"/>
  <c r="I724" i="1147"/>
  <c r="J724" i="1147"/>
  <c r="D725" i="1147"/>
  <c r="E725" i="1147"/>
  <c r="F725" i="1147"/>
  <c r="G725" i="1147"/>
  <c r="H725" i="1147"/>
  <c r="I725" i="1147"/>
  <c r="J725" i="1147"/>
  <c r="D726" i="1147"/>
  <c r="E726" i="1147"/>
  <c r="F726" i="1147"/>
  <c r="G726" i="1147"/>
  <c r="H726" i="1147"/>
  <c r="I726" i="1147"/>
  <c r="J726" i="1147"/>
  <c r="D727" i="1147"/>
  <c r="E727" i="1147"/>
  <c r="F727" i="1147"/>
  <c r="G727" i="1147"/>
  <c r="H727" i="1147"/>
  <c r="I727" i="1147"/>
  <c r="J727" i="1147"/>
  <c r="D728" i="1147"/>
  <c r="E728" i="1147"/>
  <c r="F728" i="1147"/>
  <c r="G728" i="1147"/>
  <c r="H728" i="1147"/>
  <c r="I728" i="1147"/>
  <c r="J728" i="1147"/>
  <c r="D729" i="1147"/>
  <c r="E729" i="1147"/>
  <c r="F729" i="1147"/>
  <c r="G729" i="1147"/>
  <c r="H729" i="1147"/>
  <c r="I729" i="1147"/>
  <c r="J729" i="1147"/>
  <c r="D730" i="1147"/>
  <c r="E730" i="1147"/>
  <c r="F730" i="1147"/>
  <c r="G730" i="1147"/>
  <c r="H730" i="1147"/>
  <c r="I730" i="1147"/>
  <c r="J730" i="1147"/>
  <c r="D731" i="1147"/>
  <c r="E731" i="1147"/>
  <c r="F731" i="1147"/>
  <c r="G731" i="1147"/>
  <c r="H731" i="1147"/>
  <c r="I731" i="1147"/>
  <c r="J731" i="1147"/>
  <c r="D732" i="1147"/>
  <c r="E732" i="1147"/>
  <c r="F732" i="1147"/>
  <c r="G732" i="1147"/>
  <c r="H732" i="1147"/>
  <c r="I732" i="1147"/>
  <c r="J732" i="1147"/>
  <c r="D733" i="1147"/>
  <c r="E733" i="1147"/>
  <c r="F733" i="1147"/>
  <c r="G733" i="1147"/>
  <c r="H733" i="1147"/>
  <c r="I733" i="1147"/>
  <c r="J733" i="1147"/>
  <c r="D734" i="1147"/>
  <c r="E734" i="1147"/>
  <c r="F734" i="1147"/>
  <c r="G734" i="1147"/>
  <c r="H734" i="1147"/>
  <c r="I734" i="1147"/>
  <c r="J734" i="1147"/>
  <c r="D735" i="1147"/>
  <c r="E735" i="1147"/>
  <c r="F735" i="1147"/>
  <c r="G735" i="1147"/>
  <c r="H735" i="1147"/>
  <c r="I735" i="1147"/>
  <c r="J735" i="1147"/>
  <c r="D736" i="1147"/>
  <c r="E736" i="1147"/>
  <c r="F736" i="1147"/>
  <c r="G736" i="1147"/>
  <c r="H736" i="1147"/>
  <c r="I736" i="1147"/>
  <c r="J736" i="1147"/>
  <c r="D737" i="1147"/>
  <c r="E737" i="1147"/>
  <c r="F737" i="1147"/>
  <c r="G737" i="1147"/>
  <c r="H737" i="1147"/>
  <c r="I737" i="1147"/>
  <c r="J737" i="1147"/>
  <c r="D738" i="1147"/>
  <c r="E738" i="1147"/>
  <c r="F738" i="1147"/>
  <c r="G738" i="1147"/>
  <c r="H738" i="1147"/>
  <c r="I738" i="1147"/>
  <c r="J738" i="1147"/>
  <c r="D739" i="1147"/>
  <c r="E739" i="1147"/>
  <c r="F739" i="1147"/>
  <c r="G739" i="1147"/>
  <c r="H739" i="1147"/>
  <c r="I739" i="1147"/>
  <c r="J739" i="1147"/>
  <c r="D740" i="1147"/>
  <c r="E740" i="1147"/>
  <c r="F740" i="1147"/>
  <c r="G740" i="1147"/>
  <c r="H740" i="1147"/>
  <c r="I740" i="1147"/>
  <c r="J740" i="1147"/>
  <c r="D741" i="1147"/>
  <c r="E741" i="1147"/>
  <c r="F741" i="1147"/>
  <c r="G741" i="1147"/>
  <c r="H741" i="1147"/>
  <c r="I741" i="1147"/>
  <c r="J741" i="1147"/>
  <c r="D742" i="1147"/>
  <c r="E742" i="1147"/>
  <c r="F742" i="1147"/>
  <c r="G742" i="1147"/>
  <c r="H742" i="1147"/>
  <c r="I742" i="1147"/>
  <c r="J742" i="1147"/>
  <c r="D743" i="1147"/>
  <c r="E743" i="1147"/>
  <c r="F743" i="1147"/>
  <c r="G743" i="1147"/>
  <c r="H743" i="1147"/>
  <c r="I743" i="1147"/>
  <c r="J743" i="1147"/>
  <c r="D744" i="1147"/>
  <c r="E744" i="1147"/>
  <c r="F744" i="1147"/>
  <c r="G744" i="1147"/>
  <c r="H744" i="1147"/>
  <c r="I744" i="1147"/>
  <c r="J744" i="1147"/>
  <c r="D745" i="1147"/>
  <c r="E745" i="1147"/>
  <c r="F745" i="1147"/>
  <c r="G745" i="1147"/>
  <c r="H745" i="1147"/>
  <c r="I745" i="1147"/>
  <c r="J745" i="1147"/>
  <c r="D746" i="1147"/>
  <c r="E746" i="1147"/>
  <c r="F746" i="1147"/>
  <c r="G746" i="1147"/>
  <c r="H746" i="1147"/>
  <c r="I746" i="1147"/>
  <c r="J746" i="1147"/>
  <c r="D747" i="1147"/>
  <c r="E747" i="1147"/>
  <c r="F747" i="1147"/>
  <c r="G747" i="1147"/>
  <c r="H747" i="1147"/>
  <c r="I747" i="1147"/>
  <c r="J747" i="1147"/>
  <c r="D748" i="1147"/>
  <c r="E748" i="1147"/>
  <c r="F748" i="1147"/>
  <c r="G748" i="1147"/>
  <c r="H748" i="1147"/>
  <c r="I748" i="1147"/>
  <c r="J748" i="1147"/>
  <c r="D749" i="1147"/>
  <c r="E749" i="1147"/>
  <c r="F749" i="1147"/>
  <c r="G749" i="1147"/>
  <c r="H749" i="1147"/>
  <c r="I749" i="1147"/>
  <c r="J749" i="1147"/>
  <c r="D750" i="1147"/>
  <c r="E750" i="1147"/>
  <c r="F750" i="1147"/>
  <c r="G750" i="1147"/>
  <c r="H750" i="1147"/>
  <c r="I750" i="1147"/>
  <c r="J750" i="1147"/>
  <c r="D751" i="1147"/>
  <c r="E751" i="1147"/>
  <c r="F751" i="1147"/>
  <c r="G751" i="1147"/>
  <c r="H751" i="1147"/>
  <c r="I751" i="1147"/>
  <c r="J751" i="1147"/>
  <c r="D752" i="1147"/>
  <c r="E752" i="1147"/>
  <c r="F752" i="1147"/>
  <c r="G752" i="1147"/>
  <c r="H752" i="1147"/>
  <c r="I752" i="1147"/>
  <c r="J752" i="1147"/>
  <c r="D753" i="1147"/>
  <c r="E753" i="1147"/>
  <c r="F753" i="1147"/>
  <c r="G753" i="1147"/>
  <c r="H753" i="1147"/>
  <c r="I753" i="1147"/>
  <c r="J753" i="1147"/>
  <c r="D754" i="1147"/>
  <c r="E754" i="1147"/>
  <c r="F754" i="1147"/>
  <c r="G754" i="1147"/>
  <c r="H754" i="1147"/>
  <c r="I754" i="1147"/>
  <c r="J754" i="1147"/>
  <c r="D755" i="1147"/>
  <c r="E755" i="1147"/>
  <c r="F755" i="1147"/>
  <c r="G755" i="1147"/>
  <c r="H755" i="1147"/>
  <c r="I755" i="1147"/>
  <c r="J755" i="1147"/>
  <c r="D756" i="1147"/>
  <c r="E756" i="1147"/>
  <c r="F756" i="1147"/>
  <c r="G756" i="1147"/>
  <c r="H756" i="1147"/>
  <c r="I756" i="1147"/>
  <c r="J756" i="1147"/>
  <c r="D757" i="1147"/>
  <c r="E757" i="1147"/>
  <c r="F757" i="1147"/>
  <c r="G757" i="1147"/>
  <c r="H757" i="1147"/>
  <c r="I757" i="1147"/>
  <c r="J757" i="1147"/>
  <c r="D758" i="1147"/>
  <c r="E758" i="1147"/>
  <c r="F758" i="1147"/>
  <c r="G758" i="1147"/>
  <c r="H758" i="1147"/>
  <c r="I758" i="1147"/>
  <c r="J758" i="1147"/>
  <c r="D759" i="1147"/>
  <c r="E759" i="1147"/>
  <c r="F759" i="1147"/>
  <c r="G759" i="1147"/>
  <c r="H759" i="1147"/>
  <c r="I759" i="1147"/>
  <c r="J759" i="1147"/>
  <c r="D760" i="1147"/>
  <c r="E760" i="1147"/>
  <c r="F760" i="1147"/>
  <c r="G760" i="1147"/>
  <c r="H760" i="1147"/>
  <c r="I760" i="1147"/>
  <c r="J760" i="1147"/>
  <c r="D761" i="1147"/>
  <c r="E761" i="1147"/>
  <c r="F761" i="1147"/>
  <c r="G761" i="1147"/>
  <c r="H761" i="1147"/>
  <c r="I761" i="1147"/>
  <c r="J761" i="1147"/>
  <c r="D762" i="1147"/>
  <c r="E762" i="1147"/>
  <c r="F762" i="1147"/>
  <c r="G762" i="1147"/>
  <c r="H762" i="1147"/>
  <c r="I762" i="1147"/>
  <c r="J762" i="1147"/>
  <c r="D763" i="1147"/>
  <c r="E763" i="1147"/>
  <c r="F763" i="1147"/>
  <c r="G763" i="1147"/>
  <c r="H763" i="1147"/>
  <c r="I763" i="1147"/>
  <c r="J763" i="1147"/>
  <c r="D764" i="1147"/>
  <c r="E764" i="1147"/>
  <c r="F764" i="1147"/>
  <c r="G764" i="1147"/>
  <c r="H764" i="1147"/>
  <c r="I764" i="1147"/>
  <c r="J764" i="1147"/>
  <c r="D765" i="1147"/>
  <c r="E765" i="1147"/>
  <c r="F765" i="1147"/>
  <c r="G765" i="1147"/>
  <c r="H765" i="1147"/>
  <c r="I765" i="1147"/>
  <c r="J765" i="1147"/>
  <c r="D766" i="1147"/>
  <c r="E766" i="1147"/>
  <c r="F766" i="1147"/>
  <c r="G766" i="1147"/>
  <c r="H766" i="1147"/>
  <c r="I766" i="1147"/>
  <c r="J766" i="1147"/>
  <c r="D767" i="1147"/>
  <c r="E767" i="1147"/>
  <c r="F767" i="1147"/>
  <c r="G767" i="1147"/>
  <c r="H767" i="1147"/>
  <c r="I767" i="1147"/>
  <c r="J767" i="1147"/>
  <c r="D768" i="1147"/>
  <c r="E768" i="1147"/>
  <c r="F768" i="1147"/>
  <c r="G768" i="1147"/>
  <c r="H768" i="1147"/>
  <c r="I768" i="1147"/>
  <c r="J768" i="1147"/>
  <c r="D769" i="1147"/>
  <c r="E769" i="1147"/>
  <c r="F769" i="1147"/>
  <c r="G769" i="1147"/>
  <c r="H769" i="1147"/>
  <c r="I769" i="1147"/>
  <c r="J769" i="1147"/>
  <c r="D770" i="1147"/>
  <c r="E770" i="1147"/>
  <c r="F770" i="1147"/>
  <c r="G770" i="1147"/>
  <c r="H770" i="1147"/>
  <c r="I770" i="1147"/>
  <c r="J770" i="1147"/>
  <c r="D771" i="1147"/>
  <c r="E771" i="1147"/>
  <c r="F771" i="1147"/>
  <c r="G771" i="1147"/>
  <c r="H771" i="1147"/>
  <c r="I771" i="1147"/>
  <c r="J771" i="1147"/>
  <c r="D772" i="1147"/>
  <c r="E772" i="1147"/>
  <c r="F772" i="1147"/>
  <c r="G772" i="1147"/>
  <c r="H772" i="1147"/>
  <c r="I772" i="1147"/>
  <c r="J772" i="1147"/>
  <c r="D773" i="1147"/>
  <c r="E773" i="1147"/>
  <c r="F773" i="1147"/>
  <c r="G773" i="1147"/>
  <c r="H773" i="1147"/>
  <c r="I773" i="1147"/>
  <c r="J773" i="1147"/>
  <c r="D774" i="1147"/>
  <c r="E774" i="1147"/>
  <c r="F774" i="1147"/>
  <c r="G774" i="1147"/>
  <c r="H774" i="1147"/>
  <c r="I774" i="1147"/>
  <c r="J774" i="1147"/>
  <c r="D775" i="1147"/>
  <c r="E775" i="1147"/>
  <c r="F775" i="1147"/>
  <c r="G775" i="1147"/>
  <c r="H775" i="1147"/>
  <c r="I775" i="1147"/>
  <c r="J775" i="1147"/>
  <c r="D776" i="1147"/>
  <c r="E776" i="1147"/>
  <c r="F776" i="1147"/>
  <c r="G776" i="1147"/>
  <c r="H776" i="1147"/>
  <c r="I776" i="1147"/>
  <c r="J776" i="1147"/>
  <c r="D777" i="1147"/>
  <c r="E777" i="1147"/>
  <c r="F777" i="1147"/>
  <c r="G777" i="1147"/>
  <c r="H777" i="1147"/>
  <c r="I777" i="1147"/>
  <c r="J777" i="1147"/>
  <c r="D778" i="1147"/>
  <c r="E778" i="1147"/>
  <c r="F778" i="1147"/>
  <c r="G778" i="1147"/>
  <c r="H778" i="1147"/>
  <c r="I778" i="1147"/>
  <c r="J778" i="1147"/>
  <c r="D779" i="1147"/>
  <c r="E779" i="1147"/>
  <c r="F779" i="1147"/>
  <c r="G779" i="1147"/>
  <c r="H779" i="1147"/>
  <c r="I779" i="1147"/>
  <c r="J779" i="1147"/>
  <c r="D780" i="1147"/>
  <c r="E780" i="1147"/>
  <c r="F780" i="1147"/>
  <c r="G780" i="1147"/>
  <c r="H780" i="1147"/>
  <c r="I780" i="1147"/>
  <c r="J780" i="1147"/>
  <c r="D781" i="1147"/>
  <c r="E781" i="1147"/>
  <c r="F781" i="1147"/>
  <c r="G781" i="1147"/>
  <c r="H781" i="1147"/>
  <c r="I781" i="1147"/>
  <c r="J781" i="1147"/>
  <c r="D782" i="1147"/>
  <c r="E782" i="1147"/>
  <c r="F782" i="1147"/>
  <c r="G782" i="1147"/>
  <c r="H782" i="1147"/>
  <c r="I782" i="1147"/>
  <c r="J782" i="1147"/>
  <c r="D783" i="1147"/>
  <c r="E783" i="1147"/>
  <c r="F783" i="1147"/>
  <c r="G783" i="1147"/>
  <c r="H783" i="1147"/>
  <c r="I783" i="1147"/>
  <c r="J783" i="1147"/>
  <c r="D784" i="1147"/>
  <c r="E784" i="1147"/>
  <c r="F784" i="1147"/>
  <c r="G784" i="1147"/>
  <c r="H784" i="1147"/>
  <c r="I784" i="1147"/>
  <c r="J784" i="1147"/>
  <c r="D785" i="1147"/>
  <c r="E785" i="1147"/>
  <c r="F785" i="1147"/>
  <c r="G785" i="1147"/>
  <c r="H785" i="1147"/>
  <c r="I785" i="1147"/>
  <c r="J785" i="1147"/>
  <c r="D786" i="1147"/>
  <c r="E786" i="1147"/>
  <c r="F786" i="1147"/>
  <c r="G786" i="1147"/>
  <c r="H786" i="1147"/>
  <c r="I786" i="1147"/>
  <c r="J786" i="1147"/>
  <c r="D787" i="1147"/>
  <c r="E787" i="1147"/>
  <c r="F787" i="1147"/>
  <c r="G787" i="1147"/>
  <c r="H787" i="1147"/>
  <c r="I787" i="1147"/>
  <c r="J787" i="1147"/>
  <c r="D788" i="1147"/>
  <c r="E788" i="1147"/>
  <c r="F788" i="1147"/>
  <c r="G788" i="1147"/>
  <c r="H788" i="1147"/>
  <c r="I788" i="1147"/>
  <c r="J788" i="1147"/>
  <c r="D789" i="1147"/>
  <c r="E789" i="1147"/>
  <c r="F789" i="1147"/>
  <c r="G789" i="1147"/>
  <c r="H789" i="1147"/>
  <c r="I789" i="1147"/>
  <c r="J789" i="1147"/>
  <c r="D790" i="1147"/>
  <c r="E790" i="1147"/>
  <c r="F790" i="1147"/>
  <c r="G790" i="1147"/>
  <c r="H790" i="1147"/>
  <c r="I790" i="1147"/>
  <c r="J790" i="1147"/>
  <c r="D791" i="1147"/>
  <c r="E791" i="1147"/>
  <c r="F791" i="1147"/>
  <c r="G791" i="1147"/>
  <c r="H791" i="1147"/>
  <c r="I791" i="1147"/>
  <c r="J791" i="1147"/>
  <c r="D792" i="1147"/>
  <c r="E792" i="1147"/>
  <c r="F792" i="1147"/>
  <c r="G792" i="1147"/>
  <c r="H792" i="1147"/>
  <c r="I792" i="1147"/>
  <c r="J792" i="1147"/>
  <c r="D793" i="1147"/>
  <c r="E793" i="1147"/>
  <c r="F793" i="1147"/>
  <c r="G793" i="1147"/>
  <c r="H793" i="1147"/>
  <c r="I793" i="1147"/>
  <c r="J793" i="1147"/>
  <c r="D794" i="1147"/>
  <c r="E794" i="1147"/>
  <c r="F794" i="1147"/>
  <c r="G794" i="1147"/>
  <c r="H794" i="1147"/>
  <c r="I794" i="1147"/>
  <c r="J794" i="1147"/>
  <c r="D795" i="1147"/>
  <c r="E795" i="1147"/>
  <c r="F795" i="1147"/>
  <c r="G795" i="1147"/>
  <c r="H795" i="1147"/>
  <c r="I795" i="1147"/>
  <c r="J795" i="1147"/>
  <c r="D796" i="1147"/>
  <c r="E796" i="1147"/>
  <c r="F796" i="1147"/>
  <c r="G796" i="1147"/>
  <c r="H796" i="1147"/>
  <c r="I796" i="1147"/>
  <c r="J796" i="1147"/>
  <c r="D797" i="1147"/>
  <c r="E797" i="1147"/>
  <c r="F797" i="1147"/>
  <c r="G797" i="1147"/>
  <c r="H797" i="1147"/>
  <c r="I797" i="1147"/>
  <c r="J797" i="1147"/>
  <c r="D798" i="1147"/>
  <c r="E798" i="1147"/>
  <c r="F798" i="1147"/>
  <c r="G798" i="1147"/>
  <c r="H798" i="1147"/>
  <c r="I798" i="1147"/>
  <c r="J798" i="1147"/>
  <c r="D799" i="1147"/>
  <c r="E799" i="1147"/>
  <c r="F799" i="1147"/>
  <c r="G799" i="1147"/>
  <c r="H799" i="1147"/>
  <c r="I799" i="1147"/>
  <c r="J799" i="1147"/>
  <c r="D800" i="1147"/>
  <c r="E800" i="1147"/>
  <c r="F800" i="1147"/>
  <c r="G800" i="1147"/>
  <c r="H800" i="1147"/>
  <c r="I800" i="1147"/>
  <c r="J800" i="1147"/>
  <c r="D801" i="1147"/>
  <c r="E801" i="1147"/>
  <c r="F801" i="1147"/>
  <c r="G801" i="1147"/>
  <c r="H801" i="1147"/>
  <c r="I801" i="1147"/>
  <c r="J801" i="1147"/>
  <c r="D802" i="1147"/>
  <c r="E802" i="1147"/>
  <c r="F802" i="1147"/>
  <c r="G802" i="1147"/>
  <c r="H802" i="1147"/>
  <c r="I802" i="1147"/>
  <c r="J802" i="1147"/>
  <c r="D803" i="1147"/>
  <c r="E803" i="1147"/>
  <c r="F803" i="1147"/>
  <c r="G803" i="1147"/>
  <c r="H803" i="1147"/>
  <c r="I803" i="1147"/>
  <c r="J803" i="1147"/>
  <c r="D804" i="1147"/>
  <c r="E804" i="1147"/>
  <c r="F804" i="1147"/>
  <c r="G804" i="1147"/>
  <c r="H804" i="1147"/>
  <c r="I804" i="1147"/>
  <c r="J804" i="1147"/>
  <c r="D805" i="1147"/>
  <c r="E805" i="1147"/>
  <c r="F805" i="1147"/>
  <c r="G805" i="1147"/>
  <c r="H805" i="1147"/>
  <c r="I805" i="1147"/>
  <c r="J805" i="1147"/>
  <c r="D806" i="1147"/>
  <c r="E806" i="1147"/>
  <c r="F806" i="1147"/>
  <c r="G806" i="1147"/>
  <c r="H806" i="1147"/>
  <c r="I806" i="1147"/>
  <c r="J806" i="1147"/>
  <c r="D807" i="1147"/>
  <c r="E807" i="1147"/>
  <c r="F807" i="1147"/>
  <c r="G807" i="1147"/>
  <c r="H807" i="1147"/>
  <c r="I807" i="1147"/>
  <c r="J807" i="1147"/>
  <c r="D808" i="1147"/>
  <c r="E808" i="1147"/>
  <c r="F808" i="1147"/>
  <c r="G808" i="1147"/>
  <c r="H808" i="1147"/>
  <c r="I808" i="1147"/>
  <c r="J808" i="1147"/>
  <c r="D809" i="1147"/>
  <c r="E809" i="1147"/>
  <c r="F809" i="1147"/>
  <c r="G809" i="1147"/>
  <c r="H809" i="1147"/>
  <c r="I809" i="1147"/>
  <c r="J809" i="1147"/>
  <c r="D810" i="1147"/>
  <c r="E810" i="1147"/>
  <c r="F810" i="1147"/>
  <c r="G810" i="1147"/>
  <c r="H810" i="1147"/>
  <c r="I810" i="1147"/>
  <c r="J810" i="1147"/>
  <c r="D811" i="1147"/>
  <c r="E811" i="1147"/>
  <c r="F811" i="1147"/>
  <c r="G811" i="1147"/>
  <c r="H811" i="1147"/>
  <c r="I811" i="1147"/>
  <c r="J811" i="1147"/>
  <c r="D812" i="1147"/>
  <c r="E812" i="1147"/>
  <c r="F812" i="1147"/>
  <c r="G812" i="1147"/>
  <c r="H812" i="1147"/>
  <c r="I812" i="1147"/>
  <c r="J812" i="1147"/>
  <c r="D813" i="1147"/>
  <c r="E813" i="1147"/>
  <c r="F813" i="1147"/>
  <c r="G813" i="1147"/>
  <c r="H813" i="1147"/>
  <c r="I813" i="1147"/>
  <c r="J813" i="1147"/>
  <c r="D814" i="1147"/>
  <c r="E814" i="1147"/>
  <c r="F814" i="1147"/>
  <c r="G814" i="1147"/>
  <c r="H814" i="1147"/>
  <c r="I814" i="1147"/>
  <c r="J814" i="1147"/>
  <c r="D815" i="1147"/>
  <c r="E815" i="1147"/>
  <c r="F815" i="1147"/>
  <c r="G815" i="1147"/>
  <c r="H815" i="1147"/>
  <c r="I815" i="1147"/>
  <c r="J815" i="1147"/>
  <c r="D816" i="1147"/>
  <c r="E816" i="1147"/>
  <c r="F816" i="1147"/>
  <c r="G816" i="1147"/>
  <c r="H816" i="1147"/>
  <c r="I816" i="1147"/>
  <c r="J816" i="1147"/>
  <c r="D817" i="1147"/>
  <c r="E817" i="1147"/>
  <c r="F817" i="1147"/>
  <c r="G817" i="1147"/>
  <c r="H817" i="1147"/>
  <c r="I817" i="1147"/>
  <c r="J817" i="1147"/>
  <c r="D818" i="1147"/>
  <c r="E818" i="1147"/>
  <c r="F818" i="1147"/>
  <c r="G818" i="1147"/>
  <c r="H818" i="1147"/>
  <c r="I818" i="1147"/>
  <c r="J818" i="1147"/>
  <c r="D819" i="1147"/>
  <c r="E819" i="1147"/>
  <c r="F819" i="1147"/>
  <c r="G819" i="1147"/>
  <c r="H819" i="1147"/>
  <c r="I819" i="1147"/>
  <c r="J819" i="1147"/>
  <c r="D820" i="1147"/>
  <c r="E820" i="1147"/>
  <c r="F820" i="1147"/>
  <c r="G820" i="1147"/>
  <c r="H820" i="1147"/>
  <c r="I820" i="1147"/>
  <c r="J820" i="1147"/>
  <c r="D821" i="1147"/>
  <c r="E821" i="1147"/>
  <c r="F821" i="1147"/>
  <c r="G821" i="1147"/>
  <c r="H821" i="1147"/>
  <c r="I821" i="1147"/>
  <c r="J821" i="1147"/>
  <c r="D822" i="1147"/>
  <c r="E822" i="1147"/>
  <c r="F822" i="1147"/>
  <c r="G822" i="1147"/>
  <c r="H822" i="1147"/>
  <c r="I822" i="1147"/>
  <c r="J822" i="1147"/>
  <c r="D823" i="1147"/>
  <c r="E823" i="1147"/>
  <c r="F823" i="1147"/>
  <c r="G823" i="1147"/>
  <c r="H823" i="1147"/>
  <c r="I823" i="1147"/>
  <c r="J823" i="1147"/>
  <c r="D824" i="1147"/>
  <c r="E824" i="1147"/>
  <c r="F824" i="1147"/>
  <c r="G824" i="1147"/>
  <c r="H824" i="1147"/>
  <c r="I824" i="1147"/>
  <c r="J824" i="1147"/>
  <c r="D825" i="1147"/>
  <c r="E825" i="1147"/>
  <c r="F825" i="1147"/>
  <c r="G825" i="1147"/>
  <c r="H825" i="1147"/>
  <c r="I825" i="1147"/>
  <c r="J825" i="1147"/>
  <c r="D826" i="1147"/>
  <c r="E826" i="1147"/>
  <c r="F826" i="1147"/>
  <c r="G826" i="1147"/>
  <c r="H826" i="1147"/>
  <c r="I826" i="1147"/>
  <c r="J826" i="1147"/>
  <c r="D827" i="1147"/>
  <c r="E827" i="1147"/>
  <c r="F827" i="1147"/>
  <c r="G827" i="1147"/>
  <c r="H827" i="1147"/>
  <c r="I827" i="1147"/>
  <c r="J827" i="1147"/>
  <c r="D828" i="1147"/>
  <c r="E828" i="1147"/>
  <c r="F828" i="1147"/>
  <c r="G828" i="1147"/>
  <c r="H828" i="1147"/>
  <c r="I828" i="1147"/>
  <c r="J828" i="1147"/>
  <c r="D829" i="1147"/>
  <c r="E829" i="1147"/>
  <c r="F829" i="1147"/>
  <c r="G829" i="1147"/>
  <c r="H829" i="1147"/>
  <c r="I829" i="1147"/>
  <c r="J829" i="1147"/>
  <c r="D830" i="1147"/>
  <c r="E830" i="1147"/>
  <c r="F830" i="1147"/>
  <c r="G830" i="1147"/>
  <c r="H830" i="1147"/>
  <c r="I830" i="1147"/>
  <c r="J830" i="1147"/>
  <c r="D831" i="1147"/>
  <c r="E831" i="1147"/>
  <c r="F831" i="1147"/>
  <c r="G831" i="1147"/>
  <c r="H831" i="1147"/>
  <c r="I831" i="1147"/>
  <c r="J831" i="1147"/>
  <c r="D832" i="1147"/>
  <c r="E832" i="1147"/>
  <c r="F832" i="1147"/>
  <c r="G832" i="1147"/>
  <c r="H832" i="1147"/>
  <c r="I832" i="1147"/>
  <c r="J832" i="1147"/>
  <c r="D833" i="1147"/>
  <c r="E833" i="1147"/>
  <c r="F833" i="1147"/>
  <c r="G833" i="1147"/>
  <c r="H833" i="1147"/>
  <c r="I833" i="1147"/>
  <c r="J833" i="1147"/>
  <c r="D834" i="1147"/>
  <c r="E834" i="1147"/>
  <c r="F834" i="1147"/>
  <c r="G834" i="1147"/>
  <c r="H834" i="1147"/>
  <c r="I834" i="1147"/>
  <c r="J834" i="1147"/>
  <c r="D835" i="1147"/>
  <c r="E835" i="1147"/>
  <c r="F835" i="1147"/>
  <c r="G835" i="1147"/>
  <c r="H835" i="1147"/>
  <c r="I835" i="1147"/>
  <c r="J835" i="1147"/>
  <c r="D836" i="1147"/>
  <c r="E836" i="1147"/>
  <c r="F836" i="1147"/>
  <c r="G836" i="1147"/>
  <c r="H836" i="1147"/>
  <c r="I836" i="1147"/>
  <c r="J836" i="1147"/>
  <c r="D837" i="1147"/>
  <c r="E837" i="1147"/>
  <c r="F837" i="1147"/>
  <c r="G837" i="1147"/>
  <c r="H837" i="1147"/>
  <c r="I837" i="1147"/>
  <c r="J837" i="1147"/>
  <c r="D838" i="1147"/>
  <c r="E838" i="1147"/>
  <c r="F838" i="1147"/>
  <c r="G838" i="1147"/>
  <c r="H838" i="1147"/>
  <c r="I838" i="1147"/>
  <c r="J838" i="1147"/>
  <c r="D839" i="1147"/>
  <c r="E839" i="1147"/>
  <c r="F839" i="1147"/>
  <c r="G839" i="1147"/>
  <c r="H839" i="1147"/>
  <c r="I839" i="1147"/>
  <c r="J839" i="1147"/>
  <c r="D840" i="1147"/>
  <c r="E840" i="1147"/>
  <c r="F840" i="1147"/>
  <c r="G840" i="1147"/>
  <c r="H840" i="1147"/>
  <c r="I840" i="1147"/>
  <c r="J840" i="1147"/>
  <c r="D841" i="1147"/>
  <c r="E841" i="1147"/>
  <c r="F841" i="1147"/>
  <c r="G841" i="1147"/>
  <c r="H841" i="1147"/>
  <c r="I841" i="1147"/>
  <c r="J841" i="1147"/>
  <c r="D842" i="1147"/>
  <c r="E842" i="1147"/>
  <c r="F842" i="1147"/>
  <c r="G842" i="1147"/>
  <c r="H842" i="1147"/>
  <c r="I842" i="1147"/>
  <c r="J842" i="1147"/>
  <c r="D843" i="1147"/>
  <c r="E843" i="1147"/>
  <c r="F843" i="1147"/>
  <c r="G843" i="1147"/>
  <c r="H843" i="1147"/>
  <c r="I843" i="1147"/>
  <c r="J843" i="1147"/>
  <c r="D844" i="1147"/>
  <c r="E844" i="1147"/>
  <c r="F844" i="1147"/>
  <c r="G844" i="1147"/>
  <c r="H844" i="1147"/>
  <c r="I844" i="1147"/>
  <c r="J844" i="1147"/>
  <c r="D845" i="1147"/>
  <c r="E845" i="1147"/>
  <c r="F845" i="1147"/>
  <c r="G845" i="1147"/>
  <c r="H845" i="1147"/>
  <c r="I845" i="1147"/>
  <c r="J845" i="1147"/>
  <c r="D846" i="1147"/>
  <c r="E846" i="1147"/>
  <c r="F846" i="1147"/>
  <c r="G846" i="1147"/>
  <c r="H846" i="1147"/>
  <c r="I846" i="1147"/>
  <c r="J846" i="1147"/>
  <c r="D847" i="1147"/>
  <c r="E847" i="1147"/>
  <c r="F847" i="1147"/>
  <c r="G847" i="1147"/>
  <c r="H847" i="1147"/>
  <c r="I847" i="1147"/>
  <c r="J847" i="1147"/>
  <c r="D848" i="1147"/>
  <c r="E848" i="1147"/>
  <c r="F848" i="1147"/>
  <c r="G848" i="1147"/>
  <c r="H848" i="1147"/>
  <c r="I848" i="1147"/>
  <c r="J848" i="1147"/>
  <c r="D849" i="1147"/>
  <c r="E849" i="1147"/>
  <c r="F849" i="1147"/>
  <c r="G849" i="1147"/>
  <c r="H849" i="1147"/>
  <c r="I849" i="1147"/>
  <c r="J849" i="1147"/>
  <c r="D850" i="1147"/>
  <c r="E850" i="1147"/>
  <c r="F850" i="1147"/>
  <c r="G850" i="1147"/>
  <c r="H850" i="1147"/>
  <c r="I850" i="1147"/>
  <c r="J850" i="1147"/>
  <c r="D851" i="1147"/>
  <c r="E851" i="1147"/>
  <c r="F851" i="1147"/>
  <c r="G851" i="1147"/>
  <c r="H851" i="1147"/>
  <c r="I851" i="1147"/>
  <c r="J851" i="1147"/>
  <c r="D852" i="1147"/>
  <c r="E852" i="1147"/>
  <c r="F852" i="1147"/>
  <c r="G852" i="1147"/>
  <c r="H852" i="1147"/>
  <c r="I852" i="1147"/>
  <c r="J852" i="1147"/>
  <c r="D853" i="1147"/>
  <c r="E853" i="1147"/>
  <c r="F853" i="1147"/>
  <c r="G853" i="1147"/>
  <c r="H853" i="1147"/>
  <c r="I853" i="1147"/>
  <c r="J853" i="1147"/>
  <c r="D854" i="1147"/>
  <c r="E854" i="1147"/>
  <c r="F854" i="1147"/>
  <c r="G854" i="1147"/>
  <c r="H854" i="1147"/>
  <c r="I854" i="1147"/>
  <c r="J854" i="1147"/>
  <c r="D855" i="1147"/>
  <c r="E855" i="1147"/>
  <c r="F855" i="1147"/>
  <c r="G855" i="1147"/>
  <c r="H855" i="1147"/>
  <c r="I855" i="1147"/>
  <c r="J855" i="1147"/>
  <c r="D856" i="1147"/>
  <c r="E856" i="1147"/>
  <c r="F856" i="1147"/>
  <c r="G856" i="1147"/>
  <c r="H856" i="1147"/>
  <c r="I856" i="1147"/>
  <c r="J856" i="1147"/>
  <c r="D857" i="1147"/>
  <c r="E857" i="1147"/>
  <c r="F857" i="1147"/>
  <c r="G857" i="1147"/>
  <c r="H857" i="1147"/>
  <c r="I857" i="1147"/>
  <c r="J857" i="1147"/>
  <c r="D858" i="1147"/>
  <c r="E858" i="1147"/>
  <c r="F858" i="1147"/>
  <c r="G858" i="1147"/>
  <c r="H858" i="1147"/>
  <c r="I858" i="1147"/>
  <c r="J858" i="1147"/>
  <c r="D859" i="1147"/>
  <c r="E859" i="1147"/>
  <c r="F859" i="1147"/>
  <c r="G859" i="1147"/>
  <c r="H859" i="1147"/>
  <c r="I859" i="1147"/>
  <c r="J859" i="1147"/>
  <c r="D860" i="1147"/>
  <c r="E860" i="1147"/>
  <c r="F860" i="1147"/>
  <c r="G860" i="1147"/>
  <c r="H860" i="1147"/>
  <c r="I860" i="1147"/>
  <c r="J860" i="1147"/>
  <c r="D861" i="1147"/>
  <c r="E861" i="1147"/>
  <c r="F861" i="1147"/>
  <c r="G861" i="1147"/>
  <c r="H861" i="1147"/>
  <c r="I861" i="1147"/>
  <c r="J861" i="1147"/>
  <c r="D862" i="1147"/>
  <c r="E862" i="1147"/>
  <c r="F862" i="1147"/>
  <c r="G862" i="1147"/>
  <c r="H862" i="1147"/>
  <c r="I862" i="1147"/>
  <c r="J862" i="1147"/>
  <c r="D863" i="1147"/>
  <c r="E863" i="1147"/>
  <c r="F863" i="1147"/>
  <c r="G863" i="1147"/>
  <c r="H863" i="1147"/>
  <c r="I863" i="1147"/>
  <c r="J863" i="1147"/>
  <c r="D864" i="1147"/>
  <c r="E864" i="1147"/>
  <c r="F864" i="1147"/>
  <c r="G864" i="1147"/>
  <c r="H864" i="1147"/>
  <c r="I864" i="1147"/>
  <c r="J864" i="1147"/>
  <c r="D865" i="1147"/>
  <c r="E865" i="1147"/>
  <c r="F865" i="1147"/>
  <c r="G865" i="1147"/>
  <c r="H865" i="1147"/>
  <c r="I865" i="1147"/>
  <c r="J865" i="1147"/>
  <c r="D866" i="1147"/>
  <c r="E866" i="1147"/>
  <c r="F866" i="1147"/>
  <c r="G866" i="1147"/>
  <c r="H866" i="1147"/>
  <c r="I866" i="1147"/>
  <c r="J866" i="1147"/>
  <c r="D867" i="1147"/>
  <c r="E867" i="1147"/>
  <c r="F867" i="1147"/>
  <c r="G867" i="1147"/>
  <c r="H867" i="1147"/>
  <c r="I867" i="1147"/>
  <c r="J867" i="1147"/>
  <c r="D868" i="1147"/>
  <c r="E868" i="1147"/>
  <c r="F868" i="1147"/>
  <c r="G868" i="1147"/>
  <c r="H868" i="1147"/>
  <c r="I868" i="1147"/>
  <c r="J868" i="1147"/>
  <c r="D869" i="1147"/>
  <c r="E869" i="1147"/>
  <c r="F869" i="1147"/>
  <c r="G869" i="1147"/>
  <c r="H869" i="1147"/>
  <c r="I869" i="1147"/>
  <c r="J869" i="1147"/>
  <c r="D870" i="1147"/>
  <c r="E870" i="1147"/>
  <c r="F870" i="1147"/>
  <c r="G870" i="1147"/>
  <c r="H870" i="1147"/>
  <c r="I870" i="1147"/>
  <c r="J870" i="1147"/>
  <c r="D871" i="1147"/>
  <c r="E871" i="1147"/>
  <c r="F871" i="1147"/>
  <c r="G871" i="1147"/>
  <c r="H871" i="1147"/>
  <c r="I871" i="1147"/>
  <c r="J871" i="1147"/>
  <c r="D872" i="1147"/>
  <c r="E872" i="1147"/>
  <c r="F872" i="1147"/>
  <c r="G872" i="1147"/>
  <c r="H872" i="1147"/>
  <c r="I872" i="1147"/>
  <c r="J872" i="1147"/>
  <c r="D873" i="1147"/>
  <c r="E873" i="1147"/>
  <c r="F873" i="1147"/>
  <c r="G873" i="1147"/>
  <c r="H873" i="1147"/>
  <c r="I873" i="1147"/>
  <c r="J873" i="1147"/>
  <c r="D874" i="1147"/>
  <c r="E874" i="1147"/>
  <c r="F874" i="1147"/>
  <c r="G874" i="1147"/>
  <c r="H874" i="1147"/>
  <c r="I874" i="1147"/>
  <c r="J874" i="1147"/>
  <c r="D875" i="1147"/>
  <c r="E875" i="1147"/>
  <c r="F875" i="1147"/>
  <c r="G875" i="1147"/>
  <c r="H875" i="1147"/>
  <c r="I875" i="1147"/>
  <c r="J875" i="1147"/>
  <c r="D876" i="1147"/>
  <c r="E876" i="1147"/>
  <c r="F876" i="1147"/>
  <c r="G876" i="1147"/>
  <c r="H876" i="1147"/>
  <c r="I876" i="1147"/>
  <c r="J876" i="1147"/>
  <c r="D877" i="1147"/>
  <c r="E877" i="1147"/>
  <c r="F877" i="1147"/>
  <c r="G877" i="1147"/>
  <c r="H877" i="1147"/>
  <c r="I877" i="1147"/>
  <c r="J877" i="1147"/>
  <c r="D878" i="1147"/>
  <c r="E878" i="1147"/>
  <c r="F878" i="1147"/>
  <c r="G878" i="1147"/>
  <c r="H878" i="1147"/>
  <c r="I878" i="1147"/>
  <c r="J878" i="1147"/>
  <c r="D879" i="1147"/>
  <c r="E879" i="1147"/>
  <c r="F879" i="1147"/>
  <c r="G879" i="1147"/>
  <c r="H879" i="1147"/>
  <c r="I879" i="1147"/>
  <c r="J879" i="1147"/>
  <c r="D880" i="1147"/>
  <c r="E880" i="1147"/>
  <c r="F880" i="1147"/>
  <c r="G880" i="1147"/>
  <c r="H880" i="1147"/>
  <c r="I880" i="1147"/>
  <c r="J880" i="1147"/>
  <c r="D881" i="1147"/>
  <c r="E881" i="1147"/>
  <c r="F881" i="1147"/>
  <c r="G881" i="1147"/>
  <c r="H881" i="1147"/>
  <c r="I881" i="1147"/>
  <c r="J881" i="1147"/>
  <c r="D882" i="1147"/>
  <c r="E882" i="1147"/>
  <c r="F882" i="1147"/>
  <c r="G882" i="1147"/>
  <c r="H882" i="1147"/>
  <c r="I882" i="1147"/>
  <c r="J882" i="1147"/>
  <c r="D883" i="1147"/>
  <c r="E883" i="1147"/>
  <c r="F883" i="1147"/>
  <c r="G883" i="1147"/>
  <c r="H883" i="1147"/>
  <c r="I883" i="1147"/>
  <c r="J883" i="1147"/>
  <c r="D884" i="1147"/>
  <c r="E884" i="1147"/>
  <c r="F884" i="1147"/>
  <c r="G884" i="1147"/>
  <c r="H884" i="1147"/>
  <c r="I884" i="1147"/>
  <c r="J884" i="1147"/>
  <c r="D885" i="1147"/>
  <c r="E885" i="1147"/>
  <c r="F885" i="1147"/>
  <c r="G885" i="1147"/>
  <c r="H885" i="1147"/>
  <c r="I885" i="1147"/>
  <c r="J885" i="1147"/>
  <c r="D886" i="1147"/>
  <c r="E886" i="1147"/>
  <c r="F886" i="1147"/>
  <c r="G886" i="1147"/>
  <c r="H886" i="1147"/>
  <c r="I886" i="1147"/>
  <c r="J886" i="1147"/>
  <c r="D887" i="1147"/>
  <c r="E887" i="1147"/>
  <c r="F887" i="1147"/>
  <c r="G887" i="1147"/>
  <c r="H887" i="1147"/>
  <c r="I887" i="1147"/>
  <c r="J887" i="1147"/>
  <c r="D888" i="1147"/>
  <c r="E888" i="1147"/>
  <c r="F888" i="1147"/>
  <c r="G888" i="1147"/>
  <c r="H888" i="1147"/>
  <c r="I888" i="1147"/>
  <c r="J888" i="1147"/>
  <c r="D889" i="1147"/>
  <c r="E889" i="1147"/>
  <c r="F889" i="1147"/>
  <c r="G889" i="1147"/>
  <c r="H889" i="1147"/>
  <c r="I889" i="1147"/>
  <c r="J889" i="1147"/>
  <c r="D890" i="1147"/>
  <c r="E890" i="1147"/>
  <c r="F890" i="1147"/>
  <c r="G890" i="1147"/>
  <c r="H890" i="1147"/>
  <c r="I890" i="1147"/>
  <c r="J890" i="1147"/>
  <c r="D891" i="1147"/>
  <c r="E891" i="1147"/>
  <c r="F891" i="1147"/>
  <c r="G891" i="1147"/>
  <c r="H891" i="1147"/>
  <c r="I891" i="1147"/>
  <c r="J891" i="1147"/>
  <c r="D892" i="1147"/>
  <c r="E892" i="1147"/>
  <c r="F892" i="1147"/>
  <c r="G892" i="1147"/>
  <c r="H892" i="1147"/>
  <c r="I892" i="1147"/>
  <c r="J892" i="1147"/>
  <c r="D893" i="1147"/>
  <c r="E893" i="1147"/>
  <c r="F893" i="1147"/>
  <c r="G893" i="1147"/>
  <c r="H893" i="1147"/>
  <c r="I893" i="1147"/>
  <c r="J893" i="1147"/>
  <c r="D894" i="1147"/>
  <c r="E894" i="1147"/>
  <c r="F894" i="1147"/>
  <c r="G894" i="1147"/>
  <c r="H894" i="1147"/>
  <c r="I894" i="1147"/>
  <c r="J894" i="1147"/>
  <c r="D895" i="1147"/>
  <c r="E895" i="1147"/>
  <c r="F895" i="1147"/>
  <c r="G895" i="1147"/>
  <c r="H895" i="1147"/>
  <c r="I895" i="1147"/>
  <c r="J895" i="1147"/>
  <c r="D896" i="1147"/>
  <c r="E896" i="1147"/>
  <c r="F896" i="1147"/>
  <c r="G896" i="1147"/>
  <c r="H896" i="1147"/>
  <c r="I896" i="1147"/>
  <c r="J896" i="1147"/>
  <c r="D897" i="1147"/>
  <c r="E897" i="1147"/>
  <c r="F897" i="1147"/>
  <c r="G897" i="1147"/>
  <c r="H897" i="1147"/>
  <c r="I897" i="1147"/>
  <c r="J897" i="1147"/>
  <c r="D898" i="1147"/>
  <c r="E898" i="1147"/>
  <c r="F898" i="1147"/>
  <c r="G898" i="1147"/>
  <c r="H898" i="1147"/>
  <c r="I898" i="1147"/>
  <c r="J898" i="1147"/>
  <c r="D899" i="1147"/>
  <c r="E899" i="1147"/>
  <c r="G899" i="1147"/>
  <c r="H899" i="1147"/>
  <c r="I899" i="1147"/>
  <c r="J899" i="1147"/>
  <c r="D900" i="1147"/>
  <c r="E900" i="1147"/>
  <c r="F900" i="1147"/>
  <c r="G900" i="1147"/>
  <c r="H900" i="1147"/>
  <c r="I900" i="1147"/>
  <c r="J900" i="1147"/>
  <c r="D901" i="1147"/>
  <c r="E901" i="1147"/>
  <c r="F901" i="1147"/>
  <c r="G901" i="1147"/>
  <c r="H901" i="1147"/>
  <c r="I901" i="1147"/>
  <c r="J901" i="1147"/>
  <c r="D902" i="1147"/>
  <c r="E902" i="1147"/>
  <c r="F902" i="1147"/>
  <c r="G902" i="1147"/>
  <c r="H902" i="1147"/>
  <c r="I902" i="1147"/>
  <c r="J902" i="1147"/>
  <c r="D903" i="1147"/>
  <c r="E903" i="1147"/>
  <c r="F903" i="1147"/>
  <c r="G903" i="1147"/>
  <c r="H903" i="1147"/>
  <c r="I903" i="1147"/>
  <c r="J903" i="1147"/>
  <c r="D904" i="1147"/>
  <c r="E904" i="1147"/>
  <c r="F904" i="1147"/>
  <c r="G904" i="1147"/>
  <c r="H904" i="1147"/>
  <c r="I904" i="1147"/>
  <c r="J904" i="1147"/>
  <c r="D905" i="1147"/>
  <c r="E905" i="1147"/>
  <c r="F905" i="1147"/>
  <c r="G905" i="1147"/>
  <c r="H905" i="1147"/>
  <c r="I905" i="1147"/>
  <c r="J905" i="1147"/>
  <c r="D906" i="1147"/>
  <c r="E906" i="1147"/>
  <c r="F906" i="1147"/>
  <c r="G906" i="1147"/>
  <c r="H906" i="1147"/>
  <c r="I906" i="1147"/>
  <c r="J906" i="1147"/>
  <c r="D907" i="1147"/>
  <c r="E907" i="1147"/>
  <c r="F907" i="1147"/>
  <c r="G907" i="1147"/>
  <c r="H907" i="1147"/>
  <c r="I907" i="1147"/>
  <c r="J907" i="1147"/>
  <c r="D908" i="1147"/>
  <c r="E908" i="1147"/>
  <c r="F908" i="1147"/>
  <c r="G908" i="1147"/>
  <c r="H908" i="1147"/>
  <c r="I908" i="1147"/>
  <c r="J908" i="1147"/>
  <c r="D909" i="1147"/>
  <c r="E909" i="1147"/>
  <c r="F909" i="1147"/>
  <c r="G909" i="1147"/>
  <c r="H909" i="1147"/>
  <c r="I909" i="1147"/>
  <c r="J909" i="1147"/>
  <c r="D910" i="1147"/>
  <c r="E910" i="1147"/>
  <c r="F910" i="1147"/>
  <c r="G910" i="1147"/>
  <c r="H910" i="1147"/>
  <c r="I910" i="1147"/>
  <c r="J910" i="1147"/>
  <c r="D911" i="1147"/>
  <c r="E911" i="1147"/>
  <c r="F911" i="1147"/>
  <c r="G911" i="1147"/>
  <c r="H911" i="1147"/>
  <c r="I911" i="1147"/>
  <c r="J911" i="1147"/>
  <c r="D912" i="1147"/>
  <c r="E912" i="1147"/>
  <c r="F912" i="1147"/>
  <c r="G912" i="1147"/>
  <c r="H912" i="1147"/>
  <c r="I912" i="1147"/>
  <c r="J912" i="1147"/>
  <c r="D913" i="1147"/>
  <c r="E913" i="1147"/>
  <c r="F913" i="1147"/>
  <c r="G913" i="1147"/>
  <c r="H913" i="1147"/>
  <c r="I913" i="1147"/>
  <c r="J913" i="1147"/>
  <c r="D914" i="1147"/>
  <c r="E914" i="1147"/>
  <c r="F914" i="1147"/>
  <c r="G914" i="1147"/>
  <c r="H914" i="1147"/>
  <c r="I914" i="1147"/>
  <c r="J914" i="1147"/>
  <c r="D915" i="1147"/>
  <c r="E915" i="1147"/>
  <c r="F915" i="1147"/>
  <c r="G915" i="1147"/>
  <c r="H915" i="1147"/>
  <c r="I915" i="1147"/>
  <c r="J915" i="1147"/>
  <c r="D916" i="1147"/>
  <c r="E916" i="1147"/>
  <c r="F916" i="1147"/>
  <c r="G916" i="1147"/>
  <c r="H916" i="1147"/>
  <c r="I916" i="1147"/>
  <c r="J916" i="1147"/>
  <c r="D917" i="1147"/>
  <c r="E917" i="1147"/>
  <c r="F917" i="1147"/>
  <c r="G917" i="1147"/>
  <c r="H917" i="1147"/>
  <c r="I917" i="1147"/>
  <c r="J917" i="1147"/>
  <c r="D918" i="1147"/>
  <c r="E918" i="1147"/>
  <c r="F918" i="1147"/>
  <c r="G918" i="1147"/>
  <c r="H918" i="1147"/>
  <c r="I918" i="1147"/>
  <c r="J918" i="1147"/>
  <c r="D919" i="1147"/>
  <c r="E919" i="1147"/>
  <c r="F919" i="1147"/>
  <c r="G919" i="1147"/>
  <c r="H919" i="1147"/>
  <c r="I919" i="1147"/>
  <c r="J919" i="1147"/>
  <c r="D920" i="1147"/>
  <c r="E920" i="1147"/>
  <c r="F920" i="1147"/>
  <c r="G920" i="1147"/>
  <c r="H920" i="1147"/>
  <c r="I920" i="1147"/>
  <c r="J920" i="1147"/>
  <c r="D921" i="1147"/>
  <c r="E921" i="1147"/>
  <c r="F921" i="1147"/>
  <c r="G921" i="1147"/>
  <c r="H921" i="1147"/>
  <c r="I921" i="1147"/>
  <c r="J921" i="1147"/>
  <c r="D922" i="1147"/>
  <c r="E922" i="1147"/>
  <c r="F922" i="1147"/>
  <c r="G922" i="1147"/>
  <c r="H922" i="1147"/>
  <c r="I922" i="1147"/>
  <c r="J922" i="1147"/>
  <c r="D923" i="1147"/>
  <c r="E923" i="1147"/>
  <c r="F923" i="1147"/>
  <c r="G923" i="1147"/>
  <c r="H923" i="1147"/>
  <c r="I923" i="1147"/>
  <c r="J923" i="1147"/>
  <c r="D924" i="1147"/>
  <c r="E924" i="1147"/>
  <c r="F924" i="1147"/>
  <c r="G924" i="1147"/>
  <c r="H924" i="1147"/>
  <c r="I924" i="1147"/>
  <c r="J924" i="1147"/>
  <c r="D925" i="1147"/>
  <c r="E925" i="1147"/>
  <c r="F925" i="1147"/>
  <c r="G925" i="1147"/>
  <c r="H925" i="1147"/>
  <c r="I925" i="1147"/>
  <c r="J925" i="1147"/>
  <c r="D926" i="1147"/>
  <c r="E926" i="1147"/>
  <c r="F926" i="1147"/>
  <c r="G926" i="1147"/>
  <c r="H926" i="1147"/>
  <c r="I926" i="1147"/>
  <c r="J926" i="1147"/>
  <c r="D927" i="1147"/>
  <c r="F927" i="1147"/>
  <c r="G927" i="1147"/>
  <c r="H927" i="1147"/>
  <c r="I927" i="1147"/>
  <c r="J927" i="1147"/>
  <c r="D928" i="1147"/>
  <c r="E928" i="1147"/>
  <c r="F928" i="1147"/>
  <c r="G928" i="1147"/>
  <c r="H928" i="1147"/>
  <c r="I928" i="1147"/>
  <c r="J928" i="1147"/>
  <c r="D929" i="1147"/>
  <c r="E929" i="1147"/>
  <c r="F929" i="1147"/>
  <c r="G929" i="1147"/>
  <c r="H929" i="1147"/>
  <c r="I929" i="1147"/>
  <c r="J929" i="1147"/>
  <c r="D930" i="1147"/>
  <c r="E930" i="1147"/>
  <c r="F930" i="1147"/>
  <c r="G930" i="1147"/>
  <c r="H930" i="1147"/>
  <c r="I930" i="1147"/>
  <c r="J930" i="1147"/>
  <c r="D931" i="1147"/>
  <c r="E931" i="1147"/>
  <c r="F931" i="1147"/>
  <c r="G931" i="1147"/>
  <c r="H931" i="1147"/>
  <c r="I931" i="1147"/>
  <c r="J931" i="1147"/>
  <c r="D932" i="1147"/>
  <c r="E932" i="1147"/>
  <c r="F932" i="1147"/>
  <c r="G932" i="1147"/>
  <c r="H932" i="1147"/>
  <c r="I932" i="1147"/>
  <c r="J932" i="1147"/>
  <c r="D933" i="1147"/>
  <c r="E933" i="1147"/>
  <c r="F933" i="1147"/>
  <c r="G933" i="1147"/>
  <c r="H933" i="1147"/>
  <c r="I933" i="1147"/>
  <c r="J933" i="1147"/>
  <c r="D934" i="1147"/>
  <c r="E934" i="1147"/>
  <c r="F934" i="1147"/>
  <c r="G934" i="1147"/>
  <c r="H934" i="1147"/>
  <c r="I934" i="1147"/>
  <c r="J934" i="1147"/>
  <c r="D935" i="1147"/>
  <c r="E935" i="1147"/>
  <c r="F935" i="1147"/>
  <c r="G935" i="1147"/>
  <c r="H935" i="1147"/>
  <c r="I935" i="1147"/>
  <c r="J935" i="1147"/>
  <c r="D936" i="1147"/>
  <c r="E936" i="1147"/>
  <c r="F936" i="1147"/>
  <c r="G936" i="1147"/>
  <c r="H936" i="1147"/>
  <c r="I936" i="1147"/>
  <c r="J936" i="1147"/>
  <c r="D937" i="1147"/>
  <c r="E937" i="1147"/>
  <c r="F937" i="1147"/>
  <c r="G937" i="1147"/>
  <c r="H937" i="1147"/>
  <c r="I937" i="1147"/>
  <c r="J937" i="1147"/>
  <c r="D938" i="1147"/>
  <c r="E938" i="1147"/>
  <c r="F938" i="1147"/>
  <c r="G938" i="1147"/>
  <c r="H938" i="1147"/>
  <c r="I938" i="1147"/>
  <c r="J938" i="1147"/>
  <c r="D939" i="1147"/>
  <c r="E939" i="1147"/>
  <c r="F939" i="1147"/>
  <c r="G939" i="1147"/>
  <c r="H939" i="1147"/>
  <c r="I939" i="1147"/>
  <c r="J939" i="1147"/>
  <c r="D940" i="1147"/>
  <c r="E940" i="1147"/>
  <c r="F940" i="1147"/>
  <c r="G940" i="1147"/>
  <c r="H940" i="1147"/>
  <c r="I940" i="1147"/>
  <c r="J940" i="1147"/>
  <c r="D941" i="1147"/>
  <c r="E941" i="1147"/>
  <c r="F941" i="1147"/>
  <c r="G941" i="1147"/>
  <c r="H941" i="1147"/>
  <c r="I941" i="1147"/>
  <c r="J941" i="1147"/>
  <c r="D942" i="1147"/>
  <c r="E942" i="1147"/>
  <c r="F942" i="1147"/>
  <c r="G942" i="1147"/>
  <c r="H942" i="1147"/>
  <c r="I942" i="1147"/>
  <c r="J942" i="1147"/>
  <c r="D943" i="1147"/>
  <c r="E943" i="1147"/>
  <c r="F943" i="1147"/>
  <c r="G943" i="1147"/>
  <c r="H943" i="1147"/>
  <c r="I943" i="1147"/>
  <c r="J943" i="1147"/>
  <c r="D944" i="1147"/>
  <c r="E944" i="1147"/>
  <c r="F944" i="1147"/>
  <c r="G944" i="1147"/>
  <c r="H944" i="1147"/>
  <c r="I944" i="1147"/>
  <c r="J944" i="1147"/>
  <c r="D945" i="1147"/>
  <c r="E945" i="1147"/>
  <c r="F945" i="1147"/>
  <c r="G945" i="1147"/>
  <c r="H945" i="1147"/>
  <c r="I945" i="1147"/>
  <c r="J945" i="1147"/>
  <c r="D946" i="1147"/>
  <c r="E946" i="1147"/>
  <c r="F946" i="1147"/>
  <c r="G946" i="1147"/>
  <c r="H946" i="1147"/>
  <c r="I946" i="1147"/>
  <c r="J946" i="1147"/>
  <c r="D947" i="1147"/>
  <c r="E947" i="1147"/>
  <c r="F947" i="1147"/>
  <c r="G947" i="1147"/>
  <c r="H947" i="1147"/>
  <c r="I947" i="1147"/>
  <c r="J947" i="1147"/>
  <c r="D948" i="1147"/>
  <c r="E948" i="1147"/>
  <c r="F948" i="1147"/>
  <c r="G948" i="1147"/>
  <c r="H948" i="1147"/>
  <c r="I948" i="1147"/>
  <c r="J948" i="1147"/>
  <c r="D949" i="1147"/>
  <c r="E949" i="1147"/>
  <c r="F949" i="1147"/>
  <c r="G949" i="1147"/>
  <c r="H949" i="1147"/>
  <c r="I949" i="1147"/>
  <c r="J949" i="1147"/>
  <c r="D950" i="1147"/>
  <c r="E950" i="1147"/>
  <c r="F950" i="1147"/>
  <c r="G950" i="1147"/>
  <c r="H950" i="1147"/>
  <c r="I950" i="1147"/>
  <c r="J950" i="1147"/>
  <c r="D951" i="1147"/>
  <c r="E951" i="1147"/>
  <c r="F951" i="1147"/>
  <c r="G951" i="1147"/>
  <c r="H951" i="1147"/>
  <c r="I951" i="1147"/>
  <c r="J951" i="1147"/>
  <c r="D952" i="1147"/>
  <c r="E952" i="1147"/>
  <c r="F952" i="1147"/>
  <c r="G952" i="1147"/>
  <c r="H952" i="1147"/>
  <c r="I952" i="1147"/>
  <c r="J952" i="1147"/>
  <c r="D953" i="1147"/>
  <c r="E953" i="1147"/>
  <c r="F953" i="1147"/>
  <c r="G953" i="1147"/>
  <c r="H953" i="1147"/>
  <c r="I953" i="1147"/>
  <c r="J953" i="1147"/>
  <c r="D954" i="1147"/>
  <c r="E954" i="1147"/>
  <c r="F954" i="1147"/>
  <c r="G954" i="1147"/>
  <c r="H954" i="1147"/>
  <c r="I954" i="1147"/>
  <c r="J954" i="1147"/>
  <c r="D955" i="1147"/>
  <c r="E955" i="1147"/>
  <c r="F955" i="1147"/>
  <c r="G955" i="1147"/>
  <c r="H955" i="1147"/>
  <c r="I955" i="1147"/>
  <c r="J955" i="1147"/>
  <c r="D956" i="1147"/>
  <c r="E956" i="1147"/>
  <c r="F956" i="1147"/>
  <c r="G956" i="1147"/>
  <c r="H956" i="1147"/>
  <c r="I956" i="1147"/>
  <c r="J956" i="1147"/>
  <c r="D957" i="1147"/>
  <c r="E957" i="1147"/>
  <c r="F957" i="1147"/>
  <c r="G957" i="1147"/>
  <c r="H957" i="1147"/>
  <c r="I957" i="1147"/>
  <c r="J957" i="1147"/>
  <c r="D958" i="1147"/>
  <c r="E958" i="1147"/>
  <c r="F958" i="1147"/>
  <c r="G958" i="1147"/>
  <c r="H958" i="1147"/>
  <c r="I958" i="1147"/>
  <c r="J958" i="1147"/>
  <c r="D959" i="1147"/>
  <c r="E959" i="1147"/>
  <c r="F959" i="1147"/>
  <c r="G959" i="1147"/>
  <c r="H959" i="1147"/>
  <c r="I959" i="1147"/>
  <c r="J959" i="1147"/>
  <c r="D960" i="1147"/>
  <c r="E960" i="1147"/>
  <c r="F960" i="1147"/>
  <c r="G960" i="1147"/>
  <c r="H960" i="1147"/>
  <c r="I960" i="1147"/>
  <c r="J960" i="1147"/>
  <c r="D961" i="1147"/>
  <c r="E961" i="1147"/>
  <c r="F961" i="1147"/>
  <c r="G961" i="1147"/>
  <c r="H961" i="1147"/>
  <c r="I961" i="1147"/>
  <c r="J961" i="1147"/>
  <c r="D962" i="1147"/>
  <c r="E962" i="1147"/>
  <c r="F962" i="1147"/>
  <c r="G962" i="1147"/>
  <c r="H962" i="1147"/>
  <c r="I962" i="1147"/>
  <c r="J962" i="1147"/>
  <c r="D963" i="1147"/>
  <c r="E963" i="1147"/>
  <c r="F963" i="1147"/>
  <c r="G963" i="1147"/>
  <c r="H963" i="1147"/>
  <c r="I963" i="1147"/>
  <c r="J963" i="1147"/>
  <c r="D964" i="1147"/>
  <c r="E964" i="1147"/>
  <c r="F964" i="1147"/>
  <c r="G964" i="1147"/>
  <c r="H964" i="1147"/>
  <c r="I964" i="1147"/>
  <c r="J964" i="1147"/>
  <c r="D965" i="1147"/>
  <c r="E965" i="1147"/>
  <c r="F965" i="1147"/>
  <c r="G965" i="1147"/>
  <c r="H965" i="1147"/>
  <c r="I965" i="1147"/>
  <c r="J965" i="1147"/>
  <c r="D966" i="1147"/>
  <c r="E966" i="1147"/>
  <c r="F966" i="1147"/>
  <c r="G966" i="1147"/>
  <c r="H966" i="1147"/>
  <c r="I966" i="1147"/>
  <c r="J966" i="1147"/>
  <c r="D967" i="1147"/>
  <c r="E967" i="1147"/>
  <c r="F967" i="1147"/>
  <c r="G967" i="1147"/>
  <c r="H967" i="1147"/>
  <c r="I967" i="1147"/>
  <c r="J967" i="1147"/>
  <c r="D968" i="1147"/>
  <c r="E968" i="1147"/>
  <c r="F968" i="1147"/>
  <c r="G968" i="1147"/>
  <c r="H968" i="1147"/>
  <c r="I968" i="1147"/>
  <c r="J968" i="1147"/>
  <c r="D969" i="1147"/>
  <c r="E969" i="1147"/>
  <c r="F969" i="1147"/>
  <c r="G969" i="1147"/>
  <c r="H969" i="1147"/>
  <c r="I969" i="1147"/>
  <c r="J969" i="1147"/>
  <c r="D970" i="1147"/>
  <c r="E970" i="1147"/>
  <c r="F970" i="1147"/>
  <c r="G970" i="1147"/>
  <c r="H970" i="1147"/>
  <c r="I970" i="1147"/>
  <c r="J970" i="1147"/>
  <c r="D971" i="1147"/>
  <c r="E971" i="1147"/>
  <c r="F971" i="1147"/>
  <c r="G971" i="1147"/>
  <c r="H971" i="1147"/>
  <c r="I971" i="1147"/>
  <c r="J971" i="1147"/>
  <c r="D972" i="1147"/>
  <c r="E972" i="1147"/>
  <c r="F972" i="1147"/>
  <c r="G972" i="1147"/>
  <c r="H972" i="1147"/>
  <c r="I972" i="1147"/>
  <c r="J972" i="1147"/>
  <c r="D973" i="1147"/>
  <c r="E973" i="1147"/>
  <c r="F973" i="1147"/>
  <c r="G973" i="1147"/>
  <c r="H973" i="1147"/>
  <c r="I973" i="1147"/>
  <c r="J973" i="1147"/>
  <c r="D974" i="1147"/>
  <c r="E974" i="1147"/>
  <c r="F974" i="1147"/>
  <c r="G974" i="1147"/>
  <c r="H974" i="1147"/>
  <c r="I974" i="1147"/>
  <c r="J974" i="1147"/>
  <c r="D975" i="1147"/>
  <c r="E975" i="1147"/>
  <c r="F975" i="1147"/>
  <c r="G975" i="1147"/>
  <c r="H975" i="1147"/>
  <c r="I975" i="1147"/>
  <c r="J975" i="1147"/>
  <c r="D976" i="1147"/>
  <c r="E976" i="1147"/>
  <c r="F976" i="1147"/>
  <c r="G976" i="1147"/>
  <c r="H976" i="1147"/>
  <c r="I976" i="1147"/>
  <c r="J976" i="1147"/>
  <c r="D977" i="1147"/>
  <c r="E977" i="1147"/>
  <c r="F977" i="1147"/>
  <c r="G977" i="1147"/>
  <c r="H977" i="1147"/>
  <c r="I977" i="1147"/>
  <c r="J977" i="1147"/>
  <c r="D978" i="1147"/>
  <c r="E978" i="1147"/>
  <c r="F978" i="1147"/>
  <c r="G978" i="1147"/>
  <c r="H978" i="1147"/>
  <c r="I978" i="1147"/>
  <c r="J978" i="1147"/>
  <c r="D979" i="1147"/>
  <c r="E979" i="1147"/>
  <c r="F979" i="1147"/>
  <c r="G979" i="1147"/>
  <c r="H979" i="1147"/>
  <c r="I979" i="1147"/>
  <c r="J979" i="1147"/>
  <c r="D980" i="1147"/>
  <c r="E980" i="1147"/>
  <c r="F980" i="1147"/>
  <c r="G980" i="1147"/>
  <c r="H980" i="1147"/>
  <c r="I980" i="1147"/>
  <c r="J980" i="1147"/>
  <c r="D981" i="1147"/>
  <c r="E981" i="1147"/>
  <c r="F981" i="1147"/>
  <c r="G981" i="1147"/>
  <c r="H981" i="1147"/>
  <c r="I981" i="1147"/>
  <c r="J981" i="1147"/>
  <c r="D982" i="1147"/>
  <c r="E982" i="1147"/>
  <c r="F982" i="1147"/>
  <c r="G982" i="1147"/>
  <c r="H982" i="1147"/>
  <c r="I982" i="1147"/>
  <c r="J982" i="1147"/>
  <c r="D983" i="1147"/>
  <c r="E983" i="1147"/>
  <c r="F983" i="1147"/>
  <c r="G983" i="1147"/>
  <c r="H983" i="1147"/>
  <c r="I983" i="1147"/>
  <c r="J983" i="1147"/>
  <c r="D984" i="1147"/>
  <c r="E984" i="1147"/>
  <c r="F984" i="1147"/>
  <c r="G984" i="1147"/>
  <c r="H984" i="1147"/>
  <c r="I984" i="1147"/>
  <c r="J984" i="1147"/>
  <c r="D985" i="1147"/>
  <c r="E985" i="1147"/>
  <c r="F985" i="1147"/>
  <c r="G985" i="1147"/>
  <c r="H985" i="1147"/>
  <c r="I985" i="1147"/>
  <c r="J985" i="1147"/>
  <c r="D986" i="1147"/>
  <c r="E986" i="1147"/>
  <c r="F986" i="1147"/>
  <c r="G986" i="1147"/>
  <c r="H986" i="1147"/>
  <c r="I986" i="1147"/>
  <c r="J986" i="1147"/>
  <c r="D987" i="1147"/>
  <c r="E987" i="1147"/>
  <c r="F987" i="1147"/>
  <c r="G987" i="1147"/>
  <c r="H987" i="1147"/>
  <c r="I987" i="1147"/>
  <c r="J987" i="1147"/>
  <c r="D988" i="1147"/>
  <c r="E988" i="1147"/>
  <c r="F988" i="1147"/>
  <c r="G988" i="1147"/>
  <c r="H988" i="1147"/>
  <c r="I988" i="1147"/>
  <c r="J988" i="1147"/>
  <c r="D989" i="1147"/>
  <c r="E989" i="1147"/>
  <c r="F989" i="1147"/>
  <c r="G989" i="1147"/>
  <c r="H989" i="1147"/>
  <c r="I989" i="1147"/>
  <c r="J989" i="1147"/>
  <c r="D990" i="1147"/>
  <c r="E990" i="1147"/>
  <c r="F990" i="1147"/>
  <c r="G990" i="1147"/>
  <c r="H990" i="1147"/>
  <c r="I990" i="1147"/>
  <c r="J990" i="1147"/>
  <c r="D991" i="1147"/>
  <c r="E991" i="1147"/>
  <c r="F991" i="1147"/>
  <c r="G991" i="1147"/>
  <c r="H991" i="1147"/>
  <c r="I991" i="1147"/>
  <c r="J991" i="1147"/>
  <c r="D992" i="1147"/>
  <c r="E992" i="1147"/>
  <c r="F992" i="1147"/>
  <c r="G992" i="1147"/>
  <c r="H992" i="1147"/>
  <c r="I992" i="1147"/>
  <c r="J992" i="1147"/>
  <c r="D993" i="1147"/>
  <c r="E993" i="1147"/>
  <c r="F993" i="1147"/>
  <c r="G993" i="1147"/>
  <c r="H993" i="1147"/>
  <c r="I993" i="1147"/>
  <c r="J993" i="1147"/>
  <c r="D994" i="1147"/>
  <c r="E994" i="1147"/>
  <c r="F994" i="1147"/>
  <c r="G994" i="1147"/>
  <c r="H994" i="1147"/>
  <c r="I994" i="1147"/>
  <c r="J994" i="1147"/>
  <c r="D995" i="1147"/>
  <c r="E995" i="1147"/>
  <c r="F995" i="1147"/>
  <c r="G995" i="1147"/>
  <c r="H995" i="1147"/>
  <c r="I995" i="1147"/>
  <c r="J995" i="1147"/>
  <c r="D996" i="1147"/>
  <c r="E996" i="1147"/>
  <c r="F996" i="1147"/>
  <c r="G996" i="1147"/>
  <c r="H996" i="1147"/>
  <c r="I996" i="1147"/>
  <c r="J996" i="1147"/>
  <c r="D997" i="1147"/>
  <c r="E997" i="1147"/>
  <c r="F997" i="1147"/>
  <c r="G997" i="1147"/>
  <c r="H997" i="1147"/>
  <c r="I997" i="1147"/>
  <c r="J997" i="1147"/>
  <c r="D998" i="1147"/>
  <c r="E998" i="1147"/>
  <c r="F998" i="1147"/>
  <c r="G998" i="1147"/>
  <c r="H998" i="1147"/>
  <c r="I998" i="1147"/>
  <c r="J998" i="1147"/>
  <c r="D999" i="1147"/>
  <c r="E999" i="1147"/>
  <c r="F999" i="1147"/>
  <c r="G999" i="1147"/>
  <c r="H999" i="1147"/>
  <c r="I999" i="1147"/>
  <c r="J999" i="1147"/>
  <c r="D1000" i="1147"/>
  <c r="E1000" i="1147"/>
  <c r="F1000" i="1147"/>
  <c r="G1000" i="1147"/>
  <c r="H1000" i="1147"/>
  <c r="I1000" i="1147"/>
  <c r="J1000" i="1147"/>
  <c r="D1001" i="1147"/>
  <c r="E1001" i="1147"/>
  <c r="F1001" i="1147"/>
  <c r="G1001" i="1147"/>
  <c r="H1001" i="1147"/>
  <c r="I1001" i="1147"/>
  <c r="J1001" i="1147"/>
  <c r="D1002" i="1147"/>
  <c r="E1002" i="1147"/>
  <c r="F1002" i="1147"/>
  <c r="G1002" i="1147"/>
  <c r="H1002" i="1147"/>
  <c r="I1002" i="1147"/>
  <c r="J1002" i="1147"/>
  <c r="D1003" i="1147"/>
  <c r="E1003" i="1147"/>
  <c r="F1003" i="1147"/>
  <c r="G1003" i="1147"/>
  <c r="H1003" i="1147"/>
  <c r="I1003" i="1147"/>
  <c r="J1003" i="1147"/>
  <c r="D1004" i="1147"/>
  <c r="E1004" i="1147"/>
  <c r="F1004" i="1147"/>
  <c r="G1004" i="1147"/>
  <c r="H1004" i="1147"/>
  <c r="I1004" i="1147"/>
  <c r="J1004" i="1147"/>
  <c r="D1005" i="1147"/>
  <c r="E1005" i="1147"/>
  <c r="F1005" i="1147"/>
  <c r="G1005" i="1147"/>
  <c r="H1005" i="1147"/>
  <c r="I1005" i="1147"/>
  <c r="J1005" i="1147"/>
  <c r="D1006" i="1147"/>
  <c r="E1006" i="1147"/>
  <c r="F1006" i="1147"/>
  <c r="G1006" i="1147"/>
  <c r="H1006" i="1147"/>
  <c r="I1006" i="1147"/>
  <c r="J1006" i="1147"/>
  <c r="D1007" i="1147"/>
  <c r="E1007" i="1147"/>
  <c r="F1007" i="1147"/>
  <c r="G1007" i="1147"/>
  <c r="H1007" i="1147"/>
  <c r="I1007" i="1147"/>
  <c r="J1007" i="1147"/>
  <c r="D1008" i="1147"/>
  <c r="E1008" i="1147"/>
  <c r="F1008" i="1147"/>
  <c r="G1008" i="1147"/>
  <c r="H1008" i="1147"/>
  <c r="I1008" i="1147"/>
  <c r="J1008" i="1147"/>
  <c r="D1009" i="1147"/>
  <c r="E1009" i="1147"/>
  <c r="F1009" i="1147"/>
  <c r="G1009" i="1147"/>
  <c r="H1009" i="1147"/>
  <c r="I1009" i="1147"/>
  <c r="J1009" i="1147"/>
  <c r="D1010" i="1147"/>
  <c r="E1010" i="1147"/>
  <c r="F1010" i="1147"/>
  <c r="G1010" i="1147"/>
  <c r="H1010" i="1147"/>
  <c r="I1010" i="1147"/>
  <c r="J1010" i="1147"/>
  <c r="D1011" i="1147"/>
  <c r="E1011" i="1147"/>
  <c r="F1011" i="1147"/>
  <c r="G1011" i="1147"/>
  <c r="H1011" i="1147"/>
  <c r="I1011" i="1147"/>
  <c r="J1011" i="1147"/>
  <c r="D1012" i="1147"/>
  <c r="E1012" i="1147"/>
  <c r="F1012" i="1147"/>
  <c r="G1012" i="1147"/>
  <c r="H1012" i="1147"/>
  <c r="I1012" i="1147"/>
  <c r="J1012" i="1147"/>
  <c r="D1013" i="1147"/>
  <c r="E1013" i="1147"/>
  <c r="F1013" i="1147"/>
  <c r="G1013" i="1147"/>
  <c r="H1013" i="1147"/>
  <c r="I1013" i="1147"/>
  <c r="J1013" i="1147"/>
  <c r="D1014" i="1147"/>
  <c r="E1014" i="1147"/>
  <c r="F1014" i="1147"/>
  <c r="G1014" i="1147"/>
  <c r="H1014" i="1147"/>
  <c r="I1014" i="1147"/>
  <c r="J1014" i="1147"/>
  <c r="D1015" i="1147"/>
  <c r="E1015" i="1147"/>
  <c r="F1015" i="1147"/>
  <c r="G1015" i="1147"/>
  <c r="H1015" i="1147"/>
  <c r="I1015" i="1147"/>
  <c r="J1015" i="1147"/>
  <c r="D1016" i="1147"/>
  <c r="E1016" i="1147"/>
  <c r="F1016" i="1147"/>
  <c r="G1016" i="1147"/>
  <c r="H1016" i="1147"/>
  <c r="I1016" i="1147"/>
  <c r="J1016" i="1147"/>
  <c r="D1017" i="1147"/>
  <c r="E1017" i="1147"/>
  <c r="F1017" i="1147"/>
  <c r="G1017" i="1147"/>
  <c r="H1017" i="1147"/>
  <c r="I1017" i="1147"/>
  <c r="J1017" i="1147"/>
  <c r="D1018" i="1147"/>
  <c r="E1018" i="1147"/>
  <c r="F1018" i="1147"/>
  <c r="G1018" i="1147"/>
  <c r="H1018" i="1147"/>
  <c r="I1018" i="1147"/>
  <c r="J1018" i="1147"/>
  <c r="D1019" i="1147"/>
  <c r="E1019" i="1147"/>
  <c r="F1019" i="1147"/>
  <c r="G1019" i="1147"/>
  <c r="H1019" i="1147"/>
  <c r="I1019" i="1147"/>
  <c r="J1019" i="1147"/>
  <c r="D1020" i="1147"/>
  <c r="E1020" i="1147"/>
  <c r="F1020" i="1147"/>
  <c r="G1020" i="1147"/>
  <c r="H1020" i="1147"/>
  <c r="I1020" i="1147"/>
  <c r="J1020" i="1147"/>
  <c r="D1021" i="1147"/>
  <c r="E1021" i="1147"/>
  <c r="F1021" i="1147"/>
  <c r="G1021" i="1147"/>
  <c r="H1021" i="1147"/>
  <c r="I1021" i="1147"/>
  <c r="J1021" i="1147"/>
  <c r="D1022" i="1147"/>
  <c r="E1022" i="1147"/>
  <c r="F1022" i="1147"/>
  <c r="G1022" i="1147"/>
  <c r="H1022" i="1147"/>
  <c r="I1022" i="1147"/>
  <c r="J1022" i="1147"/>
  <c r="D1023" i="1147"/>
  <c r="E1023" i="1147"/>
  <c r="F1023" i="1147"/>
  <c r="G1023" i="1147"/>
  <c r="H1023" i="1147"/>
  <c r="I1023" i="1147"/>
  <c r="J1023" i="1147"/>
  <c r="D1024" i="1147"/>
  <c r="E1024" i="1147"/>
  <c r="F1024" i="1147"/>
  <c r="G1024" i="1147"/>
  <c r="H1024" i="1147"/>
  <c r="I1024" i="1147"/>
  <c r="J1024" i="1147"/>
  <c r="D1025" i="1147"/>
  <c r="E1025" i="1147"/>
  <c r="F1025" i="1147"/>
  <c r="G1025" i="1147"/>
  <c r="H1025" i="1147"/>
  <c r="I1025" i="1147"/>
  <c r="J1025" i="1147"/>
  <c r="D1026" i="1147"/>
  <c r="E1026" i="1147"/>
  <c r="F1026" i="1147"/>
  <c r="G1026" i="1147"/>
  <c r="H1026" i="1147"/>
  <c r="I1026" i="1147"/>
  <c r="J1026" i="1147"/>
  <c r="D1027" i="1147"/>
  <c r="E1027" i="1147"/>
  <c r="F1027" i="1147"/>
  <c r="G1027" i="1147"/>
  <c r="H1027" i="1147"/>
  <c r="I1027" i="1147"/>
  <c r="J1027" i="1147"/>
  <c r="D1028" i="1147"/>
  <c r="E1028" i="1147"/>
  <c r="F1028" i="1147"/>
  <c r="G1028" i="1147"/>
  <c r="H1028" i="1147"/>
  <c r="I1028" i="1147"/>
  <c r="J1028" i="1147"/>
  <c r="D1029" i="1147"/>
  <c r="E1029" i="1147"/>
  <c r="F1029" i="1147"/>
  <c r="G1029" i="1147"/>
  <c r="H1029" i="1147"/>
  <c r="I1029" i="1147"/>
  <c r="J1029" i="1147"/>
  <c r="D1030" i="1147"/>
  <c r="E1030" i="1147"/>
  <c r="F1030" i="1147"/>
  <c r="G1030" i="1147"/>
  <c r="H1030" i="1147"/>
  <c r="I1030" i="1147"/>
  <c r="J1030" i="1147"/>
  <c r="D1031" i="1147"/>
  <c r="E1031" i="1147"/>
  <c r="F1031" i="1147"/>
  <c r="G1031" i="1147"/>
  <c r="H1031" i="1147"/>
  <c r="I1031" i="1147"/>
  <c r="J1031" i="1147"/>
  <c r="D1032" i="1147"/>
  <c r="E1032" i="1147"/>
  <c r="F1032" i="1147"/>
  <c r="G1032" i="1147"/>
  <c r="H1032" i="1147"/>
  <c r="I1032" i="1147"/>
  <c r="J1032" i="1147"/>
  <c r="D1033" i="1147"/>
  <c r="E1033" i="1147"/>
  <c r="F1033" i="1147"/>
  <c r="G1033" i="1147"/>
  <c r="H1033" i="1147"/>
  <c r="I1033" i="1147"/>
  <c r="J1033" i="1147"/>
  <c r="D1034" i="1147"/>
  <c r="E1034" i="1147"/>
  <c r="F1034" i="1147"/>
  <c r="G1034" i="1147"/>
  <c r="H1034" i="1147"/>
  <c r="I1034" i="1147"/>
  <c r="J1034" i="1147"/>
  <c r="D1035" i="1147"/>
  <c r="E1035" i="1147"/>
  <c r="F1035" i="1147"/>
  <c r="G1035" i="1147"/>
  <c r="H1035" i="1147"/>
  <c r="I1035" i="1147"/>
  <c r="J1035" i="1147"/>
  <c r="D1036" i="1147"/>
  <c r="E1036" i="1147"/>
  <c r="F1036" i="1147"/>
  <c r="G1036" i="1147"/>
  <c r="H1036" i="1147"/>
  <c r="I1036" i="1147"/>
  <c r="J1036" i="1147"/>
  <c r="D1037" i="1147"/>
  <c r="E1037" i="1147"/>
  <c r="F1037" i="1147"/>
  <c r="G1037" i="1147"/>
  <c r="H1037" i="1147"/>
  <c r="I1037" i="1147"/>
  <c r="J1037" i="1147"/>
  <c r="D1038" i="1147"/>
  <c r="E1038" i="1147"/>
  <c r="F1038" i="1147"/>
  <c r="G1038" i="1147"/>
  <c r="H1038" i="1147"/>
  <c r="I1038" i="1147"/>
  <c r="J1038" i="1147"/>
  <c r="D1039" i="1147"/>
  <c r="E1039" i="1147"/>
  <c r="F1039" i="1147"/>
  <c r="G1039" i="1147"/>
  <c r="H1039" i="1147"/>
  <c r="I1039" i="1147"/>
  <c r="J1039" i="1147"/>
  <c r="D1040" i="1147"/>
  <c r="E1040" i="1147"/>
  <c r="F1040" i="1147"/>
  <c r="G1040" i="1147"/>
  <c r="H1040" i="1147"/>
  <c r="I1040" i="1147"/>
  <c r="J1040" i="1147"/>
  <c r="D1041" i="1147"/>
  <c r="E1041" i="1147"/>
  <c r="F1041" i="1147"/>
  <c r="G1041" i="1147"/>
  <c r="H1041" i="1147"/>
  <c r="I1041" i="1147"/>
  <c r="J1041" i="1147"/>
  <c r="D1042" i="1147"/>
  <c r="E1042" i="1147"/>
  <c r="F1042" i="1147"/>
  <c r="G1042" i="1147"/>
  <c r="H1042" i="1147"/>
  <c r="I1042" i="1147"/>
  <c r="J1042" i="1147"/>
  <c r="D1043" i="1147"/>
  <c r="E1043" i="1147"/>
  <c r="F1043" i="1147"/>
  <c r="G1043" i="1147"/>
  <c r="H1043" i="1147"/>
  <c r="I1043" i="1147"/>
  <c r="J1043" i="1147"/>
  <c r="D1044" i="1147"/>
  <c r="E1044" i="1147"/>
  <c r="F1044" i="1147"/>
  <c r="G1044" i="1147"/>
  <c r="H1044" i="1147"/>
  <c r="I1044" i="1147"/>
  <c r="J1044" i="1147"/>
  <c r="D1045" i="1147"/>
  <c r="E1045" i="1147"/>
  <c r="F1045" i="1147"/>
  <c r="G1045" i="1147"/>
  <c r="H1045" i="1147"/>
  <c r="I1045" i="1147"/>
  <c r="J1045" i="1147"/>
  <c r="D1046" i="1147"/>
  <c r="E1046" i="1147"/>
  <c r="F1046" i="1147"/>
  <c r="G1046" i="1147"/>
  <c r="H1046" i="1147"/>
  <c r="I1046" i="1147"/>
  <c r="J1046" i="1147"/>
  <c r="D1047" i="1147"/>
  <c r="E1047" i="1147"/>
  <c r="F1047" i="1147"/>
  <c r="G1047" i="1147"/>
  <c r="H1047" i="1147"/>
  <c r="I1047" i="1147"/>
  <c r="J1047" i="1147"/>
  <c r="D1048" i="1147"/>
  <c r="E1048" i="1147"/>
  <c r="F1048" i="1147"/>
  <c r="G1048" i="1147"/>
  <c r="H1048" i="1147"/>
  <c r="I1048" i="1147"/>
  <c r="J1048" i="1147"/>
  <c r="D1049" i="1147"/>
  <c r="E1049" i="1147"/>
  <c r="F1049" i="1147"/>
  <c r="G1049" i="1147"/>
  <c r="H1049" i="1147"/>
  <c r="I1049" i="1147"/>
  <c r="J1049" i="1147"/>
  <c r="D1050" i="1147"/>
  <c r="E1050" i="1147"/>
  <c r="F1050" i="1147"/>
  <c r="G1050" i="1147"/>
  <c r="H1050" i="1147"/>
  <c r="I1050" i="1147"/>
  <c r="J1050" i="1147"/>
  <c r="D1051" i="1147"/>
  <c r="E1051" i="1147"/>
  <c r="F1051" i="1147"/>
  <c r="G1051" i="1147"/>
  <c r="H1051" i="1147"/>
  <c r="I1051" i="1147"/>
  <c r="J1051" i="1147"/>
  <c r="D1052" i="1147"/>
  <c r="E1052" i="1147"/>
  <c r="F1052" i="1147"/>
  <c r="G1052" i="1147"/>
  <c r="H1052" i="1147"/>
  <c r="I1052" i="1147"/>
  <c r="J1052" i="1147"/>
  <c r="D1053" i="1147"/>
  <c r="E1053" i="1147"/>
  <c r="F1053" i="1147"/>
  <c r="G1053" i="1147"/>
  <c r="H1053" i="1147"/>
  <c r="I1053" i="1147"/>
  <c r="J1053" i="1147"/>
  <c r="D1054" i="1147"/>
  <c r="E1054" i="1147"/>
  <c r="F1054" i="1147"/>
  <c r="G1054" i="1147"/>
  <c r="H1054" i="1147"/>
  <c r="I1054" i="1147"/>
  <c r="J1054" i="1147"/>
  <c r="D1055" i="1147"/>
  <c r="E1055" i="1147"/>
  <c r="F1055" i="1147"/>
  <c r="G1055" i="1147"/>
  <c r="H1055" i="1147"/>
  <c r="I1055" i="1147"/>
  <c r="J1055" i="1147"/>
  <c r="D1056" i="1147"/>
  <c r="E1056" i="1147"/>
  <c r="F1056" i="1147"/>
  <c r="G1056" i="1147"/>
  <c r="H1056" i="1147"/>
  <c r="I1056" i="1147"/>
  <c r="J1056" i="1147"/>
  <c r="D1057" i="1147"/>
  <c r="E1057" i="1147"/>
  <c r="F1057" i="1147"/>
  <c r="G1057" i="1147"/>
  <c r="H1057" i="1147"/>
  <c r="I1057" i="1147"/>
  <c r="J1057" i="1147"/>
  <c r="D1058" i="1147"/>
  <c r="E1058" i="1147"/>
  <c r="F1058" i="1147"/>
  <c r="G1058" i="1147"/>
  <c r="H1058" i="1147"/>
  <c r="I1058" i="1147"/>
  <c r="J1058" i="1147"/>
  <c r="D1059" i="1147"/>
  <c r="E1059" i="1147"/>
  <c r="F1059" i="1147"/>
  <c r="G1059" i="1147"/>
  <c r="H1059" i="1147"/>
  <c r="I1059" i="1147"/>
  <c r="J1059" i="1147"/>
  <c r="D1060" i="1147"/>
  <c r="E1060" i="1147"/>
  <c r="F1060" i="1147"/>
  <c r="G1060" i="1147"/>
  <c r="H1060" i="1147"/>
  <c r="I1060" i="1147"/>
  <c r="J1060" i="1147"/>
  <c r="D1061" i="1147"/>
  <c r="E1061" i="1147"/>
  <c r="F1061" i="1147"/>
  <c r="G1061" i="1147"/>
  <c r="H1061" i="1147"/>
  <c r="I1061" i="1147"/>
  <c r="J1061" i="1147"/>
  <c r="D1062" i="1147"/>
  <c r="E1062" i="1147"/>
  <c r="F1062" i="1147"/>
  <c r="G1062" i="1147"/>
  <c r="H1062" i="1147"/>
  <c r="I1062" i="1147"/>
  <c r="J1062" i="1147"/>
  <c r="D1063" i="1147"/>
  <c r="E1063" i="1147"/>
  <c r="F1063" i="1147"/>
  <c r="G1063" i="1147"/>
  <c r="H1063" i="1147"/>
  <c r="I1063" i="1147"/>
  <c r="J1063" i="1147"/>
  <c r="D1064" i="1147"/>
  <c r="E1064" i="1147"/>
  <c r="F1064" i="1147"/>
  <c r="G1064" i="1147"/>
  <c r="H1064" i="1147"/>
  <c r="I1064" i="1147"/>
  <c r="J1064" i="1147"/>
  <c r="D1065" i="1147"/>
  <c r="E1065" i="1147"/>
  <c r="F1065" i="1147"/>
  <c r="G1065" i="1147"/>
  <c r="H1065" i="1147"/>
  <c r="I1065" i="1147"/>
  <c r="J1065" i="1147"/>
  <c r="D1066" i="1147"/>
  <c r="E1066" i="1147"/>
  <c r="F1066" i="1147"/>
  <c r="G1066" i="1147"/>
  <c r="H1066" i="1147"/>
  <c r="I1066" i="1147"/>
  <c r="J1066" i="1147"/>
  <c r="D1067" i="1147"/>
  <c r="E1067" i="1147"/>
  <c r="F1067" i="1147"/>
  <c r="G1067" i="1147"/>
  <c r="H1067" i="1147"/>
  <c r="I1067" i="1147"/>
  <c r="J1067" i="1147"/>
  <c r="D1068" i="1147"/>
  <c r="E1068" i="1147"/>
  <c r="F1068" i="1147"/>
  <c r="G1068" i="1147"/>
  <c r="H1068" i="1147"/>
  <c r="I1068" i="1147"/>
  <c r="J1068" i="1147"/>
  <c r="D1069" i="1147"/>
  <c r="E1069" i="1147"/>
  <c r="F1069" i="1147"/>
  <c r="G1069" i="1147"/>
  <c r="H1069" i="1147"/>
  <c r="I1069" i="1147"/>
  <c r="J1069" i="1147"/>
  <c r="D1070" i="1147"/>
  <c r="E1070" i="1147"/>
  <c r="F1070" i="1147"/>
  <c r="G1070" i="1147"/>
  <c r="H1070" i="1147"/>
  <c r="I1070" i="1147"/>
  <c r="J1070" i="1147"/>
  <c r="D1071" i="1147"/>
  <c r="E1071" i="1147"/>
  <c r="F1071" i="1147"/>
  <c r="G1071" i="1147"/>
  <c r="H1071" i="1147"/>
  <c r="I1071" i="1147"/>
  <c r="J1071" i="1147"/>
  <c r="D1072" i="1147"/>
  <c r="E1072" i="1147"/>
  <c r="F1072" i="1147"/>
  <c r="G1072" i="1147"/>
  <c r="H1072" i="1147"/>
  <c r="I1072" i="1147"/>
  <c r="J1072" i="1147"/>
  <c r="D1073" i="1147"/>
  <c r="E1073" i="1147"/>
  <c r="F1073" i="1147"/>
  <c r="G1073" i="1147"/>
  <c r="H1073" i="1147"/>
  <c r="I1073" i="1147"/>
  <c r="J1073" i="1147"/>
  <c r="D1074" i="1147"/>
  <c r="E1074" i="1147"/>
  <c r="F1074" i="1147"/>
  <c r="G1074" i="1147"/>
  <c r="H1074" i="1147"/>
  <c r="I1074" i="1147"/>
  <c r="J1074" i="1147"/>
  <c r="D1075" i="1147"/>
  <c r="E1075" i="1147"/>
  <c r="F1075" i="1147"/>
  <c r="G1075" i="1147"/>
  <c r="H1075" i="1147"/>
  <c r="I1075" i="1147"/>
  <c r="J1075" i="1147"/>
  <c r="D1076" i="1147"/>
  <c r="E1076" i="1147"/>
  <c r="F1076" i="1147"/>
  <c r="G1076" i="1147"/>
  <c r="H1076" i="1147"/>
  <c r="I1076" i="1147"/>
  <c r="J1076" i="1147"/>
  <c r="D1077" i="1147"/>
  <c r="E1077" i="1147"/>
  <c r="F1077" i="1147"/>
  <c r="G1077" i="1147"/>
  <c r="H1077" i="1147"/>
  <c r="I1077" i="1147"/>
  <c r="J1077" i="1147"/>
  <c r="D1078" i="1147"/>
  <c r="E1078" i="1147"/>
  <c r="F1078" i="1147"/>
  <c r="G1078" i="1147"/>
  <c r="H1078" i="1147"/>
  <c r="I1078" i="1147"/>
  <c r="J1078" i="1147"/>
  <c r="D1079" i="1147"/>
  <c r="E1079" i="1147"/>
  <c r="F1079" i="1147"/>
  <c r="G1079" i="1147"/>
  <c r="H1079" i="1147"/>
  <c r="I1079" i="1147"/>
  <c r="J1079" i="1147"/>
  <c r="D1080" i="1147"/>
  <c r="E1080" i="1147"/>
  <c r="F1080" i="1147"/>
  <c r="G1080" i="1147"/>
  <c r="H1080" i="1147"/>
  <c r="I1080" i="1147"/>
  <c r="J1080" i="1147"/>
  <c r="D1081" i="1147"/>
  <c r="E1081" i="1147"/>
  <c r="F1081" i="1147"/>
  <c r="G1081" i="1147"/>
  <c r="H1081" i="1147"/>
  <c r="I1081" i="1147"/>
  <c r="J1081" i="1147"/>
  <c r="D1082" i="1147"/>
  <c r="E1082" i="1147"/>
  <c r="F1082" i="1147"/>
  <c r="G1082" i="1147"/>
  <c r="H1082" i="1147"/>
  <c r="I1082" i="1147"/>
  <c r="J1082" i="1147"/>
  <c r="D1083" i="1147"/>
  <c r="E1083" i="1147"/>
  <c r="F1083" i="1147"/>
  <c r="G1083" i="1147"/>
  <c r="H1083" i="1147"/>
  <c r="I1083" i="1147"/>
  <c r="J1083" i="1147"/>
  <c r="D1084" i="1147"/>
  <c r="E1084" i="1147"/>
  <c r="F1084" i="1147"/>
  <c r="G1084" i="1147"/>
  <c r="H1084" i="1147"/>
  <c r="I1084" i="1147"/>
  <c r="J1084" i="1147"/>
  <c r="D1085" i="1147"/>
  <c r="E1085" i="1147"/>
  <c r="F1085" i="1147"/>
  <c r="G1085" i="1147"/>
  <c r="H1085" i="1147"/>
  <c r="I1085" i="1147"/>
  <c r="J1085" i="1147"/>
  <c r="D1086" i="1147"/>
  <c r="E1086" i="1147"/>
  <c r="F1086" i="1147"/>
  <c r="G1086" i="1147"/>
  <c r="H1086" i="1147"/>
  <c r="I1086" i="1147"/>
  <c r="J1086" i="1147"/>
  <c r="D1087" i="1147"/>
  <c r="E1087" i="1147"/>
  <c r="F1087" i="1147"/>
  <c r="G1087" i="1147"/>
  <c r="H1087" i="1147"/>
  <c r="I1087" i="1147"/>
  <c r="J1087" i="1147"/>
  <c r="D1088" i="1147"/>
  <c r="E1088" i="1147"/>
  <c r="F1088" i="1147"/>
  <c r="G1088" i="1147"/>
  <c r="H1088" i="1147"/>
  <c r="I1088" i="1147"/>
  <c r="J1088" i="1147"/>
  <c r="D1089" i="1147"/>
  <c r="E1089" i="1147"/>
  <c r="F1089" i="1147"/>
  <c r="G1089" i="1147"/>
  <c r="H1089" i="1147"/>
  <c r="I1089" i="1147"/>
  <c r="J1089" i="1147"/>
  <c r="D1090" i="1147"/>
  <c r="E1090" i="1147"/>
  <c r="F1090" i="1147"/>
  <c r="G1090" i="1147"/>
  <c r="H1090" i="1147"/>
  <c r="I1090" i="1147"/>
  <c r="J1090" i="1147"/>
  <c r="D1091" i="1147"/>
  <c r="E1091" i="1147"/>
  <c r="F1091" i="1147"/>
  <c r="G1091" i="1147"/>
  <c r="H1091" i="1147"/>
  <c r="I1091" i="1147"/>
  <c r="J1091" i="1147"/>
  <c r="D1092" i="1147"/>
  <c r="E1092" i="1147"/>
  <c r="F1092" i="1147"/>
  <c r="G1092" i="1147"/>
  <c r="H1092" i="1147"/>
  <c r="I1092" i="1147"/>
  <c r="J1092" i="1147"/>
  <c r="D1093" i="1147"/>
  <c r="E1093" i="1147"/>
  <c r="F1093" i="1147"/>
  <c r="G1093" i="1147"/>
  <c r="H1093" i="1147"/>
  <c r="I1093" i="1147"/>
  <c r="J1093" i="1147"/>
  <c r="D1094" i="1147"/>
  <c r="E1094" i="1147"/>
  <c r="F1094" i="1147"/>
  <c r="G1094" i="1147"/>
  <c r="H1094" i="1147"/>
  <c r="I1094" i="1147"/>
  <c r="J1094" i="1147"/>
  <c r="D1095" i="1147"/>
  <c r="E1095" i="1147"/>
  <c r="F1095" i="1147"/>
  <c r="G1095" i="1147"/>
  <c r="H1095" i="1147"/>
  <c r="I1095" i="1147"/>
  <c r="J1095" i="1147"/>
  <c r="D1096" i="1147"/>
  <c r="E1096" i="1147"/>
  <c r="F1096" i="1147"/>
  <c r="G1096" i="1147"/>
  <c r="H1096" i="1147"/>
  <c r="I1096" i="1147"/>
  <c r="J1096" i="1147"/>
  <c r="D1097" i="1147"/>
  <c r="E1097" i="1147"/>
  <c r="F1097" i="1147"/>
  <c r="G1097" i="1147"/>
  <c r="H1097" i="1147"/>
  <c r="I1097" i="1147"/>
  <c r="J1097" i="1147"/>
  <c r="D1098" i="1147"/>
  <c r="E1098" i="1147"/>
  <c r="F1098" i="1147"/>
  <c r="G1098" i="1147"/>
  <c r="H1098" i="1147"/>
  <c r="I1098" i="1147"/>
  <c r="J1098" i="1147"/>
  <c r="D1099" i="1147"/>
  <c r="E1099" i="1147"/>
  <c r="F1099" i="1147"/>
  <c r="G1099" i="1147"/>
  <c r="H1099" i="1147"/>
  <c r="I1099" i="1147"/>
  <c r="J1099" i="1147"/>
  <c r="D1100" i="1147"/>
  <c r="E1100" i="1147"/>
  <c r="F1100" i="1147"/>
  <c r="G1100" i="1147"/>
  <c r="H1100" i="1147"/>
  <c r="I1100" i="1147"/>
  <c r="J1100" i="1147"/>
  <c r="D1101" i="1147"/>
  <c r="E1101" i="1147"/>
  <c r="F1101" i="1147"/>
  <c r="G1101" i="1147"/>
  <c r="H1101" i="1147"/>
  <c r="I1101" i="1147"/>
  <c r="J1101" i="1147"/>
  <c r="D1102" i="1147"/>
  <c r="E1102" i="1147"/>
  <c r="F1102" i="1147"/>
  <c r="G1102" i="1147"/>
  <c r="H1102" i="1147"/>
  <c r="I1102" i="1147"/>
  <c r="J1102" i="1147"/>
  <c r="D1103" i="1147"/>
  <c r="E1103" i="1147"/>
  <c r="F1103" i="1147"/>
  <c r="G1103" i="1147"/>
  <c r="H1103" i="1147"/>
  <c r="I1103" i="1147"/>
  <c r="J1103" i="1147"/>
  <c r="D1104" i="1147"/>
  <c r="E1104" i="1147"/>
  <c r="F1104" i="1147"/>
  <c r="G1104" i="1147"/>
  <c r="H1104" i="1147"/>
  <c r="I1104" i="1147"/>
  <c r="J1104" i="1147"/>
  <c r="D1105" i="1147"/>
  <c r="E1105" i="1147"/>
  <c r="F1105" i="1147"/>
  <c r="G1105" i="1147"/>
  <c r="H1105" i="1147"/>
  <c r="I1105" i="1147"/>
  <c r="J1105" i="1147"/>
  <c r="D1106" i="1147"/>
  <c r="E1106" i="1147"/>
  <c r="F1106" i="1147"/>
  <c r="G1106" i="1147"/>
  <c r="H1106" i="1147"/>
  <c r="I1106" i="1147"/>
  <c r="J1106" i="1147"/>
  <c r="D1107" i="1147"/>
  <c r="E1107" i="1147"/>
  <c r="F1107" i="1147"/>
  <c r="G1107" i="1147"/>
  <c r="H1107" i="1147"/>
  <c r="I1107" i="1147"/>
  <c r="J1107" i="1147"/>
  <c r="D1108" i="1147"/>
  <c r="E1108" i="1147"/>
  <c r="F1108" i="1147"/>
  <c r="G1108" i="1147"/>
  <c r="H1108" i="1147"/>
  <c r="I1108" i="1147"/>
  <c r="J1108" i="1147"/>
  <c r="D1109" i="1147"/>
  <c r="E1109" i="1147"/>
  <c r="F1109" i="1147"/>
  <c r="G1109" i="1147"/>
  <c r="H1109" i="1147"/>
  <c r="I1109" i="1147"/>
  <c r="J1109" i="1147"/>
  <c r="D1110" i="1147"/>
  <c r="E1110" i="1147"/>
  <c r="F1110" i="1147"/>
  <c r="G1110" i="1147"/>
  <c r="H1110" i="1147"/>
  <c r="I1110" i="1147"/>
  <c r="J1110" i="1147"/>
  <c r="D1111" i="1147"/>
  <c r="E1111" i="1147"/>
  <c r="F1111" i="1147"/>
  <c r="G1111" i="1147"/>
  <c r="H1111" i="1147"/>
  <c r="I1111" i="1147"/>
  <c r="J1111" i="1147"/>
  <c r="D1112" i="1147"/>
  <c r="E1112" i="1147"/>
  <c r="F1112" i="1147"/>
  <c r="G1112" i="1147"/>
  <c r="H1112" i="1147"/>
  <c r="I1112" i="1147"/>
  <c r="J1112" i="1147"/>
  <c r="D1113" i="1147"/>
  <c r="E1113" i="1147"/>
  <c r="F1113" i="1147"/>
  <c r="G1113" i="1147"/>
  <c r="H1113" i="1147"/>
  <c r="I1113" i="1147"/>
  <c r="J1113" i="1147"/>
  <c r="D1114" i="1147"/>
  <c r="E1114" i="1147"/>
  <c r="F1114" i="1147"/>
  <c r="G1114" i="1147"/>
  <c r="H1114" i="1147"/>
  <c r="I1114" i="1147"/>
  <c r="J1114" i="1147"/>
  <c r="D1115" i="1147"/>
  <c r="E1115" i="1147"/>
  <c r="F1115" i="1147"/>
  <c r="G1115" i="1147"/>
  <c r="H1115" i="1147"/>
  <c r="I1115" i="1147"/>
  <c r="J1115" i="1147"/>
  <c r="D1116" i="1147"/>
  <c r="E1116" i="1147"/>
  <c r="F1116" i="1147"/>
  <c r="G1116" i="1147"/>
  <c r="H1116" i="1147"/>
  <c r="I1116" i="1147"/>
  <c r="J1116" i="1147"/>
  <c r="D1117" i="1147"/>
  <c r="E1117" i="1147"/>
  <c r="F1117" i="1147"/>
  <c r="G1117" i="1147"/>
  <c r="H1117" i="1147"/>
  <c r="I1117" i="1147"/>
  <c r="J1117" i="1147"/>
  <c r="D1118" i="1147"/>
  <c r="E1118" i="1147"/>
  <c r="F1118" i="1147"/>
  <c r="G1118" i="1147"/>
  <c r="H1118" i="1147"/>
  <c r="I1118" i="1147"/>
  <c r="J1118" i="1147"/>
  <c r="D1119" i="1147"/>
  <c r="E1119" i="1147"/>
  <c r="F1119" i="1147"/>
  <c r="G1119" i="1147"/>
  <c r="H1119" i="1147"/>
  <c r="I1119" i="1147"/>
  <c r="J1119" i="1147"/>
  <c r="D1120" i="1147"/>
  <c r="E1120" i="1147"/>
  <c r="F1120" i="1147"/>
  <c r="G1120" i="1147"/>
  <c r="H1120" i="1147"/>
  <c r="I1120" i="1147"/>
  <c r="J1120" i="1147"/>
  <c r="D1121" i="1147"/>
  <c r="E1121" i="1147"/>
  <c r="F1121" i="1147"/>
  <c r="G1121" i="1147"/>
  <c r="H1121" i="1147"/>
  <c r="I1121" i="1147"/>
  <c r="J1121" i="1147"/>
  <c r="D1122" i="1147"/>
  <c r="E1122" i="1147"/>
  <c r="F1122" i="1147"/>
  <c r="G1122" i="1147"/>
  <c r="H1122" i="1147"/>
  <c r="I1122" i="1147"/>
  <c r="J1122" i="1147"/>
  <c r="D1123" i="1147"/>
  <c r="E1123" i="1147"/>
  <c r="F1123" i="1147"/>
  <c r="G1123" i="1147"/>
  <c r="H1123" i="1147"/>
  <c r="I1123" i="1147"/>
  <c r="J1123" i="1147"/>
  <c r="D1124" i="1147"/>
  <c r="E1124" i="1147"/>
  <c r="F1124" i="1147"/>
  <c r="G1124" i="1147"/>
  <c r="H1124" i="1147"/>
  <c r="I1124" i="1147"/>
  <c r="J1124" i="1147"/>
  <c r="D1125" i="1147"/>
  <c r="E1125" i="1147"/>
  <c r="F1125" i="1147"/>
  <c r="G1125" i="1147"/>
  <c r="H1125" i="1147"/>
  <c r="I1125" i="1147"/>
  <c r="J1125" i="1147"/>
  <c r="D1126" i="1147"/>
  <c r="E1126" i="1147"/>
  <c r="F1126" i="1147"/>
  <c r="G1126" i="1147"/>
  <c r="H1126" i="1147"/>
  <c r="I1126" i="1147"/>
  <c r="J1126" i="1147"/>
  <c r="D1127" i="1147"/>
  <c r="E1127" i="1147"/>
  <c r="F1127" i="1147"/>
  <c r="G1127" i="1147"/>
  <c r="H1127" i="1147"/>
  <c r="I1127" i="1147"/>
  <c r="J1127" i="1147"/>
  <c r="D1128" i="1147"/>
  <c r="E1128" i="1147"/>
  <c r="F1128" i="1147"/>
  <c r="G1128" i="1147"/>
  <c r="H1128" i="1147"/>
  <c r="I1128" i="1147"/>
  <c r="J1128" i="1147"/>
  <c r="D1129" i="1147"/>
  <c r="E1129" i="1147"/>
  <c r="F1129" i="1147"/>
  <c r="G1129" i="1147"/>
  <c r="H1129" i="1147"/>
  <c r="I1129" i="1147"/>
  <c r="J1129" i="1147"/>
  <c r="D1130" i="1147"/>
  <c r="E1130" i="1147"/>
  <c r="F1130" i="1147"/>
  <c r="G1130" i="1147"/>
  <c r="H1130" i="1147"/>
  <c r="I1130" i="1147"/>
  <c r="J1130" i="1147"/>
  <c r="D1131" i="1147"/>
  <c r="E1131" i="1147"/>
  <c r="F1131" i="1147"/>
  <c r="G1131" i="1147"/>
  <c r="H1131" i="1147"/>
  <c r="I1131" i="1147"/>
  <c r="J1131" i="1147"/>
  <c r="D1132" i="1147"/>
  <c r="E1132" i="1147"/>
  <c r="F1132" i="1147"/>
  <c r="G1132" i="1147"/>
  <c r="H1132" i="1147"/>
  <c r="I1132" i="1147"/>
  <c r="J1132" i="1147"/>
  <c r="D1133" i="1147"/>
  <c r="E1133" i="1147"/>
  <c r="F1133" i="1147"/>
  <c r="G1133" i="1147"/>
  <c r="H1133" i="1147"/>
  <c r="I1133" i="1147"/>
  <c r="J1133" i="1147"/>
  <c r="D1134" i="1147"/>
  <c r="E1134" i="1147"/>
  <c r="F1134" i="1147"/>
  <c r="G1134" i="1147"/>
  <c r="H1134" i="1147"/>
  <c r="I1134" i="1147"/>
  <c r="J1134" i="1147"/>
  <c r="D1135" i="1147"/>
  <c r="E1135" i="1147"/>
  <c r="F1135" i="1147"/>
  <c r="G1135" i="1147"/>
  <c r="H1135" i="1147"/>
  <c r="I1135" i="1147"/>
  <c r="J1135" i="1147"/>
  <c r="D1136" i="1147"/>
  <c r="E1136" i="1147"/>
  <c r="F1136" i="1147"/>
  <c r="G1136" i="1147"/>
  <c r="H1136" i="1147"/>
  <c r="I1136" i="1147"/>
  <c r="J1136" i="1147"/>
  <c r="D1137" i="1147"/>
  <c r="E1137" i="1147"/>
  <c r="F1137" i="1147"/>
  <c r="G1137" i="1147"/>
  <c r="H1137" i="1147"/>
  <c r="I1137" i="1147"/>
  <c r="J1137" i="1147"/>
  <c r="D1138" i="1147"/>
  <c r="E1138" i="1147"/>
  <c r="F1138" i="1147"/>
  <c r="G1138" i="1147"/>
  <c r="H1138" i="1147"/>
  <c r="I1138" i="1147"/>
  <c r="J1138" i="1147"/>
  <c r="D1139" i="1147"/>
  <c r="E1139" i="1147"/>
  <c r="F1139" i="1147"/>
  <c r="G1139" i="1147"/>
  <c r="H1139" i="1147"/>
  <c r="I1139" i="1147"/>
  <c r="J1139" i="1147"/>
  <c r="D1140" i="1147"/>
  <c r="E1140" i="1147"/>
  <c r="F1140" i="1147"/>
  <c r="G1140" i="1147"/>
  <c r="H1140" i="1147"/>
  <c r="I1140" i="1147"/>
  <c r="J1140" i="1147"/>
  <c r="D1141" i="1147"/>
  <c r="E1141" i="1147"/>
  <c r="F1141" i="1147"/>
  <c r="G1141" i="1147"/>
  <c r="H1141" i="1147"/>
  <c r="I1141" i="1147"/>
  <c r="J1141" i="1147"/>
  <c r="D1142" i="1147"/>
  <c r="E1142" i="1147"/>
  <c r="F1142" i="1147"/>
  <c r="G1142" i="1147"/>
  <c r="H1142" i="1147"/>
  <c r="I1142" i="1147"/>
  <c r="J1142" i="1147"/>
  <c r="D1143" i="1147"/>
  <c r="E1143" i="1147"/>
  <c r="F1143" i="1147"/>
  <c r="G1143" i="1147"/>
  <c r="H1143" i="1147"/>
  <c r="I1143" i="1147"/>
  <c r="J1143" i="1147"/>
  <c r="D1144" i="1147"/>
  <c r="E1144" i="1147"/>
  <c r="F1144" i="1147"/>
  <c r="G1144" i="1147"/>
  <c r="H1144" i="1147"/>
  <c r="I1144" i="1147"/>
  <c r="J1144" i="1147"/>
  <c r="D1145" i="1147"/>
  <c r="E1145" i="1147"/>
  <c r="F1145" i="1147"/>
  <c r="G1145" i="1147"/>
  <c r="H1145" i="1147"/>
  <c r="I1145" i="1147"/>
  <c r="J1145" i="1147"/>
  <c r="D1146" i="1147"/>
  <c r="E1146" i="1147"/>
  <c r="F1146" i="1147"/>
  <c r="G1146" i="1147"/>
  <c r="H1146" i="1147"/>
  <c r="I1146" i="1147"/>
  <c r="J1146" i="1147"/>
  <c r="D1147" i="1147"/>
  <c r="E1147" i="1147"/>
  <c r="F1147" i="1147"/>
  <c r="G1147" i="1147"/>
  <c r="H1147" i="1147"/>
  <c r="I1147" i="1147"/>
  <c r="J1147" i="1147"/>
  <c r="D1148" i="1147"/>
  <c r="E1148" i="1147"/>
  <c r="F1148" i="1147"/>
  <c r="G1148" i="1147"/>
  <c r="H1148" i="1147"/>
  <c r="I1148" i="1147"/>
  <c r="J1148" i="1147"/>
  <c r="D1149" i="1147"/>
  <c r="E1149" i="1147"/>
  <c r="F1149" i="1147"/>
  <c r="G1149" i="1147"/>
  <c r="H1149" i="1147"/>
  <c r="I1149" i="1147"/>
  <c r="J1149" i="1147"/>
  <c r="D1150" i="1147"/>
  <c r="E1150" i="1147"/>
  <c r="F1150" i="1147"/>
  <c r="G1150" i="1147"/>
  <c r="H1150" i="1147"/>
  <c r="I1150" i="1147"/>
  <c r="J1150" i="1147"/>
  <c r="D1151" i="1147"/>
  <c r="E1151" i="1147"/>
  <c r="F1151" i="1147"/>
  <c r="G1151" i="1147"/>
  <c r="H1151" i="1147"/>
  <c r="I1151" i="1147"/>
  <c r="J1151" i="1147"/>
  <c r="D1152" i="1147"/>
  <c r="E1152" i="1147"/>
  <c r="F1152" i="1147"/>
  <c r="G1152" i="1147"/>
  <c r="H1152" i="1147"/>
  <c r="I1152" i="1147"/>
  <c r="J1152" i="1147"/>
  <c r="D1153" i="1147"/>
  <c r="E1153" i="1147"/>
  <c r="F1153" i="1147"/>
  <c r="G1153" i="1147"/>
  <c r="H1153" i="1147"/>
  <c r="I1153" i="1147"/>
  <c r="J1153" i="1147"/>
  <c r="D1154" i="1147"/>
  <c r="E1154" i="1147"/>
  <c r="F1154" i="1147"/>
  <c r="G1154" i="1147"/>
  <c r="H1154" i="1147"/>
  <c r="I1154" i="1147"/>
  <c r="J1154" i="1147"/>
  <c r="D1155" i="1147"/>
  <c r="E1155" i="1147"/>
  <c r="F1155" i="1147"/>
  <c r="G1155" i="1147"/>
  <c r="H1155" i="1147"/>
  <c r="I1155" i="1147"/>
  <c r="J1155" i="1147"/>
  <c r="D1156" i="1147"/>
  <c r="E1156" i="1147"/>
  <c r="F1156" i="1147"/>
  <c r="G1156" i="1147"/>
  <c r="H1156" i="1147"/>
  <c r="I1156" i="1147"/>
  <c r="J1156" i="1147"/>
  <c r="D1157" i="1147"/>
  <c r="E1157" i="1147"/>
  <c r="F1157" i="1147"/>
  <c r="G1157" i="1147"/>
  <c r="H1157" i="1147"/>
  <c r="I1157" i="1147"/>
  <c r="J1157" i="1147"/>
  <c r="D1158" i="1147"/>
  <c r="E1158" i="1147"/>
  <c r="F1158" i="1147"/>
  <c r="G1158" i="1147"/>
  <c r="H1158" i="1147"/>
  <c r="I1158" i="1147"/>
  <c r="J1158" i="1147"/>
  <c r="D1159" i="1147"/>
  <c r="E1159" i="1147"/>
  <c r="F1159" i="1147"/>
  <c r="G1159" i="1147"/>
  <c r="H1159" i="1147"/>
  <c r="I1159" i="1147"/>
  <c r="J1159" i="1147"/>
  <c r="D1160" i="1147"/>
  <c r="E1160" i="1147"/>
  <c r="F1160" i="1147"/>
  <c r="G1160" i="1147"/>
  <c r="H1160" i="1147"/>
  <c r="I1160" i="1147"/>
  <c r="J1160" i="1147"/>
  <c r="D1161" i="1147"/>
  <c r="E1161" i="1147"/>
  <c r="F1161" i="1147"/>
  <c r="G1161" i="1147"/>
  <c r="H1161" i="1147"/>
  <c r="I1161" i="1147"/>
  <c r="J1161" i="1147"/>
  <c r="D1162" i="1147"/>
  <c r="E1162" i="1147"/>
  <c r="F1162" i="1147"/>
  <c r="G1162" i="1147"/>
  <c r="H1162" i="1147"/>
  <c r="I1162" i="1147"/>
  <c r="J1162" i="1147"/>
  <c r="D1163" i="1147"/>
  <c r="E1163" i="1147"/>
  <c r="F1163" i="1147"/>
  <c r="G1163" i="1147"/>
  <c r="H1163" i="1147"/>
  <c r="I1163" i="1147"/>
  <c r="J1163" i="1147"/>
  <c r="D1164" i="1147"/>
  <c r="E1164" i="1147"/>
  <c r="F1164" i="1147"/>
  <c r="G1164" i="1147"/>
  <c r="H1164" i="1147"/>
  <c r="I1164" i="1147"/>
  <c r="J1164" i="1147"/>
  <c r="D1165" i="1147"/>
  <c r="E1165" i="1147"/>
  <c r="F1165" i="1147"/>
  <c r="G1165" i="1147"/>
  <c r="H1165" i="1147"/>
  <c r="I1165" i="1147"/>
  <c r="J1165" i="1147"/>
  <c r="D1166" i="1147"/>
  <c r="E1166" i="1147"/>
  <c r="F1166" i="1147"/>
  <c r="G1166" i="1147"/>
  <c r="H1166" i="1147"/>
  <c r="I1166" i="1147"/>
  <c r="J1166" i="1147"/>
  <c r="D1167" i="1147"/>
  <c r="E1167" i="1147"/>
  <c r="F1167" i="1147"/>
  <c r="G1167" i="1147"/>
  <c r="H1167" i="1147"/>
  <c r="I1167" i="1147"/>
  <c r="J1167" i="1147"/>
  <c r="D1168" i="1147"/>
  <c r="E1168" i="1147"/>
  <c r="F1168" i="1147"/>
  <c r="G1168" i="1147"/>
  <c r="H1168" i="1147"/>
  <c r="I1168" i="1147"/>
  <c r="J1168" i="1147"/>
  <c r="D1169" i="1147"/>
  <c r="E1169" i="1147"/>
  <c r="F1169" i="1147"/>
  <c r="G1169" i="1147"/>
  <c r="H1169" i="1147"/>
  <c r="I1169" i="1147"/>
  <c r="J1169" i="1147"/>
  <c r="D1170" i="1147"/>
  <c r="E1170" i="1147"/>
  <c r="F1170" i="1147"/>
  <c r="G1170" i="1147"/>
  <c r="H1170" i="1147"/>
  <c r="I1170" i="1147"/>
  <c r="J1170" i="1147"/>
  <c r="D1171" i="1147"/>
  <c r="E1171" i="1147"/>
  <c r="F1171" i="1147"/>
  <c r="G1171" i="1147"/>
  <c r="H1171" i="1147"/>
  <c r="I1171" i="1147"/>
  <c r="J1171" i="1147"/>
  <c r="D1172" i="1147"/>
  <c r="E1172" i="1147"/>
  <c r="F1172" i="1147"/>
  <c r="G1172" i="1147"/>
  <c r="H1172" i="1147"/>
  <c r="I1172" i="1147"/>
  <c r="J1172" i="1147"/>
  <c r="D1173" i="1147"/>
  <c r="E1173" i="1147"/>
  <c r="F1173" i="1147"/>
  <c r="G1173" i="1147"/>
  <c r="H1173" i="1147"/>
  <c r="I1173" i="1147"/>
  <c r="J1173" i="1147"/>
  <c r="D1174" i="1147"/>
  <c r="E1174" i="1147"/>
  <c r="F1174" i="1147"/>
  <c r="G1174" i="1147"/>
  <c r="H1174" i="1147"/>
  <c r="I1174" i="1147"/>
  <c r="J1174" i="1147"/>
  <c r="D1175" i="1147"/>
  <c r="E1175" i="1147"/>
  <c r="F1175" i="1147"/>
  <c r="G1175" i="1147"/>
  <c r="H1175" i="1147"/>
  <c r="I1175" i="1147"/>
  <c r="J1175" i="1147"/>
  <c r="D1176" i="1147"/>
  <c r="E1176" i="1147"/>
  <c r="F1176" i="1147"/>
  <c r="G1176" i="1147"/>
  <c r="H1176" i="1147"/>
  <c r="I1176" i="1147"/>
  <c r="J1176" i="1147"/>
  <c r="D1177" i="1147"/>
  <c r="E1177" i="1147"/>
  <c r="F1177" i="1147"/>
  <c r="G1177" i="1147"/>
  <c r="H1177" i="1147"/>
  <c r="I1177" i="1147"/>
  <c r="J1177" i="1147"/>
  <c r="D1178" i="1147"/>
  <c r="E1178" i="1147"/>
  <c r="F1178" i="1147"/>
  <c r="G1178" i="1147"/>
  <c r="H1178" i="1147"/>
  <c r="I1178" i="1147"/>
  <c r="J1178" i="1147"/>
  <c r="D1179" i="1147"/>
  <c r="E1179" i="1147"/>
  <c r="F1179" i="1147"/>
  <c r="G1179" i="1147"/>
  <c r="H1179" i="1147"/>
  <c r="I1179" i="1147"/>
  <c r="J1179" i="1147"/>
  <c r="D1180" i="1147"/>
  <c r="E1180" i="1147"/>
  <c r="F1180" i="1147"/>
  <c r="G1180" i="1147"/>
  <c r="H1180" i="1147"/>
  <c r="I1180" i="1147"/>
  <c r="J1180" i="1147"/>
  <c r="D1181" i="1147"/>
  <c r="E1181" i="1147"/>
  <c r="F1181" i="1147"/>
  <c r="G1181" i="1147"/>
  <c r="H1181" i="1147"/>
  <c r="I1181" i="1147"/>
  <c r="J1181" i="1147"/>
  <c r="D1182" i="1147"/>
  <c r="E1182" i="1147"/>
  <c r="F1182" i="1147"/>
  <c r="G1182" i="1147"/>
  <c r="H1182" i="1147"/>
  <c r="I1182" i="1147"/>
  <c r="J1182" i="1147"/>
  <c r="D1183" i="1147"/>
  <c r="E1183" i="1147"/>
  <c r="F1183" i="1147"/>
  <c r="G1183" i="1147"/>
  <c r="H1183" i="1147"/>
  <c r="I1183" i="1147"/>
  <c r="J1183" i="1147"/>
  <c r="D1184" i="1147"/>
  <c r="E1184" i="1147"/>
  <c r="F1184" i="1147"/>
  <c r="G1184" i="1147"/>
  <c r="H1184" i="1147"/>
  <c r="I1184" i="1147"/>
  <c r="J1184" i="1147"/>
  <c r="D1185" i="1147"/>
  <c r="E1185" i="1147"/>
  <c r="F1185" i="1147"/>
  <c r="G1185" i="1147"/>
  <c r="H1185" i="1147"/>
  <c r="I1185" i="1147"/>
  <c r="J1185" i="1147"/>
  <c r="D1186" i="1147"/>
  <c r="E1186" i="1147"/>
  <c r="F1186" i="1147"/>
  <c r="G1186" i="1147"/>
  <c r="H1186" i="1147"/>
  <c r="I1186" i="1147"/>
  <c r="J1186" i="1147"/>
  <c r="D1187" i="1147"/>
  <c r="E1187" i="1147"/>
  <c r="F1187" i="1147"/>
  <c r="G1187" i="1147"/>
  <c r="H1187" i="1147"/>
  <c r="I1187" i="1147"/>
  <c r="J1187" i="1147"/>
  <c r="D1188" i="1147"/>
  <c r="E1188" i="1147"/>
  <c r="F1188" i="1147"/>
  <c r="G1188" i="1147"/>
  <c r="H1188" i="1147"/>
  <c r="I1188" i="1147"/>
  <c r="J1188" i="1147"/>
  <c r="D1189" i="1147"/>
  <c r="E1189" i="1147"/>
  <c r="F1189" i="1147"/>
  <c r="G1189" i="1147"/>
  <c r="H1189" i="1147"/>
  <c r="I1189" i="1147"/>
  <c r="J1189" i="1147"/>
  <c r="D1190" i="1147"/>
  <c r="E1190" i="1147"/>
  <c r="F1190" i="1147"/>
  <c r="G1190" i="1147"/>
  <c r="H1190" i="1147"/>
  <c r="I1190" i="1147"/>
  <c r="J1190" i="1147"/>
  <c r="D1191" i="1147"/>
  <c r="E1191" i="1147"/>
  <c r="F1191" i="1147"/>
  <c r="G1191" i="1147"/>
  <c r="H1191" i="1147"/>
  <c r="I1191" i="1147"/>
  <c r="J1191" i="1147"/>
  <c r="D1192" i="1147"/>
  <c r="E1192" i="1147"/>
  <c r="F1192" i="1147"/>
  <c r="G1192" i="1147"/>
  <c r="H1192" i="1147"/>
  <c r="I1192" i="1147"/>
  <c r="J1192" i="1147"/>
  <c r="D1193" i="1147"/>
  <c r="E1193" i="1147"/>
  <c r="F1193" i="1147"/>
  <c r="G1193" i="1147"/>
  <c r="H1193" i="1147"/>
  <c r="I1193" i="1147"/>
  <c r="J1193" i="1147"/>
  <c r="D1194" i="1147"/>
  <c r="E1194" i="1147"/>
  <c r="F1194" i="1147"/>
  <c r="G1194" i="1147"/>
  <c r="H1194" i="1147"/>
  <c r="I1194" i="1147"/>
  <c r="J1194" i="1147"/>
  <c r="D1195" i="1147"/>
  <c r="E1195" i="1147"/>
  <c r="F1195" i="1147"/>
  <c r="G1195" i="1147"/>
  <c r="H1195" i="1147"/>
  <c r="I1195" i="1147"/>
  <c r="J1195" i="1147"/>
  <c r="D1196" i="1147"/>
  <c r="E1196" i="1147"/>
  <c r="F1196" i="1147"/>
  <c r="G1196" i="1147"/>
  <c r="H1196" i="1147"/>
  <c r="I1196" i="1147"/>
  <c r="J1196" i="1147"/>
  <c r="D1197" i="1147"/>
  <c r="E1197" i="1147"/>
  <c r="F1197" i="1147"/>
  <c r="G1197" i="1147"/>
  <c r="H1197" i="1147"/>
  <c r="I1197" i="1147"/>
  <c r="J1197" i="1147"/>
  <c r="D1198" i="1147"/>
  <c r="E1198" i="1147"/>
  <c r="F1198" i="1147"/>
  <c r="G1198" i="1147"/>
  <c r="H1198" i="1147"/>
  <c r="I1198" i="1147"/>
  <c r="J1198" i="1147"/>
  <c r="D1199" i="1147"/>
  <c r="E1199" i="1147"/>
  <c r="F1199" i="1147"/>
  <c r="G1199" i="1147"/>
  <c r="H1199" i="1147"/>
  <c r="I1199" i="1147"/>
  <c r="J1199" i="1147"/>
  <c r="D1200" i="1147"/>
  <c r="E1200" i="1147"/>
  <c r="F1200" i="1147"/>
  <c r="G1200" i="1147"/>
  <c r="H1200" i="1147"/>
  <c r="I1200" i="1147"/>
  <c r="J1200" i="1147"/>
  <c r="D1201" i="1147"/>
  <c r="E1201" i="1147"/>
  <c r="F1201" i="1147"/>
  <c r="G1201" i="1147"/>
  <c r="H1201" i="1147"/>
  <c r="I1201" i="1147"/>
  <c r="J1201" i="1147"/>
  <c r="D1202" i="1147"/>
  <c r="E1202" i="1147"/>
  <c r="F1202" i="1147"/>
  <c r="G1202" i="1147"/>
  <c r="H1202" i="1147"/>
  <c r="I1202" i="1147"/>
  <c r="J1202" i="1147"/>
  <c r="D1203" i="1147"/>
  <c r="E1203" i="1147"/>
  <c r="F1203" i="1147"/>
  <c r="G1203" i="1147"/>
  <c r="H1203" i="1147"/>
  <c r="I1203" i="1147"/>
  <c r="J1203" i="1147"/>
  <c r="D1204" i="1147"/>
  <c r="E1204" i="1147"/>
  <c r="F1204" i="1147"/>
  <c r="G1204" i="1147"/>
  <c r="H1204" i="1147"/>
  <c r="I1204" i="1147"/>
  <c r="J1204" i="1147"/>
  <c r="D1205" i="1147"/>
  <c r="E1205" i="1147"/>
  <c r="F1205" i="1147"/>
  <c r="G1205" i="1147"/>
  <c r="H1205" i="1147"/>
  <c r="I1205" i="1147"/>
  <c r="J1205" i="1147"/>
  <c r="D1206" i="1147"/>
  <c r="E1206" i="1147"/>
  <c r="F1206" i="1147"/>
  <c r="G1206" i="1147"/>
  <c r="H1206" i="1147"/>
  <c r="I1206" i="1147"/>
  <c r="J1206" i="1147"/>
  <c r="D1207" i="1147"/>
  <c r="E1207" i="1147"/>
  <c r="F1207" i="1147"/>
  <c r="G1207" i="1147"/>
  <c r="H1207" i="1147"/>
  <c r="I1207" i="1147"/>
  <c r="J1207" i="1147"/>
  <c r="D1208" i="1147"/>
  <c r="E1208" i="1147"/>
  <c r="F1208" i="1147"/>
  <c r="G1208" i="1147"/>
  <c r="H1208" i="1147"/>
  <c r="I1208" i="1147"/>
  <c r="J1208" i="1147"/>
  <c r="D1209" i="1147"/>
  <c r="E1209" i="1147"/>
  <c r="F1209" i="1147"/>
  <c r="G1209" i="1147"/>
  <c r="H1209" i="1147"/>
  <c r="I1209" i="1147"/>
  <c r="J1209" i="1147"/>
  <c r="D1210" i="1147"/>
  <c r="E1210" i="1147"/>
  <c r="F1210" i="1147"/>
  <c r="G1210" i="1147"/>
  <c r="H1210" i="1147"/>
  <c r="I1210" i="1147"/>
  <c r="J1210" i="1147"/>
  <c r="D1211" i="1147"/>
  <c r="E1211" i="1147"/>
  <c r="F1211" i="1147"/>
  <c r="G1211" i="1147"/>
  <c r="H1211" i="1147"/>
  <c r="I1211" i="1147"/>
  <c r="J1211" i="1147"/>
  <c r="D1212" i="1147"/>
  <c r="E1212" i="1147"/>
  <c r="F1212" i="1147"/>
  <c r="G1212" i="1147"/>
  <c r="H1212" i="1147"/>
  <c r="I1212" i="1147"/>
  <c r="J1212" i="1147"/>
  <c r="D1213" i="1147"/>
  <c r="E1213" i="1147"/>
  <c r="F1213" i="1147"/>
  <c r="G1213" i="1147"/>
  <c r="H1213" i="1147"/>
  <c r="I1213" i="1147"/>
  <c r="J1213" i="1147"/>
  <c r="D1214" i="1147"/>
  <c r="E1214" i="1147"/>
  <c r="F1214" i="1147"/>
  <c r="G1214" i="1147"/>
  <c r="H1214" i="1147"/>
  <c r="I1214" i="1147"/>
  <c r="J1214" i="1147"/>
  <c r="D1215" i="1147"/>
  <c r="E1215" i="1147"/>
  <c r="F1215" i="1147"/>
  <c r="G1215" i="1147"/>
  <c r="H1215" i="1147"/>
  <c r="I1215" i="1147"/>
  <c r="J1215" i="1147"/>
  <c r="D1216" i="1147"/>
  <c r="E1216" i="1147"/>
  <c r="F1216" i="1147"/>
  <c r="G1216" i="1147"/>
  <c r="H1216" i="1147"/>
  <c r="I1216" i="1147"/>
  <c r="J1216" i="1147"/>
  <c r="D1217" i="1147"/>
  <c r="E1217" i="1147"/>
  <c r="F1217" i="1147"/>
  <c r="G1217" i="1147"/>
  <c r="H1217" i="1147"/>
  <c r="I1217" i="1147"/>
  <c r="J1217" i="1147"/>
  <c r="D1218" i="1147"/>
  <c r="E1218" i="1147"/>
  <c r="F1218" i="1147"/>
  <c r="G1218" i="1147"/>
  <c r="H1218" i="1147"/>
  <c r="I1218" i="1147"/>
  <c r="J1218" i="1147"/>
  <c r="D1219" i="1147"/>
  <c r="E1219" i="1147"/>
  <c r="F1219" i="1147"/>
  <c r="G1219" i="1147"/>
  <c r="H1219" i="1147"/>
  <c r="I1219" i="1147"/>
  <c r="J1219" i="1147"/>
  <c r="D1220" i="1147"/>
  <c r="E1220" i="1147"/>
  <c r="F1220" i="1147"/>
  <c r="G1220" i="1147"/>
  <c r="H1220" i="1147"/>
  <c r="I1220" i="1147"/>
  <c r="J1220" i="1147"/>
  <c r="D1221" i="1147"/>
  <c r="E1221" i="1147"/>
  <c r="F1221" i="1147"/>
  <c r="G1221" i="1147"/>
  <c r="H1221" i="1147"/>
  <c r="I1221" i="1147"/>
  <c r="J1221" i="1147"/>
  <c r="D1222" i="1147"/>
  <c r="E1222" i="1147"/>
  <c r="F1222" i="1147"/>
  <c r="G1222" i="1147"/>
  <c r="H1222" i="1147"/>
  <c r="I1222" i="1147"/>
  <c r="J1222" i="1147"/>
  <c r="D1223" i="1147"/>
  <c r="E1223" i="1147"/>
  <c r="F1223" i="1147"/>
  <c r="G1223" i="1147"/>
  <c r="H1223" i="1147"/>
  <c r="I1223" i="1147"/>
  <c r="J1223" i="1147"/>
  <c r="D1224" i="1147"/>
  <c r="E1224" i="1147"/>
  <c r="F1224" i="1147"/>
  <c r="G1224" i="1147"/>
  <c r="H1224" i="1147"/>
  <c r="I1224" i="1147"/>
  <c r="J1224" i="1147"/>
  <c r="D1225" i="1147"/>
  <c r="E1225" i="1147"/>
  <c r="F1225" i="1147"/>
  <c r="G1225" i="1147"/>
  <c r="H1225" i="1147"/>
  <c r="I1225" i="1147"/>
  <c r="J1225" i="1147"/>
  <c r="D1226" i="1147"/>
  <c r="E1226" i="1147"/>
  <c r="F1226" i="1147"/>
  <c r="G1226" i="1147"/>
  <c r="H1226" i="1147"/>
  <c r="I1226" i="1147"/>
  <c r="J1226" i="1147"/>
  <c r="D1227" i="1147"/>
  <c r="E1227" i="1147"/>
  <c r="F1227" i="1147"/>
  <c r="G1227" i="1147"/>
  <c r="H1227" i="1147"/>
  <c r="I1227" i="1147"/>
  <c r="J1227" i="1147"/>
  <c r="D1228" i="1147"/>
  <c r="E1228" i="1147"/>
  <c r="F1228" i="1147"/>
  <c r="G1228" i="1147"/>
  <c r="H1228" i="1147"/>
  <c r="I1228" i="1147"/>
  <c r="J1228" i="1147"/>
  <c r="D1229" i="1147"/>
  <c r="E1229" i="1147"/>
  <c r="F1229" i="1147"/>
  <c r="G1229" i="1147"/>
  <c r="H1229" i="1147"/>
  <c r="I1229" i="1147"/>
  <c r="J1229" i="1147"/>
  <c r="D1230" i="1147"/>
  <c r="E1230" i="1147"/>
  <c r="F1230" i="1147"/>
  <c r="G1230" i="1147"/>
  <c r="H1230" i="1147"/>
  <c r="I1230" i="1147"/>
  <c r="J1230" i="1147"/>
  <c r="D1231" i="1147"/>
  <c r="E1231" i="1147"/>
  <c r="F1231" i="1147"/>
  <c r="G1231" i="1147"/>
  <c r="H1231" i="1147"/>
  <c r="I1231" i="1147"/>
  <c r="J1231" i="1147"/>
  <c r="D1232" i="1147"/>
  <c r="E1232" i="1147"/>
  <c r="F1232" i="1147"/>
  <c r="G1232" i="1147"/>
  <c r="H1232" i="1147"/>
  <c r="I1232" i="1147"/>
  <c r="J1232" i="1147"/>
  <c r="D1233" i="1147"/>
  <c r="E1233" i="1147"/>
  <c r="F1233" i="1147"/>
  <c r="G1233" i="1147"/>
  <c r="H1233" i="1147"/>
  <c r="I1233" i="1147"/>
  <c r="J1233" i="1147"/>
  <c r="D1234" i="1147"/>
  <c r="E1234" i="1147"/>
  <c r="F1234" i="1147"/>
  <c r="G1234" i="1147"/>
  <c r="H1234" i="1147"/>
  <c r="I1234" i="1147"/>
  <c r="J1234" i="1147"/>
  <c r="D1235" i="1147"/>
  <c r="E1235" i="1147"/>
  <c r="F1235" i="1147"/>
  <c r="G1235" i="1147"/>
  <c r="H1235" i="1147"/>
  <c r="I1235" i="1147"/>
  <c r="J1235" i="1147"/>
  <c r="D1236" i="1147"/>
  <c r="E1236" i="1147"/>
  <c r="F1236" i="1147"/>
  <c r="G1236" i="1147"/>
  <c r="H1236" i="1147"/>
  <c r="I1236" i="1147"/>
  <c r="J1236" i="1147"/>
  <c r="D1237" i="1147"/>
  <c r="E1237" i="1147"/>
  <c r="F1237" i="1147"/>
  <c r="G1237" i="1147"/>
  <c r="H1237" i="1147"/>
  <c r="I1237" i="1147"/>
  <c r="J1237" i="1147"/>
  <c r="D1238" i="1147"/>
  <c r="E1238" i="1147"/>
  <c r="F1238" i="1147"/>
  <c r="G1238" i="1147"/>
  <c r="H1238" i="1147"/>
  <c r="I1238" i="1147"/>
  <c r="J1238" i="1147"/>
  <c r="D1239" i="1147"/>
  <c r="E1239" i="1147"/>
  <c r="F1239" i="1147"/>
  <c r="G1239" i="1147"/>
  <c r="H1239" i="1147"/>
  <c r="I1239" i="1147"/>
  <c r="J1239" i="1147"/>
  <c r="D1240" i="1147"/>
  <c r="E1240" i="1147"/>
  <c r="G1240" i="1147"/>
  <c r="H1240" i="1147"/>
  <c r="I1240" i="1147"/>
  <c r="J1240" i="1147"/>
  <c r="D1241" i="1147"/>
  <c r="E1241" i="1147"/>
  <c r="F1241" i="1147"/>
  <c r="G1241" i="1147"/>
  <c r="H1241" i="1147"/>
  <c r="I1241" i="1147"/>
  <c r="J1241" i="1147"/>
  <c r="D1242" i="1147"/>
  <c r="E1242" i="1147"/>
  <c r="F1242" i="1147"/>
  <c r="G1242" i="1147"/>
  <c r="H1242" i="1147"/>
  <c r="I1242" i="1147"/>
  <c r="J1242" i="1147"/>
  <c r="D1243" i="1147"/>
  <c r="E1243" i="1147"/>
  <c r="F1243" i="1147"/>
  <c r="G1243" i="1147"/>
  <c r="H1243" i="1147"/>
  <c r="I1243" i="1147"/>
  <c r="J1243" i="1147"/>
  <c r="D1244" i="1147"/>
  <c r="E1244" i="1147"/>
  <c r="F1244" i="1147"/>
  <c r="G1244" i="1147"/>
  <c r="H1244" i="1147"/>
  <c r="I1244" i="1147"/>
  <c r="J1244" i="1147"/>
  <c r="D1245" i="1147"/>
  <c r="E1245" i="1147"/>
  <c r="F1245" i="1147"/>
  <c r="G1245" i="1147"/>
  <c r="H1245" i="1147"/>
  <c r="I1245" i="1147"/>
  <c r="J1245" i="1147"/>
  <c r="D1246" i="1147"/>
  <c r="E1246" i="1147"/>
  <c r="F1246" i="1147"/>
  <c r="G1246" i="1147"/>
  <c r="H1246" i="1147"/>
  <c r="I1246" i="1147"/>
  <c r="J1246" i="1147"/>
  <c r="D1247" i="1147"/>
  <c r="E1247" i="1147"/>
  <c r="F1247" i="1147"/>
  <c r="G1247" i="1147"/>
  <c r="H1247" i="1147"/>
  <c r="I1247" i="1147"/>
  <c r="J1247" i="1147"/>
  <c r="D1248" i="1147"/>
  <c r="E1248" i="1147"/>
  <c r="F1248" i="1147"/>
  <c r="G1248" i="1147"/>
  <c r="H1248" i="1147"/>
  <c r="I1248" i="1147"/>
  <c r="J1248" i="1147"/>
  <c r="D1249" i="1147"/>
  <c r="E1249" i="1147"/>
  <c r="F1249" i="1147"/>
  <c r="G1249" i="1147"/>
  <c r="H1249" i="1147"/>
  <c r="I1249" i="1147"/>
  <c r="J1249" i="1147"/>
  <c r="D1250" i="1147"/>
  <c r="E1250" i="1147"/>
  <c r="F1250" i="1147"/>
  <c r="G1250" i="1147"/>
  <c r="H1250" i="1147"/>
  <c r="I1250" i="1147"/>
  <c r="J1250" i="1147"/>
  <c r="D1251" i="1147"/>
  <c r="E1251" i="1147"/>
  <c r="F1251" i="1147"/>
  <c r="G1251" i="1147"/>
  <c r="H1251" i="1147"/>
  <c r="I1251" i="1147"/>
  <c r="J1251" i="1147"/>
  <c r="D1252" i="1147"/>
  <c r="E1252" i="1147"/>
  <c r="F1252" i="1147"/>
  <c r="G1252" i="1147"/>
  <c r="H1252" i="1147"/>
  <c r="I1252" i="1147"/>
  <c r="J1252" i="1147"/>
  <c r="D1253" i="1147"/>
  <c r="E1253" i="1147"/>
  <c r="F1253" i="1147"/>
  <c r="G1253" i="1147"/>
  <c r="H1253" i="1147"/>
  <c r="I1253" i="1147"/>
  <c r="J1253" i="1147"/>
  <c r="D1254" i="1147"/>
  <c r="E1254" i="1147"/>
  <c r="F1254" i="1147"/>
  <c r="G1254" i="1147"/>
  <c r="H1254" i="1147"/>
  <c r="I1254" i="1147"/>
  <c r="J1254" i="1147"/>
  <c r="D1255" i="1147"/>
  <c r="E1255" i="1147"/>
  <c r="F1255" i="1147"/>
  <c r="G1255" i="1147"/>
  <c r="H1255" i="1147"/>
  <c r="I1255" i="1147"/>
  <c r="J1255" i="1147"/>
  <c r="D1256" i="1147"/>
  <c r="E1256" i="1147"/>
  <c r="F1256" i="1147"/>
  <c r="G1256" i="1147"/>
  <c r="H1256" i="1147"/>
  <c r="I1256" i="1147"/>
  <c r="J1256" i="1147"/>
  <c r="D1257" i="1147"/>
  <c r="E1257" i="1147"/>
  <c r="F1257" i="1147"/>
  <c r="G1257" i="1147"/>
  <c r="H1257" i="1147"/>
  <c r="I1257" i="1147"/>
  <c r="J1257" i="1147"/>
  <c r="D1258" i="1147"/>
  <c r="E1258" i="1147"/>
  <c r="F1258" i="1147"/>
  <c r="G1258" i="1147"/>
  <c r="H1258" i="1147"/>
  <c r="I1258" i="1147"/>
  <c r="J1258" i="1147"/>
  <c r="D1259" i="1147"/>
  <c r="E1259" i="1147"/>
  <c r="F1259" i="1147"/>
  <c r="G1259" i="1147"/>
  <c r="H1259" i="1147"/>
  <c r="I1259" i="1147"/>
  <c r="J1259" i="1147"/>
  <c r="D1260" i="1147"/>
  <c r="E1260" i="1147"/>
  <c r="F1260" i="1147"/>
  <c r="G1260" i="1147"/>
  <c r="H1260" i="1147"/>
  <c r="I1260" i="1147"/>
  <c r="J1260" i="1147"/>
  <c r="D1261" i="1147"/>
  <c r="E1261" i="1147"/>
  <c r="F1261" i="1147"/>
  <c r="G1261" i="1147"/>
  <c r="H1261" i="1147"/>
  <c r="I1261" i="1147"/>
  <c r="J1261" i="1147"/>
  <c r="D1262" i="1147"/>
  <c r="E1262" i="1147"/>
  <c r="F1262" i="1147"/>
  <c r="G1262" i="1147"/>
  <c r="H1262" i="1147"/>
  <c r="I1262" i="1147"/>
  <c r="J1262" i="1147"/>
  <c r="D1263" i="1147"/>
  <c r="E1263" i="1147"/>
  <c r="F1263" i="1147"/>
  <c r="G1263" i="1147"/>
  <c r="H1263" i="1147"/>
  <c r="I1263" i="1147"/>
  <c r="J1263" i="1147"/>
  <c r="D1264" i="1147"/>
  <c r="E1264" i="1147"/>
  <c r="F1264" i="1147"/>
  <c r="G1264" i="1147"/>
  <c r="H1264" i="1147"/>
  <c r="I1264" i="1147"/>
  <c r="J1264" i="1147"/>
  <c r="D1265" i="1147"/>
  <c r="E1265" i="1147"/>
  <c r="F1265" i="1147"/>
  <c r="G1265" i="1147"/>
  <c r="H1265" i="1147"/>
  <c r="I1265" i="1147"/>
  <c r="J1265" i="1147"/>
  <c r="D1266" i="1147"/>
  <c r="E1266" i="1147"/>
  <c r="F1266" i="1147"/>
  <c r="G1266" i="1147"/>
  <c r="H1266" i="1147"/>
  <c r="I1266" i="1147"/>
  <c r="J1266" i="1147"/>
  <c r="D1267" i="1147"/>
  <c r="E1267" i="1147"/>
  <c r="F1267" i="1147"/>
  <c r="G1267" i="1147"/>
  <c r="H1267" i="1147"/>
  <c r="I1267" i="1147"/>
  <c r="J1267" i="1147"/>
  <c r="D1268" i="1147"/>
  <c r="E1268" i="1147"/>
  <c r="F1268" i="1147"/>
  <c r="G1268" i="1147"/>
  <c r="H1268" i="1147"/>
  <c r="I1268" i="1147"/>
  <c r="J1268" i="1147"/>
  <c r="D1269" i="1147"/>
  <c r="E1269" i="1147"/>
  <c r="F1269" i="1147"/>
  <c r="G1269" i="1147"/>
  <c r="H1269" i="1147"/>
  <c r="I1269" i="1147"/>
  <c r="J1269" i="1147"/>
  <c r="D1270" i="1147"/>
  <c r="E1270" i="1147"/>
  <c r="F1270" i="1147"/>
  <c r="G1270" i="1147"/>
  <c r="H1270" i="1147"/>
  <c r="I1270" i="1147"/>
  <c r="J1270" i="1147"/>
  <c r="D1271" i="1147"/>
  <c r="E1271" i="1147"/>
  <c r="F1271" i="1147"/>
  <c r="G1271" i="1147"/>
  <c r="H1271" i="1147"/>
  <c r="I1271" i="1147"/>
  <c r="J1271" i="1147"/>
  <c r="D1272" i="1147"/>
  <c r="E1272" i="1147"/>
  <c r="F1272" i="1147"/>
  <c r="G1272" i="1147"/>
  <c r="H1272" i="1147"/>
  <c r="I1272" i="1147"/>
  <c r="J1272" i="1147"/>
  <c r="D1273" i="1147"/>
  <c r="E1273" i="1147"/>
  <c r="F1273" i="1147"/>
  <c r="G1273" i="1147"/>
  <c r="H1273" i="1147"/>
  <c r="I1273" i="1147"/>
  <c r="J1273" i="1147"/>
  <c r="D1274" i="1147"/>
  <c r="E1274" i="1147"/>
  <c r="F1274" i="1147"/>
  <c r="G1274" i="1147"/>
  <c r="H1274" i="1147"/>
  <c r="I1274" i="1147"/>
  <c r="J1274" i="1147"/>
  <c r="D1275" i="1147"/>
  <c r="E1275" i="1147"/>
  <c r="F1275" i="1147"/>
  <c r="G1275" i="1147"/>
  <c r="H1275" i="1147"/>
  <c r="I1275" i="1147"/>
  <c r="J1275" i="1147"/>
  <c r="D1276" i="1147"/>
  <c r="E1276" i="1147"/>
  <c r="F1276" i="1147"/>
  <c r="G1276" i="1147"/>
  <c r="H1276" i="1147"/>
  <c r="I1276" i="1147"/>
  <c r="J1276" i="1147"/>
  <c r="D1277" i="1147"/>
  <c r="E1277" i="1147"/>
  <c r="F1277" i="1147"/>
  <c r="G1277" i="1147"/>
  <c r="H1277" i="1147"/>
  <c r="I1277" i="1147"/>
  <c r="J1277" i="1147"/>
  <c r="D1278" i="1147"/>
  <c r="E1278" i="1147"/>
  <c r="F1278" i="1147"/>
  <c r="G1278" i="1147"/>
  <c r="H1278" i="1147"/>
  <c r="I1278" i="1147"/>
  <c r="J1278" i="1147"/>
  <c r="D1279" i="1147"/>
  <c r="E1279" i="1147"/>
  <c r="F1279" i="1147"/>
  <c r="G1279" i="1147"/>
  <c r="H1279" i="1147"/>
  <c r="I1279" i="1147"/>
  <c r="J1279" i="1147"/>
  <c r="D1280" i="1147"/>
  <c r="E1280" i="1147"/>
  <c r="F1280" i="1147"/>
  <c r="G1280" i="1147"/>
  <c r="H1280" i="1147"/>
  <c r="I1280" i="1147"/>
  <c r="J1280" i="1147"/>
  <c r="D1281" i="1147"/>
  <c r="E1281" i="1147"/>
  <c r="F1281" i="1147"/>
  <c r="G1281" i="1147"/>
  <c r="H1281" i="1147"/>
  <c r="I1281" i="1147"/>
  <c r="J1281" i="1147"/>
  <c r="D1282" i="1147"/>
  <c r="E1282" i="1147"/>
  <c r="F1282" i="1147"/>
  <c r="G1282" i="1147"/>
  <c r="H1282" i="1147"/>
  <c r="I1282" i="1147"/>
  <c r="J1282" i="1147"/>
  <c r="D1283" i="1147"/>
  <c r="E1283" i="1147"/>
  <c r="F1283" i="1147"/>
  <c r="G1283" i="1147"/>
  <c r="H1283" i="1147"/>
  <c r="I1283" i="1147"/>
  <c r="J1283" i="1147"/>
  <c r="D1284" i="1147"/>
  <c r="E1284" i="1147"/>
  <c r="F1284" i="1147"/>
  <c r="G1284" i="1147"/>
  <c r="H1284" i="1147"/>
  <c r="I1284" i="1147"/>
  <c r="J1284" i="1147"/>
  <c r="D1285" i="1147"/>
  <c r="E1285" i="1147"/>
  <c r="F1285" i="1147"/>
  <c r="G1285" i="1147"/>
  <c r="H1285" i="1147"/>
  <c r="I1285" i="1147"/>
  <c r="J1285" i="1147"/>
  <c r="D1286" i="1147"/>
  <c r="E1286" i="1147"/>
  <c r="F1286" i="1147"/>
  <c r="G1286" i="1147"/>
  <c r="H1286" i="1147"/>
  <c r="I1286" i="1147"/>
  <c r="J1286" i="1147"/>
  <c r="D1287" i="1147"/>
  <c r="E1287" i="1147"/>
  <c r="F1287" i="1147"/>
  <c r="G1287" i="1147"/>
  <c r="H1287" i="1147"/>
  <c r="I1287" i="1147"/>
  <c r="J1287" i="1147"/>
  <c r="D1288" i="1147"/>
  <c r="E1288" i="1147"/>
  <c r="G1288" i="1147"/>
  <c r="H1288" i="1147"/>
  <c r="I1288" i="1147"/>
  <c r="D1289" i="1147"/>
  <c r="E1289" i="1147"/>
  <c r="F1289" i="1147"/>
  <c r="G1289" i="1147"/>
  <c r="H1289" i="1147"/>
  <c r="I1289" i="1147"/>
  <c r="D1290" i="1147"/>
  <c r="E1290" i="1147"/>
  <c r="F1290" i="1147"/>
  <c r="G1290" i="1147"/>
  <c r="H1290" i="1147"/>
  <c r="I1290" i="1147"/>
  <c r="J1290" i="1147"/>
  <c r="D1291" i="1147"/>
  <c r="E1291" i="1147"/>
  <c r="F1291" i="1147"/>
  <c r="G1291" i="1147"/>
  <c r="H1291" i="1147"/>
  <c r="I1291" i="1147"/>
  <c r="J1291" i="1147"/>
  <c r="D1292" i="1147"/>
  <c r="E1292" i="1147"/>
  <c r="F1292" i="1147"/>
  <c r="G1292" i="1147"/>
  <c r="H1292" i="1147"/>
  <c r="I1292" i="1147"/>
  <c r="J1292" i="1147"/>
  <c r="D1293" i="1147"/>
  <c r="E1293" i="1147"/>
  <c r="F1293" i="1147"/>
  <c r="G1293" i="1147"/>
  <c r="H1293" i="1147"/>
  <c r="I1293" i="1147"/>
  <c r="J1293" i="1147"/>
  <c r="D1294" i="1147"/>
  <c r="E1294" i="1147"/>
  <c r="F1294" i="1147"/>
  <c r="G1294" i="1147"/>
  <c r="H1294" i="1147"/>
  <c r="I1294" i="1147"/>
  <c r="J1294" i="1147"/>
  <c r="D1295" i="1147"/>
  <c r="E1295" i="1147"/>
  <c r="F1295" i="1147"/>
  <c r="G1295" i="1147"/>
  <c r="H1295" i="1147"/>
  <c r="I1295" i="1147"/>
  <c r="J1295" i="1147"/>
  <c r="D1296" i="1147"/>
  <c r="E1296" i="1147"/>
  <c r="F1296" i="1147"/>
  <c r="G1296" i="1147"/>
  <c r="H1296" i="1147"/>
  <c r="I1296" i="1147"/>
  <c r="J1296" i="1147"/>
  <c r="D1297" i="1147"/>
  <c r="E1297" i="1147"/>
  <c r="F1297" i="1147"/>
  <c r="G1297" i="1147"/>
  <c r="H1297" i="1147"/>
  <c r="I1297" i="1147"/>
  <c r="J1297" i="1147"/>
  <c r="D1298" i="1147"/>
  <c r="E1298" i="1147"/>
  <c r="F1298" i="1147"/>
  <c r="G1298" i="1147"/>
  <c r="H1298" i="1147"/>
  <c r="I1298" i="1147"/>
  <c r="J1298" i="1147"/>
  <c r="D1299" i="1147"/>
  <c r="E1299" i="1147"/>
  <c r="F1299" i="1147"/>
  <c r="G1299" i="1147"/>
  <c r="H1299" i="1147"/>
  <c r="I1299" i="1147"/>
  <c r="J1299" i="1147"/>
  <c r="D1300" i="1147"/>
  <c r="E1300" i="1147"/>
  <c r="F1300" i="1147"/>
  <c r="G1300" i="1147"/>
  <c r="H1300" i="1147"/>
  <c r="I1300" i="1147"/>
  <c r="J1300" i="1147"/>
  <c r="D1301" i="1147"/>
  <c r="E1301" i="1147"/>
  <c r="F1301" i="1147"/>
  <c r="G1301" i="1147"/>
  <c r="H1301" i="1147"/>
  <c r="I1301" i="1147"/>
  <c r="J1301" i="1147"/>
  <c r="D1302" i="1147"/>
  <c r="E1302" i="1147"/>
  <c r="F1302" i="1147"/>
  <c r="G1302" i="1147"/>
  <c r="H1302" i="1147"/>
  <c r="I1302" i="1147"/>
  <c r="J1302" i="1147"/>
  <c r="D1303" i="1147"/>
  <c r="E1303" i="1147"/>
  <c r="F1303" i="1147"/>
  <c r="G1303" i="1147"/>
  <c r="H1303" i="1147"/>
  <c r="I1303" i="1147"/>
  <c r="J1303" i="1147"/>
  <c r="D1304" i="1147"/>
  <c r="E1304" i="1147"/>
  <c r="F1304" i="1147"/>
  <c r="G1304" i="1147"/>
  <c r="H1304" i="1147"/>
  <c r="I1304" i="1147"/>
  <c r="J1304" i="1147"/>
  <c r="D1305" i="1147"/>
  <c r="E1305" i="1147"/>
  <c r="F1305" i="1147"/>
  <c r="G1305" i="1147"/>
  <c r="H1305" i="1147"/>
  <c r="I1305" i="1147"/>
  <c r="J1305" i="1147"/>
  <c r="D1306" i="1147"/>
  <c r="E1306" i="1147"/>
  <c r="F1306" i="1147"/>
  <c r="G1306" i="1147"/>
  <c r="H1306" i="1147"/>
  <c r="I1306" i="1147"/>
  <c r="J1306" i="1147"/>
  <c r="D1307" i="1147"/>
  <c r="E1307" i="1147"/>
  <c r="F1307" i="1147"/>
  <c r="G1307" i="1147"/>
  <c r="H1307" i="1147"/>
  <c r="I1307" i="1147"/>
  <c r="J1307" i="1147"/>
  <c r="D1308" i="1147"/>
  <c r="E1308" i="1147"/>
  <c r="F1308" i="1147"/>
  <c r="G1308" i="1147"/>
  <c r="H1308" i="1147"/>
  <c r="I1308" i="1147"/>
  <c r="J1308" i="1147"/>
  <c r="D1309" i="1147"/>
  <c r="E1309" i="1147"/>
  <c r="F1309" i="1147"/>
  <c r="G1309" i="1147"/>
  <c r="H1309" i="1147"/>
  <c r="I1309" i="1147"/>
  <c r="J1309" i="1147"/>
  <c r="D1310" i="1147"/>
  <c r="E1310" i="1147"/>
  <c r="F1310" i="1147"/>
  <c r="G1310" i="1147"/>
  <c r="H1310" i="1147"/>
  <c r="I1310" i="1147"/>
  <c r="J1310" i="1147"/>
  <c r="D1311" i="1147"/>
  <c r="E1311" i="1147"/>
  <c r="F1311" i="1147"/>
  <c r="G1311" i="1147"/>
  <c r="H1311" i="1147"/>
  <c r="I1311" i="1147"/>
  <c r="J1311" i="1147"/>
  <c r="D1312" i="1147"/>
  <c r="E1312" i="1147"/>
  <c r="F1312" i="1147"/>
  <c r="G1312" i="1147"/>
  <c r="H1312" i="1147"/>
  <c r="I1312" i="1147"/>
  <c r="J1312" i="1147"/>
  <c r="D1313" i="1147"/>
  <c r="E1313" i="1147"/>
  <c r="F1313" i="1147"/>
  <c r="G1313" i="1147"/>
  <c r="H1313" i="1147"/>
  <c r="I1313" i="1147"/>
  <c r="J1313" i="1147"/>
  <c r="H3" i="1147"/>
  <c r="I3" i="1147"/>
  <c r="J3" i="1147"/>
  <c r="H4" i="1147"/>
  <c r="I4" i="1147"/>
  <c r="J4" i="1147"/>
  <c r="H5" i="1147"/>
  <c r="I5" i="1147"/>
  <c r="J5" i="1147"/>
  <c r="H6" i="1147"/>
  <c r="I6" i="1147"/>
  <c r="J6" i="1147"/>
  <c r="H7" i="1147"/>
  <c r="I7" i="1147"/>
  <c r="J7" i="1147"/>
  <c r="J2" i="1147"/>
  <c r="I2" i="1147"/>
  <c r="H2" i="1147"/>
  <c r="G3" i="1147"/>
  <c r="G4" i="1147"/>
  <c r="G5" i="1147"/>
  <c r="G6" i="1147"/>
  <c r="G7" i="1147"/>
  <c r="G2" i="1147"/>
  <c r="D3" i="1147"/>
  <c r="E3" i="1147"/>
  <c r="F3" i="1147"/>
  <c r="D4" i="1147"/>
  <c r="E4" i="1147"/>
  <c r="F4" i="1147"/>
  <c r="D5" i="1147"/>
  <c r="E5" i="1147"/>
  <c r="F5" i="1147"/>
  <c r="D6" i="1147"/>
  <c r="E6" i="1147"/>
  <c r="F6" i="1147"/>
  <c r="D7" i="1147"/>
  <c r="E7" i="1147"/>
  <c r="F7" i="1147"/>
  <c r="F2" i="1147"/>
  <c r="E2" i="1147"/>
  <c r="D2" i="1147"/>
  <c r="C3" i="1147"/>
  <c r="C4" i="1147"/>
  <c r="C5" i="1147"/>
  <c r="C6" i="1147"/>
  <c r="C7" i="1147"/>
  <c r="C8" i="1147"/>
  <c r="C9" i="1147"/>
  <c r="C10" i="1147"/>
  <c r="C11" i="1147"/>
  <c r="C12" i="1147"/>
  <c r="C13" i="1147"/>
  <c r="C14" i="1147"/>
  <c r="C15" i="1147"/>
  <c r="C16" i="1147"/>
  <c r="C17" i="1147"/>
  <c r="C18" i="1147"/>
  <c r="C19" i="1147"/>
  <c r="C20" i="1147"/>
  <c r="C21" i="1147"/>
  <c r="C22" i="1147"/>
  <c r="C23" i="1147"/>
  <c r="C24" i="1147"/>
  <c r="C25" i="1147"/>
  <c r="C26" i="1147"/>
  <c r="C27" i="1147"/>
  <c r="C28" i="1147"/>
  <c r="C29" i="1147"/>
  <c r="C30" i="1147"/>
  <c r="C31" i="1147"/>
  <c r="C32" i="1147"/>
  <c r="C33" i="1147"/>
  <c r="C34" i="1147"/>
  <c r="C35" i="1147"/>
  <c r="C36" i="1147"/>
  <c r="C37" i="1147"/>
  <c r="C38" i="1147"/>
  <c r="C39" i="1147"/>
  <c r="C40" i="1147"/>
  <c r="C41" i="1147"/>
  <c r="C42" i="1147"/>
  <c r="C43" i="1147"/>
  <c r="C44" i="1147"/>
  <c r="C45" i="1147"/>
  <c r="C46" i="1147"/>
  <c r="C47" i="1147"/>
  <c r="C48" i="1147"/>
  <c r="C49" i="1147"/>
  <c r="C50" i="1147"/>
  <c r="C51" i="1147"/>
  <c r="C52" i="1147"/>
  <c r="C53" i="1147"/>
  <c r="C54" i="1147"/>
  <c r="C55" i="1147"/>
  <c r="C56" i="1147"/>
  <c r="C57" i="1147"/>
  <c r="C58" i="1147"/>
  <c r="C59" i="1147"/>
  <c r="C60" i="1147"/>
  <c r="C61" i="1147"/>
  <c r="C62" i="1147"/>
  <c r="C63" i="1147"/>
  <c r="C64" i="1147"/>
  <c r="C65" i="1147"/>
  <c r="C66" i="1147"/>
  <c r="C67" i="1147"/>
  <c r="C68" i="1147"/>
  <c r="C69" i="1147"/>
  <c r="C70" i="1147"/>
  <c r="C71" i="1147"/>
  <c r="C72" i="1147"/>
  <c r="C73" i="1147"/>
  <c r="C74" i="1147"/>
  <c r="C75" i="1147"/>
  <c r="C76" i="1147"/>
  <c r="C77" i="1147"/>
  <c r="C78" i="1147"/>
  <c r="C79" i="1147"/>
  <c r="C80" i="1147"/>
  <c r="C81" i="1147"/>
  <c r="C82" i="1147"/>
  <c r="C83" i="1147"/>
  <c r="C84" i="1147"/>
  <c r="C85" i="1147"/>
  <c r="C86" i="1147"/>
  <c r="C87" i="1147"/>
  <c r="C88" i="1147"/>
  <c r="C89" i="1147"/>
  <c r="C90" i="1147"/>
  <c r="C91" i="1147"/>
  <c r="C92" i="1147"/>
  <c r="C93" i="1147"/>
  <c r="C94" i="1147"/>
  <c r="C95" i="1147"/>
  <c r="C96" i="1147"/>
  <c r="C97" i="1147"/>
  <c r="C98" i="1147"/>
  <c r="C99" i="1147"/>
  <c r="C100" i="1147"/>
  <c r="C101" i="1147"/>
  <c r="C102" i="1147"/>
  <c r="C103" i="1147"/>
  <c r="C104" i="1147"/>
  <c r="C105" i="1147"/>
  <c r="C106" i="1147"/>
  <c r="C107" i="1147"/>
  <c r="C108" i="1147"/>
  <c r="C109" i="1147"/>
  <c r="C110" i="1147"/>
  <c r="C111" i="1147"/>
  <c r="C112" i="1147"/>
  <c r="C113" i="1147"/>
  <c r="C114" i="1147"/>
  <c r="C115" i="1147"/>
  <c r="C116" i="1147"/>
  <c r="C117" i="1147"/>
  <c r="C118" i="1147"/>
  <c r="C119" i="1147"/>
  <c r="C120" i="1147"/>
  <c r="C121" i="1147"/>
  <c r="C122" i="1147"/>
  <c r="C123" i="1147"/>
  <c r="C124" i="1147"/>
  <c r="C125" i="1147"/>
  <c r="C126" i="1147"/>
  <c r="C127" i="1147"/>
  <c r="C128" i="1147"/>
  <c r="C129" i="1147"/>
  <c r="C130" i="1147"/>
  <c r="C131" i="1147"/>
  <c r="C132" i="1147"/>
  <c r="C133" i="1147"/>
  <c r="C134" i="1147"/>
  <c r="C135" i="1147"/>
  <c r="C136" i="1147"/>
  <c r="C137" i="1147"/>
  <c r="C138" i="1147"/>
  <c r="C139" i="1147"/>
  <c r="C140" i="1147"/>
  <c r="C141" i="1147"/>
  <c r="C142" i="1147"/>
  <c r="C143" i="1147"/>
  <c r="C144" i="1147"/>
  <c r="C145" i="1147"/>
  <c r="C146" i="1147"/>
  <c r="C147" i="1147"/>
  <c r="C148" i="1147"/>
  <c r="C149" i="1147"/>
  <c r="C150" i="1147"/>
  <c r="C151" i="1147"/>
  <c r="C152" i="1147"/>
  <c r="C153" i="1147"/>
  <c r="C154" i="1147"/>
  <c r="C155" i="1147"/>
  <c r="C156" i="1147"/>
  <c r="C157" i="1147"/>
  <c r="C158" i="1147"/>
  <c r="C159" i="1147"/>
  <c r="C160" i="1147"/>
  <c r="C161" i="1147"/>
  <c r="C162" i="1147"/>
  <c r="C163" i="1147"/>
  <c r="C164" i="1147"/>
  <c r="C165" i="1147"/>
  <c r="C166" i="1147"/>
  <c r="C167" i="1147"/>
  <c r="C168" i="1147"/>
  <c r="C169" i="1147"/>
  <c r="C170" i="1147"/>
  <c r="C171" i="1147"/>
  <c r="C172" i="1147"/>
  <c r="C173" i="1147"/>
  <c r="C174" i="1147"/>
  <c r="C175" i="1147"/>
  <c r="C176" i="1147"/>
  <c r="C177" i="1147"/>
  <c r="C178" i="1147"/>
  <c r="C179" i="1147"/>
  <c r="C180" i="1147"/>
  <c r="C181" i="1147"/>
  <c r="C182" i="1147"/>
  <c r="C183" i="1147"/>
  <c r="C184" i="1147"/>
  <c r="C185" i="1147"/>
  <c r="C186" i="1147"/>
  <c r="C187" i="1147"/>
  <c r="C188" i="1147"/>
  <c r="C189" i="1147"/>
  <c r="C190" i="1147"/>
  <c r="C191" i="1147"/>
  <c r="C192" i="1147"/>
  <c r="C193" i="1147"/>
  <c r="C194" i="1147"/>
  <c r="C195" i="1147"/>
  <c r="C196" i="1147"/>
  <c r="C197" i="1147"/>
  <c r="C198" i="1147"/>
  <c r="C199" i="1147"/>
  <c r="C200" i="1147"/>
  <c r="C201" i="1147"/>
  <c r="C202" i="1147"/>
  <c r="C203" i="1147"/>
  <c r="C204" i="1147"/>
  <c r="C205" i="1147"/>
  <c r="C206" i="1147"/>
  <c r="C207" i="1147"/>
  <c r="C208" i="1147"/>
  <c r="C209" i="1147"/>
  <c r="C210" i="1147"/>
  <c r="C211" i="1147"/>
  <c r="C212" i="1147"/>
  <c r="C213" i="1147"/>
  <c r="C214" i="1147"/>
  <c r="C215" i="1147"/>
  <c r="C216" i="1147"/>
  <c r="C217" i="1147"/>
  <c r="C218" i="1147"/>
  <c r="C219" i="1147"/>
  <c r="C220" i="1147"/>
  <c r="C221" i="1147"/>
  <c r="C222" i="1147"/>
  <c r="C223" i="1147"/>
  <c r="C224" i="1147"/>
  <c r="C225" i="1147"/>
  <c r="C226" i="1147"/>
  <c r="C227" i="1147"/>
  <c r="C228" i="1147"/>
  <c r="C229" i="1147"/>
  <c r="C230" i="1147"/>
  <c r="C231" i="1147"/>
  <c r="C232" i="1147"/>
  <c r="C233" i="1147"/>
  <c r="C234" i="1147"/>
  <c r="C235" i="1147"/>
  <c r="C236" i="1147"/>
  <c r="C237" i="1147"/>
  <c r="C238" i="1147"/>
  <c r="C239" i="1147"/>
  <c r="C240" i="1147"/>
  <c r="C241" i="1147"/>
  <c r="C242" i="1147"/>
  <c r="C243" i="1147"/>
  <c r="C244" i="1147"/>
  <c r="C245" i="1147"/>
  <c r="C246" i="1147"/>
  <c r="C247" i="1147"/>
  <c r="C248" i="1147"/>
  <c r="C249" i="1147"/>
  <c r="C250" i="1147"/>
  <c r="C251" i="1147"/>
  <c r="C252" i="1147"/>
  <c r="C253" i="1147"/>
  <c r="C254" i="1147"/>
  <c r="C255" i="1147"/>
  <c r="C256" i="1147"/>
  <c r="C257" i="1147"/>
  <c r="C258" i="1147"/>
  <c r="C259" i="1147"/>
  <c r="C260" i="1147"/>
  <c r="C261" i="1147"/>
  <c r="C262" i="1147"/>
  <c r="C263" i="1147"/>
  <c r="C264" i="1147"/>
  <c r="C265" i="1147"/>
  <c r="C266" i="1147"/>
  <c r="C267" i="1147"/>
  <c r="C268" i="1147"/>
  <c r="C269" i="1147"/>
  <c r="C270" i="1147"/>
  <c r="C271" i="1147"/>
  <c r="C272" i="1147"/>
  <c r="C273" i="1147"/>
  <c r="C274" i="1147"/>
  <c r="C275" i="1147"/>
  <c r="C276" i="1147"/>
  <c r="C277" i="1147"/>
  <c r="C278" i="1147"/>
  <c r="C279" i="1147"/>
  <c r="C280" i="1147"/>
  <c r="C281" i="1147"/>
  <c r="C282" i="1147"/>
  <c r="C283" i="1147"/>
  <c r="C284" i="1147"/>
  <c r="C285" i="1147"/>
  <c r="C286" i="1147"/>
  <c r="C287" i="1147"/>
  <c r="C288" i="1147"/>
  <c r="C289" i="1147"/>
  <c r="C290" i="1147"/>
  <c r="C291" i="1147"/>
  <c r="C292" i="1147"/>
  <c r="C293" i="1147"/>
  <c r="C294" i="1147"/>
  <c r="C295" i="1147"/>
  <c r="C296" i="1147"/>
  <c r="C297" i="1147"/>
  <c r="C298" i="1147"/>
  <c r="C299" i="1147"/>
  <c r="C300" i="1147"/>
  <c r="C301" i="1147"/>
  <c r="C302" i="1147"/>
  <c r="C303" i="1147"/>
  <c r="C304" i="1147"/>
  <c r="C305" i="1147"/>
  <c r="C306" i="1147"/>
  <c r="C307" i="1147"/>
  <c r="C308" i="1147"/>
  <c r="C309" i="1147"/>
  <c r="C310" i="1147"/>
  <c r="C311" i="1147"/>
  <c r="C312" i="1147"/>
  <c r="C313" i="1147"/>
  <c r="C314" i="1147"/>
  <c r="C315" i="1147"/>
  <c r="C316" i="1147"/>
  <c r="C317" i="1147"/>
  <c r="C318" i="1147"/>
  <c r="C319" i="1147"/>
  <c r="C320" i="1147"/>
  <c r="C321" i="1147"/>
  <c r="C322" i="1147"/>
  <c r="C323" i="1147"/>
  <c r="C324" i="1147"/>
  <c r="C325" i="1147"/>
  <c r="C326" i="1147"/>
  <c r="C327" i="1147"/>
  <c r="C328" i="1147"/>
  <c r="C329" i="1147"/>
  <c r="C330" i="1147"/>
  <c r="C331" i="1147"/>
  <c r="C332" i="1147"/>
  <c r="C333" i="1147"/>
  <c r="C334" i="1147"/>
  <c r="C335" i="1147"/>
  <c r="C336" i="1147"/>
  <c r="C337" i="1147"/>
  <c r="C338" i="1147"/>
  <c r="C339" i="1147"/>
  <c r="C340" i="1147"/>
  <c r="C341" i="1147"/>
  <c r="C342" i="1147"/>
  <c r="C343" i="1147"/>
  <c r="C344" i="1147"/>
  <c r="C345" i="1147"/>
  <c r="C346" i="1147"/>
  <c r="C347" i="1147"/>
  <c r="C348" i="1147"/>
  <c r="C349" i="1147"/>
  <c r="C350" i="1147"/>
  <c r="C351" i="1147"/>
  <c r="C352" i="1147"/>
  <c r="C353" i="1147"/>
  <c r="C354" i="1147"/>
  <c r="C355" i="1147"/>
  <c r="C356" i="1147"/>
  <c r="C357" i="1147"/>
  <c r="C358" i="1147"/>
  <c r="C359" i="1147"/>
  <c r="C360" i="1147"/>
  <c r="C361" i="1147"/>
  <c r="C362" i="1147"/>
  <c r="C363" i="1147"/>
  <c r="C364" i="1147"/>
  <c r="C365" i="1147"/>
  <c r="C366" i="1147"/>
  <c r="C367" i="1147"/>
  <c r="C368" i="1147"/>
  <c r="C369" i="1147"/>
  <c r="C370" i="1147"/>
  <c r="C371" i="1147"/>
  <c r="C372" i="1147"/>
  <c r="C373" i="1147"/>
  <c r="C374" i="1147"/>
  <c r="C375" i="1147"/>
  <c r="C376" i="1147"/>
  <c r="C377" i="1147"/>
  <c r="C378" i="1147"/>
  <c r="C379" i="1147"/>
  <c r="C380" i="1147"/>
  <c r="C381" i="1147"/>
  <c r="C382" i="1147"/>
  <c r="C383" i="1147"/>
  <c r="C384" i="1147"/>
  <c r="C385" i="1147"/>
  <c r="C386" i="1147"/>
  <c r="C387" i="1147"/>
  <c r="C388" i="1147"/>
  <c r="C389" i="1147"/>
  <c r="C390" i="1147"/>
  <c r="C391" i="1147"/>
  <c r="C392" i="1147"/>
  <c r="C393" i="1147"/>
  <c r="C394" i="1147"/>
  <c r="C395" i="1147"/>
  <c r="C396" i="1147"/>
  <c r="C397" i="1147"/>
  <c r="C398" i="1147"/>
  <c r="C399" i="1147"/>
  <c r="C400" i="1147"/>
  <c r="C401" i="1147"/>
  <c r="C402" i="1147"/>
  <c r="C403" i="1147"/>
  <c r="C404" i="1147"/>
  <c r="C405" i="1147"/>
  <c r="C406" i="1147"/>
  <c r="C407" i="1147"/>
  <c r="C408" i="1147"/>
  <c r="C409" i="1147"/>
  <c r="C410" i="1147"/>
  <c r="C411" i="1147"/>
  <c r="C412" i="1147"/>
  <c r="C413" i="1147"/>
  <c r="C414" i="1147"/>
  <c r="C415" i="1147"/>
  <c r="C416" i="1147"/>
  <c r="C417" i="1147"/>
  <c r="C418" i="1147"/>
  <c r="C419" i="1147"/>
  <c r="C420" i="1147"/>
  <c r="C421" i="1147"/>
  <c r="C422" i="1147"/>
  <c r="C423" i="1147"/>
  <c r="C424" i="1147"/>
  <c r="C425" i="1147"/>
  <c r="C426" i="1147"/>
  <c r="C427" i="1147"/>
  <c r="C428" i="1147"/>
  <c r="C429" i="1147"/>
  <c r="C430" i="1147"/>
  <c r="C431" i="1147"/>
  <c r="C432" i="1147"/>
  <c r="C433" i="1147"/>
  <c r="C434" i="1147"/>
  <c r="C435" i="1147"/>
  <c r="C436" i="1147"/>
  <c r="C437" i="1147"/>
  <c r="C438" i="1147"/>
  <c r="C439" i="1147"/>
  <c r="C440" i="1147"/>
  <c r="C441" i="1147"/>
  <c r="C442" i="1147"/>
  <c r="C443" i="1147"/>
  <c r="C444" i="1147"/>
  <c r="C445" i="1147"/>
  <c r="C446" i="1147"/>
  <c r="C447" i="1147"/>
  <c r="C448" i="1147"/>
  <c r="C449" i="1147"/>
  <c r="C450" i="1147"/>
  <c r="C451" i="1147"/>
  <c r="C452" i="1147"/>
  <c r="C453" i="1147"/>
  <c r="C454" i="1147"/>
  <c r="C455" i="1147"/>
  <c r="C456" i="1147"/>
  <c r="C457" i="1147"/>
  <c r="C458" i="1147"/>
  <c r="C459" i="1147"/>
  <c r="C460" i="1147"/>
  <c r="C461" i="1147"/>
  <c r="C462" i="1147"/>
  <c r="C463" i="1147"/>
  <c r="C464" i="1147"/>
  <c r="C465" i="1147"/>
  <c r="C466" i="1147"/>
  <c r="C467" i="1147"/>
  <c r="C468" i="1147"/>
  <c r="C469" i="1147"/>
  <c r="C470" i="1147"/>
  <c r="C471" i="1147"/>
  <c r="C472" i="1147"/>
  <c r="C473" i="1147"/>
  <c r="C474" i="1147"/>
  <c r="C475" i="1147"/>
  <c r="C476" i="1147"/>
  <c r="C477" i="1147"/>
  <c r="C478" i="1147"/>
  <c r="C479" i="1147"/>
  <c r="C480" i="1147"/>
  <c r="C481" i="1147"/>
  <c r="C482" i="1147"/>
  <c r="C483" i="1147"/>
  <c r="C484" i="1147"/>
  <c r="C485" i="1147"/>
  <c r="C486" i="1147"/>
  <c r="C487" i="1147"/>
  <c r="C488" i="1147"/>
  <c r="C489" i="1147"/>
  <c r="C490" i="1147"/>
  <c r="C491" i="1147"/>
  <c r="C492" i="1147"/>
  <c r="C493" i="1147"/>
  <c r="C494" i="1147"/>
  <c r="C495" i="1147"/>
  <c r="C496" i="1147"/>
  <c r="C497" i="1147"/>
  <c r="C498" i="1147"/>
  <c r="C499" i="1147"/>
  <c r="C500" i="1147"/>
  <c r="C501" i="1147"/>
  <c r="C502" i="1147"/>
  <c r="C503" i="1147"/>
  <c r="C504" i="1147"/>
  <c r="C505" i="1147"/>
  <c r="C506" i="1147"/>
  <c r="C507" i="1147"/>
  <c r="C508" i="1147"/>
  <c r="C509" i="1147"/>
  <c r="C510" i="1147"/>
  <c r="C511" i="1147"/>
  <c r="C512" i="1147"/>
  <c r="C513" i="1147"/>
  <c r="C514" i="1147"/>
  <c r="C515" i="1147"/>
  <c r="C516" i="1147"/>
  <c r="C517" i="1147"/>
  <c r="C518" i="1147"/>
  <c r="C519" i="1147"/>
  <c r="C520" i="1147"/>
  <c r="C521" i="1147"/>
  <c r="C522" i="1147"/>
  <c r="C523" i="1147"/>
  <c r="C524" i="1147"/>
  <c r="C525" i="1147"/>
  <c r="C526" i="1147"/>
  <c r="C527" i="1147"/>
  <c r="C528" i="1147"/>
  <c r="C529" i="1147"/>
  <c r="C530" i="1147"/>
  <c r="C531" i="1147"/>
  <c r="C532" i="1147"/>
  <c r="C533" i="1147"/>
  <c r="C534" i="1147"/>
  <c r="C535" i="1147"/>
  <c r="C536" i="1147"/>
  <c r="C537" i="1147"/>
  <c r="C538" i="1147"/>
  <c r="C539" i="1147"/>
  <c r="C540" i="1147"/>
  <c r="C541" i="1147"/>
  <c r="C542" i="1147"/>
  <c r="C543" i="1147"/>
  <c r="C544" i="1147"/>
  <c r="C545" i="1147"/>
  <c r="C546" i="1147"/>
  <c r="C547" i="1147"/>
  <c r="C548" i="1147"/>
  <c r="C549" i="1147"/>
  <c r="C550" i="1147"/>
  <c r="C551" i="1147"/>
  <c r="C552" i="1147"/>
  <c r="C553" i="1147"/>
  <c r="C554" i="1147"/>
  <c r="C555" i="1147"/>
  <c r="C556" i="1147"/>
  <c r="C557" i="1147"/>
  <c r="C558" i="1147"/>
  <c r="C559" i="1147"/>
  <c r="C560" i="1147"/>
  <c r="C561" i="1147"/>
  <c r="C562" i="1147"/>
  <c r="C563" i="1147"/>
  <c r="C564" i="1147"/>
  <c r="C565" i="1147"/>
  <c r="C566" i="1147"/>
  <c r="C567" i="1147"/>
  <c r="C568" i="1147"/>
  <c r="C569" i="1147"/>
  <c r="C570" i="1147"/>
  <c r="C571" i="1147"/>
  <c r="C572" i="1147"/>
  <c r="C573" i="1147"/>
  <c r="C574" i="1147"/>
  <c r="C575" i="1147"/>
  <c r="C576" i="1147"/>
  <c r="C577" i="1147"/>
  <c r="C578" i="1147"/>
  <c r="C579" i="1147"/>
  <c r="C580" i="1147"/>
  <c r="C581" i="1147"/>
  <c r="C582" i="1147"/>
  <c r="C583" i="1147"/>
  <c r="C584" i="1147"/>
  <c r="C585" i="1147"/>
  <c r="C586" i="1147"/>
  <c r="C587" i="1147"/>
  <c r="C588" i="1147"/>
  <c r="C589" i="1147"/>
  <c r="C590" i="1147"/>
  <c r="C591" i="1147"/>
  <c r="C592" i="1147"/>
  <c r="C593" i="1147"/>
  <c r="C594" i="1147"/>
  <c r="C595" i="1147"/>
  <c r="C596" i="1147"/>
  <c r="C597" i="1147"/>
  <c r="C598" i="1147"/>
  <c r="C599" i="1147"/>
  <c r="C600" i="1147"/>
  <c r="C601" i="1147"/>
  <c r="C602" i="1147"/>
  <c r="C603" i="1147"/>
  <c r="C604" i="1147"/>
  <c r="C605" i="1147"/>
  <c r="C606" i="1147"/>
  <c r="C607" i="1147"/>
  <c r="C608" i="1147"/>
  <c r="C609" i="1147"/>
  <c r="C610" i="1147"/>
  <c r="C611" i="1147"/>
  <c r="C612" i="1147"/>
  <c r="C613" i="1147"/>
  <c r="C614" i="1147"/>
  <c r="C615" i="1147"/>
  <c r="C616" i="1147"/>
  <c r="C617" i="1147"/>
  <c r="C618" i="1147"/>
  <c r="C619" i="1147"/>
  <c r="C620" i="1147"/>
  <c r="C621" i="1147"/>
  <c r="C622" i="1147"/>
  <c r="C623" i="1147"/>
  <c r="C624" i="1147"/>
  <c r="C625" i="1147"/>
  <c r="C626" i="1147"/>
  <c r="C627" i="1147"/>
  <c r="C628" i="1147"/>
  <c r="C629" i="1147"/>
  <c r="C630" i="1147"/>
  <c r="C631" i="1147"/>
  <c r="C632" i="1147"/>
  <c r="C633" i="1147"/>
  <c r="C634" i="1147"/>
  <c r="C635" i="1147"/>
  <c r="C636" i="1147"/>
  <c r="C637" i="1147"/>
  <c r="C638" i="1147"/>
  <c r="C639" i="1147"/>
  <c r="C640" i="1147"/>
  <c r="C641" i="1147"/>
  <c r="C642" i="1147"/>
  <c r="C643" i="1147"/>
  <c r="C644" i="1147"/>
  <c r="C645" i="1147"/>
  <c r="C646" i="1147"/>
  <c r="C647" i="1147"/>
  <c r="C648" i="1147"/>
  <c r="C649" i="1147"/>
  <c r="C650" i="1147"/>
  <c r="C651" i="1147"/>
  <c r="C652" i="1147"/>
  <c r="C653" i="1147"/>
  <c r="C654" i="1147"/>
  <c r="C655" i="1147"/>
  <c r="C656" i="1147"/>
  <c r="C657" i="1147"/>
  <c r="C658" i="1147"/>
  <c r="C659" i="1147"/>
  <c r="C660" i="1147"/>
  <c r="C661" i="1147"/>
  <c r="C662" i="1147"/>
  <c r="C663" i="1147"/>
  <c r="C664" i="1147"/>
  <c r="C665" i="1147"/>
  <c r="C666" i="1147"/>
  <c r="C667" i="1147"/>
  <c r="C668" i="1147"/>
  <c r="C669" i="1147"/>
  <c r="C670" i="1147"/>
  <c r="C671" i="1147"/>
  <c r="C672" i="1147"/>
  <c r="C673" i="1147"/>
  <c r="C674" i="1147"/>
  <c r="C675" i="1147"/>
  <c r="C676" i="1147"/>
  <c r="C677" i="1147"/>
  <c r="C678" i="1147"/>
  <c r="C679" i="1147"/>
  <c r="C680" i="1147"/>
  <c r="C681" i="1147"/>
  <c r="C682" i="1147"/>
  <c r="C683" i="1147"/>
  <c r="C684" i="1147"/>
  <c r="C685" i="1147"/>
  <c r="C686" i="1147"/>
  <c r="C687" i="1147"/>
  <c r="C688" i="1147"/>
  <c r="C689" i="1147"/>
  <c r="C690" i="1147"/>
  <c r="C691" i="1147"/>
  <c r="C692" i="1147"/>
  <c r="C693" i="1147"/>
  <c r="C694" i="1147"/>
  <c r="C695" i="1147"/>
  <c r="C696" i="1147"/>
  <c r="C697" i="1147"/>
  <c r="C698" i="1147"/>
  <c r="C699" i="1147"/>
  <c r="C700" i="1147"/>
  <c r="C701" i="1147"/>
  <c r="C702" i="1147"/>
  <c r="C703" i="1147"/>
  <c r="C704" i="1147"/>
  <c r="C705" i="1147"/>
  <c r="C706" i="1147"/>
  <c r="C707" i="1147"/>
  <c r="C708" i="1147"/>
  <c r="C709" i="1147"/>
  <c r="C710" i="1147"/>
  <c r="C711" i="1147"/>
  <c r="C712" i="1147"/>
  <c r="C713" i="1147"/>
  <c r="C714" i="1147"/>
  <c r="C715" i="1147"/>
  <c r="C716" i="1147"/>
  <c r="C717" i="1147"/>
  <c r="C718" i="1147"/>
  <c r="C719" i="1147"/>
  <c r="C720" i="1147"/>
  <c r="C721" i="1147"/>
  <c r="C722" i="1147"/>
  <c r="C723" i="1147"/>
  <c r="C724" i="1147"/>
  <c r="C725" i="1147"/>
  <c r="C726" i="1147"/>
  <c r="C727" i="1147"/>
  <c r="C728" i="1147"/>
  <c r="C729" i="1147"/>
  <c r="C730" i="1147"/>
  <c r="C731" i="1147"/>
  <c r="C732" i="1147"/>
  <c r="C733" i="1147"/>
  <c r="C734" i="1147"/>
  <c r="C735" i="1147"/>
  <c r="C736" i="1147"/>
  <c r="C737" i="1147"/>
  <c r="C738" i="1147"/>
  <c r="C739" i="1147"/>
  <c r="C740" i="1147"/>
  <c r="C741" i="1147"/>
  <c r="C742" i="1147"/>
  <c r="C743" i="1147"/>
  <c r="C744" i="1147"/>
  <c r="C745" i="1147"/>
  <c r="C746" i="1147"/>
  <c r="C747" i="1147"/>
  <c r="C748" i="1147"/>
  <c r="C749" i="1147"/>
  <c r="C750" i="1147"/>
  <c r="C751" i="1147"/>
  <c r="C752" i="1147"/>
  <c r="C753" i="1147"/>
  <c r="C754" i="1147"/>
  <c r="C755" i="1147"/>
  <c r="C756" i="1147"/>
  <c r="C757" i="1147"/>
  <c r="C758" i="1147"/>
  <c r="C759" i="1147"/>
  <c r="C760" i="1147"/>
  <c r="C761" i="1147"/>
  <c r="C762" i="1147"/>
  <c r="C763" i="1147"/>
  <c r="C764" i="1147"/>
  <c r="C765" i="1147"/>
  <c r="C766" i="1147"/>
  <c r="C767" i="1147"/>
  <c r="C768" i="1147"/>
  <c r="C769" i="1147"/>
  <c r="C770" i="1147"/>
  <c r="C771" i="1147"/>
  <c r="C772" i="1147"/>
  <c r="C773" i="1147"/>
  <c r="C774" i="1147"/>
  <c r="C775" i="1147"/>
  <c r="C776" i="1147"/>
  <c r="C777" i="1147"/>
  <c r="C778" i="1147"/>
  <c r="C779" i="1147"/>
  <c r="C780" i="1147"/>
  <c r="C781" i="1147"/>
  <c r="C782" i="1147"/>
  <c r="C783" i="1147"/>
  <c r="C784" i="1147"/>
  <c r="C785" i="1147"/>
  <c r="C786" i="1147"/>
  <c r="C787" i="1147"/>
  <c r="C788" i="1147"/>
  <c r="C789" i="1147"/>
  <c r="C790" i="1147"/>
  <c r="C791" i="1147"/>
  <c r="C792" i="1147"/>
  <c r="C793" i="1147"/>
  <c r="C794" i="1147"/>
  <c r="C795" i="1147"/>
  <c r="C796" i="1147"/>
  <c r="C797" i="1147"/>
  <c r="C798" i="1147"/>
  <c r="C799" i="1147"/>
  <c r="C800" i="1147"/>
  <c r="C801" i="1147"/>
  <c r="C802" i="1147"/>
  <c r="C803" i="1147"/>
  <c r="C804" i="1147"/>
  <c r="C805" i="1147"/>
  <c r="C806" i="1147"/>
  <c r="C807" i="1147"/>
  <c r="C808" i="1147"/>
  <c r="C809" i="1147"/>
  <c r="C810" i="1147"/>
  <c r="C811" i="1147"/>
  <c r="C812" i="1147"/>
  <c r="C813" i="1147"/>
  <c r="C814" i="1147"/>
  <c r="C815" i="1147"/>
  <c r="C816" i="1147"/>
  <c r="C817" i="1147"/>
  <c r="C818" i="1147"/>
  <c r="C819" i="1147"/>
  <c r="C820" i="1147"/>
  <c r="C821" i="1147"/>
  <c r="C822" i="1147"/>
  <c r="C823" i="1147"/>
  <c r="C824" i="1147"/>
  <c r="C825" i="1147"/>
  <c r="C826" i="1147"/>
  <c r="C827" i="1147"/>
  <c r="C828" i="1147"/>
  <c r="C829" i="1147"/>
  <c r="C830" i="1147"/>
  <c r="C831" i="1147"/>
  <c r="C832" i="1147"/>
  <c r="C833" i="1147"/>
  <c r="C834" i="1147"/>
  <c r="C835" i="1147"/>
  <c r="C836" i="1147"/>
  <c r="C837" i="1147"/>
  <c r="C838" i="1147"/>
  <c r="C839" i="1147"/>
  <c r="C840" i="1147"/>
  <c r="C841" i="1147"/>
  <c r="C842" i="1147"/>
  <c r="C843" i="1147"/>
  <c r="C844" i="1147"/>
  <c r="C845" i="1147"/>
  <c r="C846" i="1147"/>
  <c r="C847" i="1147"/>
  <c r="C848" i="1147"/>
  <c r="C849" i="1147"/>
  <c r="C850" i="1147"/>
  <c r="C851" i="1147"/>
  <c r="C852" i="1147"/>
  <c r="C853" i="1147"/>
  <c r="C854" i="1147"/>
  <c r="C855" i="1147"/>
  <c r="C856" i="1147"/>
  <c r="C857" i="1147"/>
  <c r="C858" i="1147"/>
  <c r="C859" i="1147"/>
  <c r="C860" i="1147"/>
  <c r="C861" i="1147"/>
  <c r="C862" i="1147"/>
  <c r="C863" i="1147"/>
  <c r="C864" i="1147"/>
  <c r="C865" i="1147"/>
  <c r="C866" i="1147"/>
  <c r="C867" i="1147"/>
  <c r="C868" i="1147"/>
  <c r="C869" i="1147"/>
  <c r="C870" i="1147"/>
  <c r="C871" i="1147"/>
  <c r="C872" i="1147"/>
  <c r="C873" i="1147"/>
  <c r="C874" i="1147"/>
  <c r="C875" i="1147"/>
  <c r="C876" i="1147"/>
  <c r="C877" i="1147"/>
  <c r="C878" i="1147"/>
  <c r="C879" i="1147"/>
  <c r="C880" i="1147"/>
  <c r="C881" i="1147"/>
  <c r="C882" i="1147"/>
  <c r="C883" i="1147"/>
  <c r="C884" i="1147"/>
  <c r="C885" i="1147"/>
  <c r="C886" i="1147"/>
  <c r="C887" i="1147"/>
  <c r="C888" i="1147"/>
  <c r="C889" i="1147"/>
  <c r="C890" i="1147"/>
  <c r="C891" i="1147"/>
  <c r="C892" i="1147"/>
  <c r="C893" i="1147"/>
  <c r="C894" i="1147"/>
  <c r="C895" i="1147"/>
  <c r="C896" i="1147"/>
  <c r="C897" i="1147"/>
  <c r="C898" i="1147"/>
  <c r="C899" i="1147"/>
  <c r="C900" i="1147"/>
  <c r="C901" i="1147"/>
  <c r="C902" i="1147"/>
  <c r="C903" i="1147"/>
  <c r="C904" i="1147"/>
  <c r="C905" i="1147"/>
  <c r="C906" i="1147"/>
  <c r="C907" i="1147"/>
  <c r="C908" i="1147"/>
  <c r="C909" i="1147"/>
  <c r="C910" i="1147"/>
  <c r="C911" i="1147"/>
  <c r="C912" i="1147"/>
  <c r="C913" i="1147"/>
  <c r="C914" i="1147"/>
  <c r="C915" i="1147"/>
  <c r="C916" i="1147"/>
  <c r="C917" i="1147"/>
  <c r="C918" i="1147"/>
  <c r="C919" i="1147"/>
  <c r="C920" i="1147"/>
  <c r="C921" i="1147"/>
  <c r="C922" i="1147"/>
  <c r="C923" i="1147"/>
  <c r="C924" i="1147"/>
  <c r="C925" i="1147"/>
  <c r="C926" i="1147"/>
  <c r="C927" i="1147"/>
  <c r="C928" i="1147"/>
  <c r="C929" i="1147"/>
  <c r="C930" i="1147"/>
  <c r="C931" i="1147"/>
  <c r="C932" i="1147"/>
  <c r="C933" i="1147"/>
  <c r="C934" i="1147"/>
  <c r="C935" i="1147"/>
  <c r="C936" i="1147"/>
  <c r="C937" i="1147"/>
  <c r="C938" i="1147"/>
  <c r="C939" i="1147"/>
  <c r="C940" i="1147"/>
  <c r="C941" i="1147"/>
  <c r="C942" i="1147"/>
  <c r="C943" i="1147"/>
  <c r="C944" i="1147"/>
  <c r="C945" i="1147"/>
  <c r="C946" i="1147"/>
  <c r="C947" i="1147"/>
  <c r="C948" i="1147"/>
  <c r="C949" i="1147"/>
  <c r="C950" i="1147"/>
  <c r="C951" i="1147"/>
  <c r="C952" i="1147"/>
  <c r="C953" i="1147"/>
  <c r="C954" i="1147"/>
  <c r="C955" i="1147"/>
  <c r="C956" i="1147"/>
  <c r="C957" i="1147"/>
  <c r="C958" i="1147"/>
  <c r="C959" i="1147"/>
  <c r="C960" i="1147"/>
  <c r="C961" i="1147"/>
  <c r="C962" i="1147"/>
  <c r="C963" i="1147"/>
  <c r="C964" i="1147"/>
  <c r="C965" i="1147"/>
  <c r="C966" i="1147"/>
  <c r="C967" i="1147"/>
  <c r="C968" i="1147"/>
  <c r="C969" i="1147"/>
  <c r="C970" i="1147"/>
  <c r="C971" i="1147"/>
  <c r="C972" i="1147"/>
  <c r="C973" i="1147"/>
  <c r="C974" i="1147"/>
  <c r="C975" i="1147"/>
  <c r="C976" i="1147"/>
  <c r="C977" i="1147"/>
  <c r="C978" i="1147"/>
  <c r="C979" i="1147"/>
  <c r="C980" i="1147"/>
  <c r="C981" i="1147"/>
  <c r="C982" i="1147"/>
  <c r="C983" i="1147"/>
  <c r="C984" i="1147"/>
  <c r="C985" i="1147"/>
  <c r="C986" i="1147"/>
  <c r="C987" i="1147"/>
  <c r="C988" i="1147"/>
  <c r="C989" i="1147"/>
  <c r="C990" i="1147"/>
  <c r="C991" i="1147"/>
  <c r="C992" i="1147"/>
  <c r="C993" i="1147"/>
  <c r="C994" i="1147"/>
  <c r="C995" i="1147"/>
  <c r="C996" i="1147"/>
  <c r="C997" i="1147"/>
  <c r="C998" i="1147"/>
  <c r="C999" i="1147"/>
  <c r="C1000" i="1147"/>
  <c r="C1001" i="1147"/>
  <c r="C1002" i="1147"/>
  <c r="C1003" i="1147"/>
  <c r="C1004" i="1147"/>
  <c r="C1005" i="1147"/>
  <c r="C1006" i="1147"/>
  <c r="C1007" i="1147"/>
  <c r="C1008" i="1147"/>
  <c r="C1009" i="1147"/>
  <c r="C1010" i="1147"/>
  <c r="C1011" i="1147"/>
  <c r="C1012" i="1147"/>
  <c r="C1013" i="1147"/>
  <c r="C1014" i="1147"/>
  <c r="C1015" i="1147"/>
  <c r="C1016" i="1147"/>
  <c r="C1017" i="1147"/>
  <c r="C1018" i="1147"/>
  <c r="C1019" i="1147"/>
  <c r="C1020" i="1147"/>
  <c r="C1021" i="1147"/>
  <c r="C1022" i="1147"/>
  <c r="C1023" i="1147"/>
  <c r="C1024" i="1147"/>
  <c r="C1025" i="1147"/>
  <c r="C1026" i="1147"/>
  <c r="C1027" i="1147"/>
  <c r="C1028" i="1147"/>
  <c r="C1029" i="1147"/>
  <c r="C1030" i="1147"/>
  <c r="C1031" i="1147"/>
  <c r="C1032" i="1147"/>
  <c r="C1033" i="1147"/>
  <c r="C1034" i="1147"/>
  <c r="C1035" i="1147"/>
  <c r="C1036" i="1147"/>
  <c r="C1037" i="1147"/>
  <c r="C1038" i="1147"/>
  <c r="C1039" i="1147"/>
  <c r="C1040" i="1147"/>
  <c r="C1041" i="1147"/>
  <c r="C1042" i="1147"/>
  <c r="C1043" i="1147"/>
  <c r="C1044" i="1147"/>
  <c r="C1045" i="1147"/>
  <c r="C1046" i="1147"/>
  <c r="C1047" i="1147"/>
  <c r="C1048" i="1147"/>
  <c r="C1049" i="1147"/>
  <c r="C1050" i="1147"/>
  <c r="C1051" i="1147"/>
  <c r="C1052" i="1147"/>
  <c r="C1053" i="1147"/>
  <c r="C1054" i="1147"/>
  <c r="C1055" i="1147"/>
  <c r="C1056" i="1147"/>
  <c r="C1057" i="1147"/>
  <c r="C1058" i="1147"/>
  <c r="C1059" i="1147"/>
  <c r="C1060" i="1147"/>
  <c r="C1061" i="1147"/>
  <c r="C1062" i="1147"/>
  <c r="C1063" i="1147"/>
  <c r="C1064" i="1147"/>
  <c r="C1065" i="1147"/>
  <c r="C1066" i="1147"/>
  <c r="C1067" i="1147"/>
  <c r="C1068" i="1147"/>
  <c r="C1069" i="1147"/>
  <c r="C1070" i="1147"/>
  <c r="C1071" i="1147"/>
  <c r="C1072" i="1147"/>
  <c r="C1073" i="1147"/>
  <c r="C1074" i="1147"/>
  <c r="C1075" i="1147"/>
  <c r="C1076" i="1147"/>
  <c r="C1077" i="1147"/>
  <c r="C1078" i="1147"/>
  <c r="C1079" i="1147"/>
  <c r="C1080" i="1147"/>
  <c r="C1081" i="1147"/>
  <c r="C1082" i="1147"/>
  <c r="C1083" i="1147"/>
  <c r="C1084" i="1147"/>
  <c r="C1085" i="1147"/>
  <c r="C1086" i="1147"/>
  <c r="C1087" i="1147"/>
  <c r="C1088" i="1147"/>
  <c r="C1089" i="1147"/>
  <c r="C1090" i="1147"/>
  <c r="C1091" i="1147"/>
  <c r="C1092" i="1147"/>
  <c r="C1093" i="1147"/>
  <c r="C1094" i="1147"/>
  <c r="C1095" i="1147"/>
  <c r="C1096" i="1147"/>
  <c r="C1097" i="1147"/>
  <c r="C1098" i="1147"/>
  <c r="C1099" i="1147"/>
  <c r="C1100" i="1147"/>
  <c r="C1101" i="1147"/>
  <c r="C1102" i="1147"/>
  <c r="C1103" i="1147"/>
  <c r="C1104" i="1147"/>
  <c r="C1105" i="1147"/>
  <c r="C1106" i="1147"/>
  <c r="C1107" i="1147"/>
  <c r="C1108" i="1147"/>
  <c r="C1109" i="1147"/>
  <c r="C1110" i="1147"/>
  <c r="C1111" i="1147"/>
  <c r="C1112" i="1147"/>
  <c r="C1113" i="1147"/>
  <c r="C1114" i="1147"/>
  <c r="C1115" i="1147"/>
  <c r="C1116" i="1147"/>
  <c r="C1117" i="1147"/>
  <c r="C1118" i="1147"/>
  <c r="C1119" i="1147"/>
  <c r="C1120" i="1147"/>
  <c r="C1121" i="1147"/>
  <c r="C1122" i="1147"/>
  <c r="C1123" i="1147"/>
  <c r="C1124" i="1147"/>
  <c r="C1125" i="1147"/>
  <c r="C1126" i="1147"/>
  <c r="C1127" i="1147"/>
  <c r="C1128" i="1147"/>
  <c r="C1129" i="1147"/>
  <c r="C1130" i="1147"/>
  <c r="C1131" i="1147"/>
  <c r="C1132" i="1147"/>
  <c r="C1133" i="1147"/>
  <c r="C1134" i="1147"/>
  <c r="C1135" i="1147"/>
  <c r="C1136" i="1147"/>
  <c r="C1137" i="1147"/>
  <c r="C1138" i="1147"/>
  <c r="C1139" i="1147"/>
  <c r="C1140" i="1147"/>
  <c r="C1141" i="1147"/>
  <c r="C1142" i="1147"/>
  <c r="C1143" i="1147"/>
  <c r="C1144" i="1147"/>
  <c r="C1145" i="1147"/>
  <c r="C1146" i="1147"/>
  <c r="C1147" i="1147"/>
  <c r="C1148" i="1147"/>
  <c r="C1149" i="1147"/>
  <c r="C1150" i="1147"/>
  <c r="C1151" i="1147"/>
  <c r="C1152" i="1147"/>
  <c r="C1153" i="1147"/>
  <c r="C1154" i="1147"/>
  <c r="C1155" i="1147"/>
  <c r="C1156" i="1147"/>
  <c r="C1157" i="1147"/>
  <c r="C1158" i="1147"/>
  <c r="C1159" i="1147"/>
  <c r="C1160" i="1147"/>
  <c r="C1161" i="1147"/>
  <c r="C1162" i="1147"/>
  <c r="C1163" i="1147"/>
  <c r="C1164" i="1147"/>
  <c r="C1165" i="1147"/>
  <c r="C1166" i="1147"/>
  <c r="C1167" i="1147"/>
  <c r="C1168" i="1147"/>
  <c r="C1169" i="1147"/>
  <c r="C1170" i="1147"/>
  <c r="C1171" i="1147"/>
  <c r="C1172" i="1147"/>
  <c r="C1173" i="1147"/>
  <c r="C1174" i="1147"/>
  <c r="C1175" i="1147"/>
  <c r="C1176" i="1147"/>
  <c r="C1177" i="1147"/>
  <c r="C1178" i="1147"/>
  <c r="C1179" i="1147"/>
  <c r="C1180" i="1147"/>
  <c r="C1181" i="1147"/>
  <c r="C1182" i="1147"/>
  <c r="C1183" i="1147"/>
  <c r="C1184" i="1147"/>
  <c r="C1185" i="1147"/>
  <c r="C1186" i="1147"/>
  <c r="C1187" i="1147"/>
  <c r="C1188" i="1147"/>
  <c r="C1189" i="1147"/>
  <c r="C1190" i="1147"/>
  <c r="C1191" i="1147"/>
  <c r="C1192" i="1147"/>
  <c r="C1193" i="1147"/>
  <c r="C1194" i="1147"/>
  <c r="C1195" i="1147"/>
  <c r="C1196" i="1147"/>
  <c r="C1197" i="1147"/>
  <c r="C1198" i="1147"/>
  <c r="C1199" i="1147"/>
  <c r="C1200" i="1147"/>
  <c r="C1201" i="1147"/>
  <c r="C1202" i="1147"/>
  <c r="C1203" i="1147"/>
  <c r="C1204" i="1147"/>
  <c r="C1205" i="1147"/>
  <c r="C1206" i="1147"/>
  <c r="C1207" i="1147"/>
  <c r="C1208" i="1147"/>
  <c r="C1209" i="1147"/>
  <c r="C1210" i="1147"/>
  <c r="C1211" i="1147"/>
  <c r="C1212" i="1147"/>
  <c r="C1213" i="1147"/>
  <c r="C1214" i="1147"/>
  <c r="C1215" i="1147"/>
  <c r="C1216" i="1147"/>
  <c r="C1217" i="1147"/>
  <c r="C1218" i="1147"/>
  <c r="C1219" i="1147"/>
  <c r="C1220" i="1147"/>
  <c r="C1221" i="1147"/>
  <c r="C1222" i="1147"/>
  <c r="C1223" i="1147"/>
  <c r="C1224" i="1147"/>
  <c r="C1225" i="1147"/>
  <c r="C1226" i="1147"/>
  <c r="C1227" i="1147"/>
  <c r="C1228" i="1147"/>
  <c r="C1229" i="1147"/>
  <c r="C1230" i="1147"/>
  <c r="C1231" i="1147"/>
  <c r="C1232" i="1147"/>
  <c r="C1233" i="1147"/>
  <c r="C1234" i="1147"/>
  <c r="C1235" i="1147"/>
  <c r="C1236" i="1147"/>
  <c r="C1237" i="1147"/>
  <c r="C1238" i="1147"/>
  <c r="C1239" i="1147"/>
  <c r="C1240" i="1147"/>
  <c r="C1241" i="1147"/>
  <c r="C1242" i="1147"/>
  <c r="C1243" i="1147"/>
  <c r="C1244" i="1147"/>
  <c r="C1245" i="1147"/>
  <c r="C1246" i="1147"/>
  <c r="C1247" i="1147"/>
  <c r="C1248" i="1147"/>
  <c r="C1249" i="1147"/>
  <c r="C1250" i="1147"/>
  <c r="C1251" i="1147"/>
  <c r="C1252" i="1147"/>
  <c r="C1253" i="1147"/>
  <c r="C1254" i="1147"/>
  <c r="C1255" i="1147"/>
  <c r="C1256" i="1147"/>
  <c r="C1257" i="1147"/>
  <c r="C1258" i="1147"/>
  <c r="C1259" i="1147"/>
  <c r="C1260" i="1147"/>
  <c r="C1261" i="1147"/>
  <c r="C1262" i="1147"/>
  <c r="C1263" i="1147"/>
  <c r="C1264" i="1147"/>
  <c r="C1265" i="1147"/>
  <c r="C1266" i="1147"/>
  <c r="C1267" i="1147"/>
  <c r="C1268" i="1147"/>
  <c r="C1269" i="1147"/>
  <c r="C1270" i="1147"/>
  <c r="C1271" i="1147"/>
  <c r="C1272" i="1147"/>
  <c r="C1273" i="1147"/>
  <c r="C1274" i="1147"/>
  <c r="C1275" i="1147"/>
  <c r="C1276" i="1147"/>
  <c r="C1277" i="1147"/>
  <c r="C1278" i="1147"/>
  <c r="C1279" i="1147"/>
  <c r="C1280" i="1147"/>
  <c r="C1281" i="1147"/>
  <c r="C1282" i="1147"/>
  <c r="C1283" i="1147"/>
  <c r="C1284" i="1147"/>
  <c r="C1285" i="1147"/>
  <c r="C1286" i="1147"/>
  <c r="C1287" i="1147"/>
  <c r="C1288" i="1147"/>
  <c r="C1289" i="1147"/>
  <c r="C1290" i="1147"/>
  <c r="C1291" i="1147"/>
  <c r="C1292" i="1147"/>
  <c r="C1293" i="1147"/>
  <c r="C1294" i="1147"/>
  <c r="C1295" i="1147"/>
  <c r="C1296" i="1147"/>
  <c r="C1297" i="1147"/>
  <c r="C1298" i="1147"/>
  <c r="C1299" i="1147"/>
  <c r="C1300" i="1147"/>
  <c r="C1301" i="1147"/>
  <c r="C1302" i="1147"/>
  <c r="C1303" i="1147"/>
  <c r="C1304" i="1147"/>
  <c r="C1305" i="1147"/>
  <c r="C1306" i="1147"/>
  <c r="C1307" i="1147"/>
  <c r="C1308" i="1147"/>
  <c r="C1309" i="1147"/>
  <c r="C1310" i="1147"/>
  <c r="C1311" i="1147"/>
  <c r="C1312" i="1147"/>
  <c r="C1313" i="1147"/>
  <c r="C1314" i="1147"/>
  <c r="C1315" i="1147"/>
  <c r="C1316" i="1147"/>
  <c r="C1317" i="1147"/>
  <c r="C1318" i="1147"/>
  <c r="C1319" i="1147"/>
  <c r="C1320" i="1147"/>
  <c r="C1321" i="1147"/>
  <c r="C1322" i="1147"/>
  <c r="C1323" i="1147"/>
  <c r="C1324" i="1147"/>
  <c r="C1325" i="1147"/>
  <c r="C1326" i="1147"/>
  <c r="C1327" i="1147"/>
  <c r="C1328" i="1147"/>
  <c r="C1329" i="1147"/>
  <c r="C1330" i="1147"/>
  <c r="C1331" i="1147"/>
  <c r="C1332" i="1147"/>
  <c r="C1333" i="1147"/>
  <c r="C1334" i="1147"/>
  <c r="C2" i="1147"/>
  <c r="A2" i="1147"/>
  <c r="B3" i="1147"/>
  <c r="B4" i="1147"/>
  <c r="B5" i="1147"/>
  <c r="B6" i="1147"/>
  <c r="B7" i="1147"/>
  <c r="B8" i="1147"/>
  <c r="B9" i="1147"/>
  <c r="B10" i="1147"/>
  <c r="B11" i="1147"/>
  <c r="B12" i="1147"/>
  <c r="B13" i="1147"/>
  <c r="B14" i="1147"/>
  <c r="B15" i="1147"/>
  <c r="B16" i="1147"/>
  <c r="B17" i="1147"/>
  <c r="B18" i="1147"/>
  <c r="B19" i="1147"/>
  <c r="B20" i="1147"/>
  <c r="B21" i="1147"/>
  <c r="B22" i="1147"/>
  <c r="B23" i="1147"/>
  <c r="B24" i="1147"/>
  <c r="B25" i="1147"/>
  <c r="B26" i="1147"/>
  <c r="B27" i="1147"/>
  <c r="B28" i="1147"/>
  <c r="B29" i="1147"/>
  <c r="B30" i="1147"/>
  <c r="B31" i="1147"/>
  <c r="B32" i="1147"/>
  <c r="B33" i="1147"/>
  <c r="B34" i="1147"/>
  <c r="B35" i="1147"/>
  <c r="B36" i="1147"/>
  <c r="B37" i="1147"/>
  <c r="B38" i="1147"/>
  <c r="B39" i="1147"/>
  <c r="B40" i="1147"/>
  <c r="B41" i="1147"/>
  <c r="B42" i="1147"/>
  <c r="B43" i="1147"/>
  <c r="B44" i="1147"/>
  <c r="B45" i="1147"/>
  <c r="B46" i="1147"/>
  <c r="B47" i="1147"/>
  <c r="B48" i="1147"/>
  <c r="B49" i="1147"/>
  <c r="B50" i="1147"/>
  <c r="B51" i="1147"/>
  <c r="B52" i="1147"/>
  <c r="B53" i="1147"/>
  <c r="B54" i="1147"/>
  <c r="B55" i="1147"/>
  <c r="B56" i="1147"/>
  <c r="B57" i="1147"/>
  <c r="B58" i="1147"/>
  <c r="B59" i="1147"/>
  <c r="B60" i="1147"/>
  <c r="B61" i="1147"/>
  <c r="B62" i="1147"/>
  <c r="B63" i="1147"/>
  <c r="B64" i="1147"/>
  <c r="B65" i="1147"/>
  <c r="B66" i="1147"/>
  <c r="B67" i="1147"/>
  <c r="B68" i="1147"/>
  <c r="B69" i="1147"/>
  <c r="B70" i="1147"/>
  <c r="B71" i="1147"/>
  <c r="B72" i="1147"/>
  <c r="B73" i="1147"/>
  <c r="B74" i="1147"/>
  <c r="B75" i="1147"/>
  <c r="B76" i="1147"/>
  <c r="B77" i="1147"/>
  <c r="B78" i="1147"/>
  <c r="B79" i="1147"/>
  <c r="B80" i="1147"/>
  <c r="B81" i="1147"/>
  <c r="B82" i="1147"/>
  <c r="B83" i="1147"/>
  <c r="B84" i="1147"/>
  <c r="B85" i="1147"/>
  <c r="B86" i="1147"/>
  <c r="B87" i="1147"/>
  <c r="B88" i="1147"/>
  <c r="B89" i="1147"/>
  <c r="B90" i="1147"/>
  <c r="B91" i="1147"/>
  <c r="B92" i="1147"/>
  <c r="B93" i="1147"/>
  <c r="B94" i="1147"/>
  <c r="B95" i="1147"/>
  <c r="B96" i="1147"/>
  <c r="B97" i="1147"/>
  <c r="B98" i="1147"/>
  <c r="B99" i="1147"/>
  <c r="B100" i="1147"/>
  <c r="B101" i="1147"/>
  <c r="B102" i="1147"/>
  <c r="B103" i="1147"/>
  <c r="B104" i="1147"/>
  <c r="B105" i="1147"/>
  <c r="B106" i="1147"/>
  <c r="B107" i="1147"/>
  <c r="B108" i="1147"/>
  <c r="B109" i="1147"/>
  <c r="B110" i="1147"/>
  <c r="B111" i="1147"/>
  <c r="B112" i="1147"/>
  <c r="B113" i="1147"/>
  <c r="B114" i="1147"/>
  <c r="B115" i="1147"/>
  <c r="B116" i="1147"/>
  <c r="B117" i="1147"/>
  <c r="B118" i="1147"/>
  <c r="B119" i="1147"/>
  <c r="B120" i="1147"/>
  <c r="B121" i="1147"/>
  <c r="B122" i="1147"/>
  <c r="B123" i="1147"/>
  <c r="B124" i="1147"/>
  <c r="B125" i="1147"/>
  <c r="B126" i="1147"/>
  <c r="B127" i="1147"/>
  <c r="B128" i="1147"/>
  <c r="B129" i="1147"/>
  <c r="B130" i="1147"/>
  <c r="B131" i="1147"/>
  <c r="B132" i="1147"/>
  <c r="B133" i="1147"/>
  <c r="B134" i="1147"/>
  <c r="B135" i="1147"/>
  <c r="B136" i="1147"/>
  <c r="B137" i="1147"/>
  <c r="B138" i="1147"/>
  <c r="B139" i="1147"/>
  <c r="B140" i="1147"/>
  <c r="B141" i="1147"/>
  <c r="B142" i="1147"/>
  <c r="B143" i="1147"/>
  <c r="B144" i="1147"/>
  <c r="B145" i="1147"/>
  <c r="B146" i="1147"/>
  <c r="B147" i="1147"/>
  <c r="B148" i="1147"/>
  <c r="B149" i="1147"/>
  <c r="B150" i="1147"/>
  <c r="B151" i="1147"/>
  <c r="B152" i="1147"/>
  <c r="B153" i="1147"/>
  <c r="B154" i="1147"/>
  <c r="B155" i="1147"/>
  <c r="B156" i="1147"/>
  <c r="B157" i="1147"/>
  <c r="B158" i="1147"/>
  <c r="B159" i="1147"/>
  <c r="B160" i="1147"/>
  <c r="B161" i="1147"/>
  <c r="B162" i="1147"/>
  <c r="B163" i="1147"/>
  <c r="B164" i="1147"/>
  <c r="B165" i="1147"/>
  <c r="B166" i="1147"/>
  <c r="B167" i="1147"/>
  <c r="B168" i="1147"/>
  <c r="B169" i="1147"/>
  <c r="B170" i="1147"/>
  <c r="B171" i="1147"/>
  <c r="B172" i="1147"/>
  <c r="B173" i="1147"/>
  <c r="B174" i="1147"/>
  <c r="B175" i="1147"/>
  <c r="B176" i="1147"/>
  <c r="B177" i="1147"/>
  <c r="B178" i="1147"/>
  <c r="B179" i="1147"/>
  <c r="B180" i="1147"/>
  <c r="B181" i="1147"/>
  <c r="B182" i="1147"/>
  <c r="B183" i="1147"/>
  <c r="B184" i="1147"/>
  <c r="B185" i="1147"/>
  <c r="B186" i="1147"/>
  <c r="B187" i="1147"/>
  <c r="B188" i="1147"/>
  <c r="B189" i="1147"/>
  <c r="B190" i="1147"/>
  <c r="B191" i="1147"/>
  <c r="B192" i="1147"/>
  <c r="B193" i="1147"/>
  <c r="B194" i="1147"/>
  <c r="B195" i="1147"/>
  <c r="B196" i="1147"/>
  <c r="B197" i="1147"/>
  <c r="B198" i="1147"/>
  <c r="B199" i="1147"/>
  <c r="B200" i="1147"/>
  <c r="B201" i="1147"/>
  <c r="B202" i="1147"/>
  <c r="B203" i="1147"/>
  <c r="B204" i="1147"/>
  <c r="B205" i="1147"/>
  <c r="B206" i="1147"/>
  <c r="B207" i="1147"/>
  <c r="B208" i="1147"/>
  <c r="B209" i="1147"/>
  <c r="B210" i="1147"/>
  <c r="B211" i="1147"/>
  <c r="B212" i="1147"/>
  <c r="B213" i="1147"/>
  <c r="B214" i="1147"/>
  <c r="B215" i="1147"/>
  <c r="B216" i="1147"/>
  <c r="B217" i="1147"/>
  <c r="B218" i="1147"/>
  <c r="B219" i="1147"/>
  <c r="B220" i="1147"/>
  <c r="B221" i="1147"/>
  <c r="B222" i="1147"/>
  <c r="B223" i="1147"/>
  <c r="B224" i="1147"/>
  <c r="B225" i="1147"/>
  <c r="B226" i="1147"/>
  <c r="B227" i="1147"/>
  <c r="B228" i="1147"/>
  <c r="B229" i="1147"/>
  <c r="B230" i="1147"/>
  <c r="B231" i="1147"/>
  <c r="B232" i="1147"/>
  <c r="B233" i="1147"/>
  <c r="B234" i="1147"/>
  <c r="B235" i="1147"/>
  <c r="B236" i="1147"/>
  <c r="B237" i="1147"/>
  <c r="B238" i="1147"/>
  <c r="B239" i="1147"/>
  <c r="B240" i="1147"/>
  <c r="B241" i="1147"/>
  <c r="B242" i="1147"/>
  <c r="B243" i="1147"/>
  <c r="B244" i="1147"/>
  <c r="B245" i="1147"/>
  <c r="B246" i="1147"/>
  <c r="B247" i="1147"/>
  <c r="B248" i="1147"/>
  <c r="B249" i="1147"/>
  <c r="B250" i="1147"/>
  <c r="B251" i="1147"/>
  <c r="B252" i="1147"/>
  <c r="B253" i="1147"/>
  <c r="B254" i="1147"/>
  <c r="B255" i="1147"/>
  <c r="B256" i="1147"/>
  <c r="B257" i="1147"/>
  <c r="B258" i="1147"/>
  <c r="B259" i="1147"/>
  <c r="B260" i="1147"/>
  <c r="B261" i="1147"/>
  <c r="B262" i="1147"/>
  <c r="B263" i="1147"/>
  <c r="B264" i="1147"/>
  <c r="B265" i="1147"/>
  <c r="B266" i="1147"/>
  <c r="B267" i="1147"/>
  <c r="B268" i="1147"/>
  <c r="B269" i="1147"/>
  <c r="B270" i="1147"/>
  <c r="B271" i="1147"/>
  <c r="B272" i="1147"/>
  <c r="B273" i="1147"/>
  <c r="B274" i="1147"/>
  <c r="B275" i="1147"/>
  <c r="B276" i="1147"/>
  <c r="B277" i="1147"/>
  <c r="B278" i="1147"/>
  <c r="B279" i="1147"/>
  <c r="B280" i="1147"/>
  <c r="B281" i="1147"/>
  <c r="B282" i="1147"/>
  <c r="B283" i="1147"/>
  <c r="B284" i="1147"/>
  <c r="B285" i="1147"/>
  <c r="B286" i="1147"/>
  <c r="B287" i="1147"/>
  <c r="B288" i="1147"/>
  <c r="B289" i="1147"/>
  <c r="B290" i="1147"/>
  <c r="B291" i="1147"/>
  <c r="B292" i="1147"/>
  <c r="B293" i="1147"/>
  <c r="B294" i="1147"/>
  <c r="B295" i="1147"/>
  <c r="B296" i="1147"/>
  <c r="B297" i="1147"/>
  <c r="B298" i="1147"/>
  <c r="B299" i="1147"/>
  <c r="B300" i="1147"/>
  <c r="B301" i="1147"/>
  <c r="B302" i="1147"/>
  <c r="B303" i="1147"/>
  <c r="B304" i="1147"/>
  <c r="B305" i="1147"/>
  <c r="B306" i="1147"/>
  <c r="B307" i="1147"/>
  <c r="B308" i="1147"/>
  <c r="B309" i="1147"/>
  <c r="B310" i="1147"/>
  <c r="B311" i="1147"/>
  <c r="B312" i="1147"/>
  <c r="B313" i="1147"/>
  <c r="B314" i="1147"/>
  <c r="B315" i="1147"/>
  <c r="B316" i="1147"/>
  <c r="B317" i="1147"/>
  <c r="B318" i="1147"/>
  <c r="B319" i="1147"/>
  <c r="B320" i="1147"/>
  <c r="B321" i="1147"/>
  <c r="B322" i="1147"/>
  <c r="B323" i="1147"/>
  <c r="B324" i="1147"/>
  <c r="B325" i="1147"/>
  <c r="B326" i="1147"/>
  <c r="B327" i="1147"/>
  <c r="B328" i="1147"/>
  <c r="B329" i="1147"/>
  <c r="B330" i="1147"/>
  <c r="B331" i="1147"/>
  <c r="B332" i="1147"/>
  <c r="B333" i="1147"/>
  <c r="B334" i="1147"/>
  <c r="B335" i="1147"/>
  <c r="B336" i="1147"/>
  <c r="B337" i="1147"/>
  <c r="B338" i="1147"/>
  <c r="B339" i="1147"/>
  <c r="B340" i="1147"/>
  <c r="B341" i="1147"/>
  <c r="B342" i="1147"/>
  <c r="B343" i="1147"/>
  <c r="B344" i="1147"/>
  <c r="B345" i="1147"/>
  <c r="B346" i="1147"/>
  <c r="B347" i="1147"/>
  <c r="B348" i="1147"/>
  <c r="B349" i="1147"/>
  <c r="B350" i="1147"/>
  <c r="B351" i="1147"/>
  <c r="B352" i="1147"/>
  <c r="B353" i="1147"/>
  <c r="B354" i="1147"/>
  <c r="B355" i="1147"/>
  <c r="B356" i="1147"/>
  <c r="B357" i="1147"/>
  <c r="B358" i="1147"/>
  <c r="B359" i="1147"/>
  <c r="B360" i="1147"/>
  <c r="B361" i="1147"/>
  <c r="B362" i="1147"/>
  <c r="B363" i="1147"/>
  <c r="B364" i="1147"/>
  <c r="B365" i="1147"/>
  <c r="B366" i="1147"/>
  <c r="B367" i="1147"/>
  <c r="B368" i="1147"/>
  <c r="B369" i="1147"/>
  <c r="B370" i="1147"/>
  <c r="B371" i="1147"/>
  <c r="B372" i="1147"/>
  <c r="B373" i="1147"/>
  <c r="B374" i="1147"/>
  <c r="B375" i="1147"/>
  <c r="B376" i="1147"/>
  <c r="B377" i="1147"/>
  <c r="B378" i="1147"/>
  <c r="B379" i="1147"/>
  <c r="B380" i="1147"/>
  <c r="B381" i="1147"/>
  <c r="B382" i="1147"/>
  <c r="B383" i="1147"/>
  <c r="B384" i="1147"/>
  <c r="B385" i="1147"/>
  <c r="B386" i="1147"/>
  <c r="B387" i="1147"/>
  <c r="B388" i="1147"/>
  <c r="B389" i="1147"/>
  <c r="B390" i="1147"/>
  <c r="B391" i="1147"/>
  <c r="B392" i="1147"/>
  <c r="B393" i="1147"/>
  <c r="B394" i="1147"/>
  <c r="B395" i="1147"/>
  <c r="B396" i="1147"/>
  <c r="B397" i="1147"/>
  <c r="B398" i="1147"/>
  <c r="B399" i="1147"/>
  <c r="B400" i="1147"/>
  <c r="B401" i="1147"/>
  <c r="B402" i="1147"/>
  <c r="B403" i="1147"/>
  <c r="B404" i="1147"/>
  <c r="B405" i="1147"/>
  <c r="B406" i="1147"/>
  <c r="B407" i="1147"/>
  <c r="B408" i="1147"/>
  <c r="B409" i="1147"/>
  <c r="B410" i="1147"/>
  <c r="B411" i="1147"/>
  <c r="B412" i="1147"/>
  <c r="B413" i="1147"/>
  <c r="B414" i="1147"/>
  <c r="B415" i="1147"/>
  <c r="B416" i="1147"/>
  <c r="B417" i="1147"/>
  <c r="B418" i="1147"/>
  <c r="B419" i="1147"/>
  <c r="B420" i="1147"/>
  <c r="B421" i="1147"/>
  <c r="B422" i="1147"/>
  <c r="B423" i="1147"/>
  <c r="B424" i="1147"/>
  <c r="B425" i="1147"/>
  <c r="B426" i="1147"/>
  <c r="B427" i="1147"/>
  <c r="B428" i="1147"/>
  <c r="B429" i="1147"/>
  <c r="B430" i="1147"/>
  <c r="B431" i="1147"/>
  <c r="B432" i="1147"/>
  <c r="B433" i="1147"/>
  <c r="B434" i="1147"/>
  <c r="B435" i="1147"/>
  <c r="B436" i="1147"/>
  <c r="B437" i="1147"/>
  <c r="B438" i="1147"/>
  <c r="B439" i="1147"/>
  <c r="B440" i="1147"/>
  <c r="B441" i="1147"/>
  <c r="B442" i="1147"/>
  <c r="B443" i="1147"/>
  <c r="B444" i="1147"/>
  <c r="B445" i="1147"/>
  <c r="B446" i="1147"/>
  <c r="B447" i="1147"/>
  <c r="B448" i="1147"/>
  <c r="B449" i="1147"/>
  <c r="B450" i="1147"/>
  <c r="B451" i="1147"/>
  <c r="B452" i="1147"/>
  <c r="B453" i="1147"/>
  <c r="B454" i="1147"/>
  <c r="B455" i="1147"/>
  <c r="B456" i="1147"/>
  <c r="B457" i="1147"/>
  <c r="B458" i="1147"/>
  <c r="B459" i="1147"/>
  <c r="B460" i="1147"/>
  <c r="B461" i="1147"/>
  <c r="B462" i="1147"/>
  <c r="B463" i="1147"/>
  <c r="B464" i="1147"/>
  <c r="B465" i="1147"/>
  <c r="B466" i="1147"/>
  <c r="B467" i="1147"/>
  <c r="B468" i="1147"/>
  <c r="B469" i="1147"/>
  <c r="B470" i="1147"/>
  <c r="B471" i="1147"/>
  <c r="B472" i="1147"/>
  <c r="B473" i="1147"/>
  <c r="B474" i="1147"/>
  <c r="B475" i="1147"/>
  <c r="B476" i="1147"/>
  <c r="B477" i="1147"/>
  <c r="B478" i="1147"/>
  <c r="B479" i="1147"/>
  <c r="B480" i="1147"/>
  <c r="B481" i="1147"/>
  <c r="B482" i="1147"/>
  <c r="B483" i="1147"/>
  <c r="B484" i="1147"/>
  <c r="B485" i="1147"/>
  <c r="B486" i="1147"/>
  <c r="B487" i="1147"/>
  <c r="B488" i="1147"/>
  <c r="B489" i="1147"/>
  <c r="B490" i="1147"/>
  <c r="B491" i="1147"/>
  <c r="B492" i="1147"/>
  <c r="B493" i="1147"/>
  <c r="B494" i="1147"/>
  <c r="B495" i="1147"/>
  <c r="B496" i="1147"/>
  <c r="B497" i="1147"/>
  <c r="B498" i="1147"/>
  <c r="B499" i="1147"/>
  <c r="B500" i="1147"/>
  <c r="B501" i="1147"/>
  <c r="B502" i="1147"/>
  <c r="B503" i="1147"/>
  <c r="B504" i="1147"/>
  <c r="B505" i="1147"/>
  <c r="B506" i="1147"/>
  <c r="B507" i="1147"/>
  <c r="B508" i="1147"/>
  <c r="B509" i="1147"/>
  <c r="B510" i="1147"/>
  <c r="B511" i="1147"/>
  <c r="B512" i="1147"/>
  <c r="B513" i="1147"/>
  <c r="B514" i="1147"/>
  <c r="B515" i="1147"/>
  <c r="B516" i="1147"/>
  <c r="B517" i="1147"/>
  <c r="B518" i="1147"/>
  <c r="B519" i="1147"/>
  <c r="B520" i="1147"/>
  <c r="B521" i="1147"/>
  <c r="B522" i="1147"/>
  <c r="B523" i="1147"/>
  <c r="B524" i="1147"/>
  <c r="B525" i="1147"/>
  <c r="B526" i="1147"/>
  <c r="B527" i="1147"/>
  <c r="B528" i="1147"/>
  <c r="B529" i="1147"/>
  <c r="B530" i="1147"/>
  <c r="B531" i="1147"/>
  <c r="B532" i="1147"/>
  <c r="B533" i="1147"/>
  <c r="B534" i="1147"/>
  <c r="B535" i="1147"/>
  <c r="B536" i="1147"/>
  <c r="B537" i="1147"/>
  <c r="B538" i="1147"/>
  <c r="B539" i="1147"/>
  <c r="B540" i="1147"/>
  <c r="B541" i="1147"/>
  <c r="B542" i="1147"/>
  <c r="B543" i="1147"/>
  <c r="B544" i="1147"/>
  <c r="B545" i="1147"/>
  <c r="B546" i="1147"/>
  <c r="B547" i="1147"/>
  <c r="B548" i="1147"/>
  <c r="B549" i="1147"/>
  <c r="B550" i="1147"/>
  <c r="B551" i="1147"/>
  <c r="B552" i="1147"/>
  <c r="B553" i="1147"/>
  <c r="B554" i="1147"/>
  <c r="B555" i="1147"/>
  <c r="B556" i="1147"/>
  <c r="B557" i="1147"/>
  <c r="B558" i="1147"/>
  <c r="B559" i="1147"/>
  <c r="B560" i="1147"/>
  <c r="B561" i="1147"/>
  <c r="B562" i="1147"/>
  <c r="B563" i="1147"/>
  <c r="B564" i="1147"/>
  <c r="B565" i="1147"/>
  <c r="B566" i="1147"/>
  <c r="B567" i="1147"/>
  <c r="B568" i="1147"/>
  <c r="B569" i="1147"/>
  <c r="B570" i="1147"/>
  <c r="B571" i="1147"/>
  <c r="B572" i="1147"/>
  <c r="B573" i="1147"/>
  <c r="B574" i="1147"/>
  <c r="B575" i="1147"/>
  <c r="B576" i="1147"/>
  <c r="B577" i="1147"/>
  <c r="B578" i="1147"/>
  <c r="B579" i="1147"/>
  <c r="B580" i="1147"/>
  <c r="B581" i="1147"/>
  <c r="B582" i="1147"/>
  <c r="B583" i="1147"/>
  <c r="B584" i="1147"/>
  <c r="B585" i="1147"/>
  <c r="B586" i="1147"/>
  <c r="B587" i="1147"/>
  <c r="B588" i="1147"/>
  <c r="B589" i="1147"/>
  <c r="B590" i="1147"/>
  <c r="B591" i="1147"/>
  <c r="B592" i="1147"/>
  <c r="B593" i="1147"/>
  <c r="B594" i="1147"/>
  <c r="B595" i="1147"/>
  <c r="B596" i="1147"/>
  <c r="B597" i="1147"/>
  <c r="B598" i="1147"/>
  <c r="B599" i="1147"/>
  <c r="B600" i="1147"/>
  <c r="B601" i="1147"/>
  <c r="B602" i="1147"/>
  <c r="B603" i="1147"/>
  <c r="B604" i="1147"/>
  <c r="B605" i="1147"/>
  <c r="B606" i="1147"/>
  <c r="B607" i="1147"/>
  <c r="B608" i="1147"/>
  <c r="B609" i="1147"/>
  <c r="B610" i="1147"/>
  <c r="B611" i="1147"/>
  <c r="B612" i="1147"/>
  <c r="B613" i="1147"/>
  <c r="B614" i="1147"/>
  <c r="B615" i="1147"/>
  <c r="B616" i="1147"/>
  <c r="B617" i="1147"/>
  <c r="B618" i="1147"/>
  <c r="B619" i="1147"/>
  <c r="B620" i="1147"/>
  <c r="B621" i="1147"/>
  <c r="B622" i="1147"/>
  <c r="B623" i="1147"/>
  <c r="B624" i="1147"/>
  <c r="B625" i="1147"/>
  <c r="B626" i="1147"/>
  <c r="B627" i="1147"/>
  <c r="B628" i="1147"/>
  <c r="B629" i="1147"/>
  <c r="B630" i="1147"/>
  <c r="B631" i="1147"/>
  <c r="B632" i="1147"/>
  <c r="B633" i="1147"/>
  <c r="B634" i="1147"/>
  <c r="B635" i="1147"/>
  <c r="B636" i="1147"/>
  <c r="B637" i="1147"/>
  <c r="B638" i="1147"/>
  <c r="B639" i="1147"/>
  <c r="B640" i="1147"/>
  <c r="B641" i="1147"/>
  <c r="B642" i="1147"/>
  <c r="B643" i="1147"/>
  <c r="B644" i="1147"/>
  <c r="B645" i="1147"/>
  <c r="B646" i="1147"/>
  <c r="B647" i="1147"/>
  <c r="B648" i="1147"/>
  <c r="B649" i="1147"/>
  <c r="B650" i="1147"/>
  <c r="B651" i="1147"/>
  <c r="B652" i="1147"/>
  <c r="B653" i="1147"/>
  <c r="B654" i="1147"/>
  <c r="B655" i="1147"/>
  <c r="B656" i="1147"/>
  <c r="B657" i="1147"/>
  <c r="B658" i="1147"/>
  <c r="B659" i="1147"/>
  <c r="B660" i="1147"/>
  <c r="B661" i="1147"/>
  <c r="B662" i="1147"/>
  <c r="B663" i="1147"/>
  <c r="B664" i="1147"/>
  <c r="B665" i="1147"/>
  <c r="B666" i="1147"/>
  <c r="B667" i="1147"/>
  <c r="B668" i="1147"/>
  <c r="B669" i="1147"/>
  <c r="B670" i="1147"/>
  <c r="B671" i="1147"/>
  <c r="B672" i="1147"/>
  <c r="B673" i="1147"/>
  <c r="B674" i="1147"/>
  <c r="B675" i="1147"/>
  <c r="B676" i="1147"/>
  <c r="B677" i="1147"/>
  <c r="B678" i="1147"/>
  <c r="B679" i="1147"/>
  <c r="B680" i="1147"/>
  <c r="B681" i="1147"/>
  <c r="B682" i="1147"/>
  <c r="B683" i="1147"/>
  <c r="B684" i="1147"/>
  <c r="B685" i="1147"/>
  <c r="B686" i="1147"/>
  <c r="B687" i="1147"/>
  <c r="B688" i="1147"/>
  <c r="B689" i="1147"/>
  <c r="B690" i="1147"/>
  <c r="B691" i="1147"/>
  <c r="B692" i="1147"/>
  <c r="B693" i="1147"/>
  <c r="B694" i="1147"/>
  <c r="B695" i="1147"/>
  <c r="B696" i="1147"/>
  <c r="B697" i="1147"/>
  <c r="B698" i="1147"/>
  <c r="B699" i="1147"/>
  <c r="B700" i="1147"/>
  <c r="B701" i="1147"/>
  <c r="B702" i="1147"/>
  <c r="B703" i="1147"/>
  <c r="B704" i="1147"/>
  <c r="B705" i="1147"/>
  <c r="B706" i="1147"/>
  <c r="B707" i="1147"/>
  <c r="B708" i="1147"/>
  <c r="B709" i="1147"/>
  <c r="B710" i="1147"/>
  <c r="B711" i="1147"/>
  <c r="B712" i="1147"/>
  <c r="B713" i="1147"/>
  <c r="B714" i="1147"/>
  <c r="B715" i="1147"/>
  <c r="B716" i="1147"/>
  <c r="B717" i="1147"/>
  <c r="B718" i="1147"/>
  <c r="B719" i="1147"/>
  <c r="B720" i="1147"/>
  <c r="B721" i="1147"/>
  <c r="B722" i="1147"/>
  <c r="B723" i="1147"/>
  <c r="B724" i="1147"/>
  <c r="B725" i="1147"/>
  <c r="B726" i="1147"/>
  <c r="B727" i="1147"/>
  <c r="B728" i="1147"/>
  <c r="B729" i="1147"/>
  <c r="B730" i="1147"/>
  <c r="B731" i="1147"/>
  <c r="B732" i="1147"/>
  <c r="B733" i="1147"/>
  <c r="B734" i="1147"/>
  <c r="B735" i="1147"/>
  <c r="B736" i="1147"/>
  <c r="B737" i="1147"/>
  <c r="B738" i="1147"/>
  <c r="B739" i="1147"/>
  <c r="B740" i="1147"/>
  <c r="B741" i="1147"/>
  <c r="B742" i="1147"/>
  <c r="B743" i="1147"/>
  <c r="B744" i="1147"/>
  <c r="B745" i="1147"/>
  <c r="B746" i="1147"/>
  <c r="B747" i="1147"/>
  <c r="B748" i="1147"/>
  <c r="B749" i="1147"/>
  <c r="B750" i="1147"/>
  <c r="B751" i="1147"/>
  <c r="B752" i="1147"/>
  <c r="B753" i="1147"/>
  <c r="B754" i="1147"/>
  <c r="B755" i="1147"/>
  <c r="B756" i="1147"/>
  <c r="B757" i="1147"/>
  <c r="B758" i="1147"/>
  <c r="B759" i="1147"/>
  <c r="B760" i="1147"/>
  <c r="B761" i="1147"/>
  <c r="B762" i="1147"/>
  <c r="B763" i="1147"/>
  <c r="B764" i="1147"/>
  <c r="B765" i="1147"/>
  <c r="B766" i="1147"/>
  <c r="B767" i="1147"/>
  <c r="B768" i="1147"/>
  <c r="B769" i="1147"/>
  <c r="B770" i="1147"/>
  <c r="B771" i="1147"/>
  <c r="B772" i="1147"/>
  <c r="B773" i="1147"/>
  <c r="B774" i="1147"/>
  <c r="B775" i="1147"/>
  <c r="B776" i="1147"/>
  <c r="B777" i="1147"/>
  <c r="B778" i="1147"/>
  <c r="B779" i="1147"/>
  <c r="B780" i="1147"/>
  <c r="B781" i="1147"/>
  <c r="B782" i="1147"/>
  <c r="B783" i="1147"/>
  <c r="B784" i="1147"/>
  <c r="B785" i="1147"/>
  <c r="B786" i="1147"/>
  <c r="B787" i="1147"/>
  <c r="B788" i="1147"/>
  <c r="B789" i="1147"/>
  <c r="B790" i="1147"/>
  <c r="B791" i="1147"/>
  <c r="B792" i="1147"/>
  <c r="B793" i="1147"/>
  <c r="B794" i="1147"/>
  <c r="B795" i="1147"/>
  <c r="B796" i="1147"/>
  <c r="B797" i="1147"/>
  <c r="B798" i="1147"/>
  <c r="B799" i="1147"/>
  <c r="B800" i="1147"/>
  <c r="B801" i="1147"/>
  <c r="B802" i="1147"/>
  <c r="B803" i="1147"/>
  <c r="B804" i="1147"/>
  <c r="B805" i="1147"/>
  <c r="B806" i="1147"/>
  <c r="B807" i="1147"/>
  <c r="B808" i="1147"/>
  <c r="B809" i="1147"/>
  <c r="B810" i="1147"/>
  <c r="B811" i="1147"/>
  <c r="B812" i="1147"/>
  <c r="B813" i="1147"/>
  <c r="B814" i="1147"/>
  <c r="B815" i="1147"/>
  <c r="B816" i="1147"/>
  <c r="B817" i="1147"/>
  <c r="B818" i="1147"/>
  <c r="B819" i="1147"/>
  <c r="B820" i="1147"/>
  <c r="B821" i="1147"/>
  <c r="B822" i="1147"/>
  <c r="B823" i="1147"/>
  <c r="B824" i="1147"/>
  <c r="B825" i="1147"/>
  <c r="B826" i="1147"/>
  <c r="B827" i="1147"/>
  <c r="B828" i="1147"/>
  <c r="B829" i="1147"/>
  <c r="B830" i="1147"/>
  <c r="B831" i="1147"/>
  <c r="B832" i="1147"/>
  <c r="B833" i="1147"/>
  <c r="B834" i="1147"/>
  <c r="B835" i="1147"/>
  <c r="B836" i="1147"/>
  <c r="B837" i="1147"/>
  <c r="B838" i="1147"/>
  <c r="B839" i="1147"/>
  <c r="B840" i="1147"/>
  <c r="B841" i="1147"/>
  <c r="B842" i="1147"/>
  <c r="B843" i="1147"/>
  <c r="B844" i="1147"/>
  <c r="B845" i="1147"/>
  <c r="B846" i="1147"/>
  <c r="B847" i="1147"/>
  <c r="B848" i="1147"/>
  <c r="B849" i="1147"/>
  <c r="B850" i="1147"/>
  <c r="B851" i="1147"/>
  <c r="B852" i="1147"/>
  <c r="B853" i="1147"/>
  <c r="B854" i="1147"/>
  <c r="B855" i="1147"/>
  <c r="B856" i="1147"/>
  <c r="B857" i="1147"/>
  <c r="B858" i="1147"/>
  <c r="B859" i="1147"/>
  <c r="B860" i="1147"/>
  <c r="B861" i="1147"/>
  <c r="B862" i="1147"/>
  <c r="B863" i="1147"/>
  <c r="B864" i="1147"/>
  <c r="B865" i="1147"/>
  <c r="B866" i="1147"/>
  <c r="B867" i="1147"/>
  <c r="B868" i="1147"/>
  <c r="B869" i="1147"/>
  <c r="B870" i="1147"/>
  <c r="B871" i="1147"/>
  <c r="B872" i="1147"/>
  <c r="B873" i="1147"/>
  <c r="B874" i="1147"/>
  <c r="B875" i="1147"/>
  <c r="B876" i="1147"/>
  <c r="B877" i="1147"/>
  <c r="B878" i="1147"/>
  <c r="B879" i="1147"/>
  <c r="B880" i="1147"/>
  <c r="B881" i="1147"/>
  <c r="B882" i="1147"/>
  <c r="B883" i="1147"/>
  <c r="B884" i="1147"/>
  <c r="B885" i="1147"/>
  <c r="B886" i="1147"/>
  <c r="B887" i="1147"/>
  <c r="B888" i="1147"/>
  <c r="B889" i="1147"/>
  <c r="B890" i="1147"/>
  <c r="B891" i="1147"/>
  <c r="B892" i="1147"/>
  <c r="B893" i="1147"/>
  <c r="B894" i="1147"/>
  <c r="B895" i="1147"/>
  <c r="B896" i="1147"/>
  <c r="B897" i="1147"/>
  <c r="B898" i="1147"/>
  <c r="B899" i="1147"/>
  <c r="B900" i="1147"/>
  <c r="B901" i="1147"/>
  <c r="B902" i="1147"/>
  <c r="B903" i="1147"/>
  <c r="B904" i="1147"/>
  <c r="B905" i="1147"/>
  <c r="B906" i="1147"/>
  <c r="B907" i="1147"/>
  <c r="B908" i="1147"/>
  <c r="B909" i="1147"/>
  <c r="B910" i="1147"/>
  <c r="B911" i="1147"/>
  <c r="B912" i="1147"/>
  <c r="B913" i="1147"/>
  <c r="B914" i="1147"/>
  <c r="B915" i="1147"/>
  <c r="B916" i="1147"/>
  <c r="B917" i="1147"/>
  <c r="B918" i="1147"/>
  <c r="B919" i="1147"/>
  <c r="B920" i="1147"/>
  <c r="B921" i="1147"/>
  <c r="B922" i="1147"/>
  <c r="B923" i="1147"/>
  <c r="B924" i="1147"/>
  <c r="B925" i="1147"/>
  <c r="B926" i="1147"/>
  <c r="B927" i="1147"/>
  <c r="B928" i="1147"/>
  <c r="B929" i="1147"/>
  <c r="B930" i="1147"/>
  <c r="B931" i="1147"/>
  <c r="B932" i="1147"/>
  <c r="B933" i="1147"/>
  <c r="B934" i="1147"/>
  <c r="B935" i="1147"/>
  <c r="B936" i="1147"/>
  <c r="B937" i="1147"/>
  <c r="B938" i="1147"/>
  <c r="B939" i="1147"/>
  <c r="B940" i="1147"/>
  <c r="B941" i="1147"/>
  <c r="B942" i="1147"/>
  <c r="B943" i="1147"/>
  <c r="B944" i="1147"/>
  <c r="B945" i="1147"/>
  <c r="B946" i="1147"/>
  <c r="B947" i="1147"/>
  <c r="B948" i="1147"/>
  <c r="B949" i="1147"/>
  <c r="B950" i="1147"/>
  <c r="B951" i="1147"/>
  <c r="B952" i="1147"/>
  <c r="B953" i="1147"/>
  <c r="B954" i="1147"/>
  <c r="B955" i="1147"/>
  <c r="B956" i="1147"/>
  <c r="B957" i="1147"/>
  <c r="B958" i="1147"/>
  <c r="B959" i="1147"/>
  <c r="B960" i="1147"/>
  <c r="B961" i="1147"/>
  <c r="B962" i="1147"/>
  <c r="B963" i="1147"/>
  <c r="B964" i="1147"/>
  <c r="B965" i="1147"/>
  <c r="B966" i="1147"/>
  <c r="B967" i="1147"/>
  <c r="B968" i="1147"/>
  <c r="B969" i="1147"/>
  <c r="B970" i="1147"/>
  <c r="B971" i="1147"/>
  <c r="B972" i="1147"/>
  <c r="B973" i="1147"/>
  <c r="B974" i="1147"/>
  <c r="B975" i="1147"/>
  <c r="B976" i="1147"/>
  <c r="B977" i="1147"/>
  <c r="B978" i="1147"/>
  <c r="B979" i="1147"/>
  <c r="B980" i="1147"/>
  <c r="B981" i="1147"/>
  <c r="B982" i="1147"/>
  <c r="B983" i="1147"/>
  <c r="B984" i="1147"/>
  <c r="B985" i="1147"/>
  <c r="B986" i="1147"/>
  <c r="B987" i="1147"/>
  <c r="B988" i="1147"/>
  <c r="B989" i="1147"/>
  <c r="B990" i="1147"/>
  <c r="B991" i="1147"/>
  <c r="B992" i="1147"/>
  <c r="B993" i="1147"/>
  <c r="B994" i="1147"/>
  <c r="B995" i="1147"/>
  <c r="B996" i="1147"/>
  <c r="B997" i="1147"/>
  <c r="B998" i="1147"/>
  <c r="B999" i="1147"/>
  <c r="B1000" i="1147"/>
  <c r="B1001" i="1147"/>
  <c r="B1002" i="1147"/>
  <c r="B1003" i="1147"/>
  <c r="B1004" i="1147"/>
  <c r="B1005" i="1147"/>
  <c r="B1006" i="1147"/>
  <c r="B1007" i="1147"/>
  <c r="B1008" i="1147"/>
  <c r="B1009" i="1147"/>
  <c r="B1010" i="1147"/>
  <c r="B1011" i="1147"/>
  <c r="B1012" i="1147"/>
  <c r="B1013" i="1147"/>
  <c r="B1014" i="1147"/>
  <c r="B1015" i="1147"/>
  <c r="B1016" i="1147"/>
  <c r="B1017" i="1147"/>
  <c r="B1018" i="1147"/>
  <c r="B1019" i="1147"/>
  <c r="B1020" i="1147"/>
  <c r="B1021" i="1147"/>
  <c r="B1022" i="1147"/>
  <c r="B1023" i="1147"/>
  <c r="B1024" i="1147"/>
  <c r="B1025" i="1147"/>
  <c r="B1026" i="1147"/>
  <c r="B1027" i="1147"/>
  <c r="B1028" i="1147"/>
  <c r="B1029" i="1147"/>
  <c r="B1030" i="1147"/>
  <c r="B1031" i="1147"/>
  <c r="B1032" i="1147"/>
  <c r="B1033" i="1147"/>
  <c r="B1034" i="1147"/>
  <c r="B1035" i="1147"/>
  <c r="B1036" i="1147"/>
  <c r="B1037" i="1147"/>
  <c r="B1038" i="1147"/>
  <c r="B1039" i="1147"/>
  <c r="B1040" i="1147"/>
  <c r="B1041" i="1147"/>
  <c r="B1042" i="1147"/>
  <c r="B1043" i="1147"/>
  <c r="B1044" i="1147"/>
  <c r="B1045" i="1147"/>
  <c r="B1046" i="1147"/>
  <c r="B1047" i="1147"/>
  <c r="B1048" i="1147"/>
  <c r="B1049" i="1147"/>
  <c r="B1050" i="1147"/>
  <c r="B1051" i="1147"/>
  <c r="B1052" i="1147"/>
  <c r="B1053" i="1147"/>
  <c r="B1054" i="1147"/>
  <c r="B1055" i="1147"/>
  <c r="B1056" i="1147"/>
  <c r="B1057" i="1147"/>
  <c r="B1058" i="1147"/>
  <c r="B1059" i="1147"/>
  <c r="B1060" i="1147"/>
  <c r="B1061" i="1147"/>
  <c r="B1062" i="1147"/>
  <c r="B1063" i="1147"/>
  <c r="B1064" i="1147"/>
  <c r="B1065" i="1147"/>
  <c r="B1066" i="1147"/>
  <c r="B1067" i="1147"/>
  <c r="B1068" i="1147"/>
  <c r="B1069" i="1147"/>
  <c r="B1070" i="1147"/>
  <c r="B1071" i="1147"/>
  <c r="B1072" i="1147"/>
  <c r="B1073" i="1147"/>
  <c r="B1074" i="1147"/>
  <c r="B1075" i="1147"/>
  <c r="B1076" i="1147"/>
  <c r="B1077" i="1147"/>
  <c r="B1078" i="1147"/>
  <c r="B1079" i="1147"/>
  <c r="B1080" i="1147"/>
  <c r="B1081" i="1147"/>
  <c r="B1082" i="1147"/>
  <c r="B1083" i="1147"/>
  <c r="B1084" i="1147"/>
  <c r="B1085" i="1147"/>
  <c r="B1086" i="1147"/>
  <c r="B1087" i="1147"/>
  <c r="B1088" i="1147"/>
  <c r="B1089" i="1147"/>
  <c r="B1090" i="1147"/>
  <c r="B1091" i="1147"/>
  <c r="B1092" i="1147"/>
  <c r="B1093" i="1147"/>
  <c r="B1094" i="1147"/>
  <c r="B1095" i="1147"/>
  <c r="B1096" i="1147"/>
  <c r="B1097" i="1147"/>
  <c r="B1098" i="1147"/>
  <c r="B1099" i="1147"/>
  <c r="B1100" i="1147"/>
  <c r="B1101" i="1147"/>
  <c r="B1102" i="1147"/>
  <c r="B1103" i="1147"/>
  <c r="B1104" i="1147"/>
  <c r="B1105" i="1147"/>
  <c r="B1106" i="1147"/>
  <c r="B1107" i="1147"/>
  <c r="B1108" i="1147"/>
  <c r="B1109" i="1147"/>
  <c r="B1110" i="1147"/>
  <c r="B1111" i="1147"/>
  <c r="B1112" i="1147"/>
  <c r="B1113" i="1147"/>
  <c r="B1114" i="1147"/>
  <c r="B1115" i="1147"/>
  <c r="B1116" i="1147"/>
  <c r="B1117" i="1147"/>
  <c r="B1118" i="1147"/>
  <c r="B1119" i="1147"/>
  <c r="B1120" i="1147"/>
  <c r="B1121" i="1147"/>
  <c r="B1122" i="1147"/>
  <c r="B1123" i="1147"/>
  <c r="B1124" i="1147"/>
  <c r="B1125" i="1147"/>
  <c r="B1126" i="1147"/>
  <c r="B1127" i="1147"/>
  <c r="B1128" i="1147"/>
  <c r="B1129" i="1147"/>
  <c r="B1130" i="1147"/>
  <c r="B1131" i="1147"/>
  <c r="B1132" i="1147"/>
  <c r="B1133" i="1147"/>
  <c r="B1134" i="1147"/>
  <c r="B1135" i="1147"/>
  <c r="B1136" i="1147"/>
  <c r="B1137" i="1147"/>
  <c r="B1138" i="1147"/>
  <c r="B1139" i="1147"/>
  <c r="B1140" i="1147"/>
  <c r="B1141" i="1147"/>
  <c r="B1142" i="1147"/>
  <c r="B1143" i="1147"/>
  <c r="B1144" i="1147"/>
  <c r="B1145" i="1147"/>
  <c r="B1146" i="1147"/>
  <c r="B1147" i="1147"/>
  <c r="B1148" i="1147"/>
  <c r="B1149" i="1147"/>
  <c r="B1150" i="1147"/>
  <c r="B1151" i="1147"/>
  <c r="B1152" i="1147"/>
  <c r="B1153" i="1147"/>
  <c r="B1154" i="1147"/>
  <c r="B1155" i="1147"/>
  <c r="B1156" i="1147"/>
  <c r="B1157" i="1147"/>
  <c r="B1158" i="1147"/>
  <c r="B1159" i="1147"/>
  <c r="B1160" i="1147"/>
  <c r="B1161" i="1147"/>
  <c r="B1162" i="1147"/>
  <c r="B1163" i="1147"/>
  <c r="B1164" i="1147"/>
  <c r="B1165" i="1147"/>
  <c r="B1166" i="1147"/>
  <c r="B1167" i="1147"/>
  <c r="B1168" i="1147"/>
  <c r="B1169" i="1147"/>
  <c r="B1170" i="1147"/>
  <c r="B1171" i="1147"/>
  <c r="B1172" i="1147"/>
  <c r="B1173" i="1147"/>
  <c r="B1174" i="1147"/>
  <c r="B1175" i="1147"/>
  <c r="B1176" i="1147"/>
  <c r="B1177" i="1147"/>
  <c r="B1178" i="1147"/>
  <c r="B1179" i="1147"/>
  <c r="B1180" i="1147"/>
  <c r="B1181" i="1147"/>
  <c r="B1182" i="1147"/>
  <c r="B1183" i="1147"/>
  <c r="B1184" i="1147"/>
  <c r="B1185" i="1147"/>
  <c r="B1186" i="1147"/>
  <c r="B1187" i="1147"/>
  <c r="B1188" i="1147"/>
  <c r="B1189" i="1147"/>
  <c r="B1190" i="1147"/>
  <c r="B1191" i="1147"/>
  <c r="B1192" i="1147"/>
  <c r="B1193" i="1147"/>
  <c r="B1194" i="1147"/>
  <c r="B1195" i="1147"/>
  <c r="B1196" i="1147"/>
  <c r="B1197" i="1147"/>
  <c r="B1198" i="1147"/>
  <c r="B1199" i="1147"/>
  <c r="B1200" i="1147"/>
  <c r="B1201" i="1147"/>
  <c r="B1202" i="1147"/>
  <c r="B1203" i="1147"/>
  <c r="B1204" i="1147"/>
  <c r="B1205" i="1147"/>
  <c r="B1206" i="1147"/>
  <c r="B1207" i="1147"/>
  <c r="B1208" i="1147"/>
  <c r="B1209" i="1147"/>
  <c r="B1210" i="1147"/>
  <c r="B1211" i="1147"/>
  <c r="B1212" i="1147"/>
  <c r="B1213" i="1147"/>
  <c r="B1214" i="1147"/>
  <c r="B1215" i="1147"/>
  <c r="B1216" i="1147"/>
  <c r="B1217" i="1147"/>
  <c r="B1218" i="1147"/>
  <c r="B1219" i="1147"/>
  <c r="B1220" i="1147"/>
  <c r="B1221" i="1147"/>
  <c r="B1222" i="1147"/>
  <c r="B1223" i="1147"/>
  <c r="B1224" i="1147"/>
  <c r="B1225" i="1147"/>
  <c r="B1226" i="1147"/>
  <c r="B1227" i="1147"/>
  <c r="B1228" i="1147"/>
  <c r="B1229" i="1147"/>
  <c r="B1230" i="1147"/>
  <c r="B1231" i="1147"/>
  <c r="B1232" i="1147"/>
  <c r="B1233" i="1147"/>
  <c r="B1234" i="1147"/>
  <c r="B1235" i="1147"/>
  <c r="B1236" i="1147"/>
  <c r="B1237" i="1147"/>
  <c r="B1238" i="1147"/>
  <c r="B1239" i="1147"/>
  <c r="B1240" i="1147"/>
  <c r="B1241" i="1147"/>
  <c r="B1242" i="1147"/>
  <c r="B1243" i="1147"/>
  <c r="B1244" i="1147"/>
  <c r="B1245" i="1147"/>
  <c r="B1246" i="1147"/>
  <c r="B1247" i="1147"/>
  <c r="B1248" i="1147"/>
  <c r="B1249" i="1147"/>
  <c r="B1250" i="1147"/>
  <c r="B1251" i="1147"/>
  <c r="B1252" i="1147"/>
  <c r="B1253" i="1147"/>
  <c r="B1254" i="1147"/>
  <c r="B1255" i="1147"/>
  <c r="B1256" i="1147"/>
  <c r="B1257" i="1147"/>
  <c r="B1258" i="1147"/>
  <c r="B1259" i="1147"/>
  <c r="B1260" i="1147"/>
  <c r="B1261" i="1147"/>
  <c r="B1262" i="1147"/>
  <c r="B1263" i="1147"/>
  <c r="B1264" i="1147"/>
  <c r="B1265" i="1147"/>
  <c r="B1266" i="1147"/>
  <c r="B1267" i="1147"/>
  <c r="B1268" i="1147"/>
  <c r="B1269" i="1147"/>
  <c r="B1270" i="1147"/>
  <c r="B1271" i="1147"/>
  <c r="B1272" i="1147"/>
  <c r="B1273" i="1147"/>
  <c r="B1274" i="1147"/>
  <c r="B1275" i="1147"/>
  <c r="B1276" i="1147"/>
  <c r="B1277" i="1147"/>
  <c r="B1278" i="1147"/>
  <c r="B1279" i="1147"/>
  <c r="B1280" i="1147"/>
  <c r="B1281" i="1147"/>
  <c r="B1282" i="1147"/>
  <c r="B1283" i="1147"/>
  <c r="B1284" i="1147"/>
  <c r="B1285" i="1147"/>
  <c r="B1286" i="1147"/>
  <c r="B1287" i="1147"/>
  <c r="B1288" i="1147"/>
  <c r="B1289" i="1147"/>
  <c r="B1290" i="1147"/>
  <c r="B1291" i="1147"/>
  <c r="B1292" i="1147"/>
  <c r="B1293" i="1147"/>
  <c r="B1294" i="1147"/>
  <c r="B1295" i="1147"/>
  <c r="B1296" i="1147"/>
  <c r="B1297" i="1147"/>
  <c r="B1298" i="1147"/>
  <c r="B1299" i="1147"/>
  <c r="B1300" i="1147"/>
  <c r="B1301" i="1147"/>
  <c r="B1302" i="1147"/>
  <c r="B1303" i="1147"/>
  <c r="B1304" i="1147"/>
  <c r="B1305" i="1147"/>
  <c r="B1306" i="1147"/>
  <c r="B1307" i="1147"/>
  <c r="B1308" i="1147"/>
  <c r="B1309" i="1147"/>
  <c r="B1310" i="1147"/>
  <c r="B1311" i="1147"/>
  <c r="B1312" i="1147"/>
  <c r="B1313" i="1147"/>
  <c r="B1314" i="1147"/>
  <c r="B1315" i="1147"/>
  <c r="B1316" i="1147"/>
  <c r="B1317" i="1147"/>
  <c r="B1318" i="1147"/>
  <c r="B1319" i="1147"/>
  <c r="B1320" i="1147"/>
  <c r="B1321" i="1147"/>
  <c r="B1322" i="1147"/>
  <c r="B1323" i="1147"/>
  <c r="B1324" i="1147"/>
  <c r="B1325" i="1147"/>
  <c r="B1326" i="1147"/>
  <c r="B1327" i="1147"/>
  <c r="B1328" i="1147"/>
  <c r="B1329" i="1147"/>
  <c r="B1330" i="1147"/>
  <c r="B1331" i="1147"/>
  <c r="B1332" i="1147"/>
  <c r="B1333" i="1147"/>
  <c r="B1334" i="1147"/>
  <c r="B2" i="1147"/>
  <c r="A870" i="1147"/>
  <c r="A871" i="1147"/>
  <c r="A872" i="1147"/>
  <c r="A873" i="1147"/>
  <c r="A874" i="1147"/>
  <c r="A875" i="1147"/>
  <c r="A876" i="1147"/>
  <c r="A877" i="1147"/>
  <c r="A878" i="1147"/>
  <c r="A879" i="1147"/>
  <c r="A880" i="1147"/>
  <c r="A881" i="1147"/>
  <c r="A882" i="1147"/>
  <c r="A883" i="1147"/>
  <c r="A884" i="1147"/>
  <c r="A885" i="1147"/>
  <c r="A886" i="1147"/>
  <c r="A887" i="1147"/>
  <c r="A888" i="1147"/>
  <c r="A889" i="1147"/>
  <c r="A890" i="1147"/>
  <c r="A891" i="1147"/>
  <c r="A892" i="1147"/>
  <c r="A893" i="1147"/>
  <c r="A894" i="1147"/>
  <c r="A895" i="1147"/>
  <c r="A896" i="1147"/>
  <c r="A897" i="1147"/>
  <c r="A898" i="1147"/>
  <c r="A899" i="1147"/>
  <c r="A900" i="1147"/>
  <c r="A901" i="1147"/>
  <c r="A902" i="1147"/>
  <c r="A903" i="1147"/>
  <c r="A904" i="1147"/>
  <c r="A905" i="1147"/>
  <c r="A906" i="1147"/>
  <c r="A907" i="1147"/>
  <c r="A908" i="1147"/>
  <c r="A909" i="1147"/>
  <c r="A910" i="1147"/>
  <c r="A911" i="1147"/>
  <c r="A912" i="1147"/>
  <c r="A913" i="1147"/>
  <c r="A914" i="1147"/>
  <c r="A915" i="1147"/>
  <c r="A916" i="1147"/>
  <c r="A917" i="1147"/>
  <c r="A918" i="1147"/>
  <c r="A919" i="1147"/>
  <c r="A920" i="1147"/>
  <c r="A921" i="1147"/>
  <c r="A922" i="1147"/>
  <c r="A923" i="1147"/>
  <c r="A924" i="1147"/>
  <c r="A925" i="1147"/>
  <c r="A926" i="1147"/>
  <c r="A927" i="1147"/>
  <c r="A928" i="1147"/>
  <c r="A929" i="1147"/>
  <c r="A930" i="1147"/>
  <c r="A931" i="1147"/>
  <c r="A932" i="1147"/>
  <c r="A933" i="1147"/>
  <c r="A934" i="1147"/>
  <c r="A935" i="1147"/>
  <c r="A936" i="1147"/>
  <c r="A937" i="1147"/>
  <c r="A938" i="1147"/>
  <c r="A939" i="1147"/>
  <c r="A940" i="1147"/>
  <c r="A941" i="1147"/>
  <c r="A942" i="1147"/>
  <c r="A943" i="1147"/>
  <c r="A944" i="1147"/>
  <c r="A945" i="1147"/>
  <c r="A946" i="1147"/>
  <c r="A947" i="1147"/>
  <c r="A948" i="1147"/>
  <c r="A949" i="1147"/>
  <c r="A950" i="1147"/>
  <c r="A951" i="1147"/>
  <c r="A952" i="1147"/>
  <c r="A953" i="1147"/>
  <c r="A954" i="1147"/>
  <c r="A955" i="1147"/>
  <c r="A956" i="1147"/>
  <c r="A957" i="1147"/>
  <c r="A958" i="1147"/>
  <c r="A959" i="1147"/>
  <c r="A960" i="1147"/>
  <c r="A961" i="1147"/>
  <c r="A962" i="1147"/>
  <c r="A963" i="1147"/>
  <c r="A964" i="1147"/>
  <c r="A965" i="1147"/>
  <c r="A966" i="1147"/>
  <c r="A967" i="1147"/>
  <c r="A968" i="1147"/>
  <c r="A969" i="1147"/>
  <c r="A970" i="1147"/>
  <c r="A971" i="1147"/>
  <c r="A972" i="1147"/>
  <c r="A973" i="1147"/>
  <c r="A974" i="1147"/>
  <c r="A975" i="1147"/>
  <c r="A976" i="1147"/>
  <c r="A977" i="1147"/>
  <c r="A978" i="1147"/>
  <c r="A979" i="1147"/>
  <c r="A980" i="1147"/>
  <c r="A981" i="1147"/>
  <c r="A982" i="1147"/>
  <c r="A983" i="1147"/>
  <c r="A984" i="1147"/>
  <c r="A985" i="1147"/>
  <c r="A986" i="1147"/>
  <c r="A987" i="1147"/>
  <c r="A988" i="1147"/>
  <c r="A989" i="1147"/>
  <c r="A990" i="1147"/>
  <c r="A991" i="1147"/>
  <c r="A992" i="1147"/>
  <c r="A993" i="1147"/>
  <c r="A994" i="1147"/>
  <c r="A995" i="1147"/>
  <c r="A996" i="1147"/>
  <c r="A997" i="1147"/>
  <c r="A998" i="1147"/>
  <c r="A999" i="1147"/>
  <c r="A1000" i="1147"/>
  <c r="A1001" i="1147"/>
  <c r="A1002" i="1147"/>
  <c r="A1003" i="1147"/>
  <c r="A1004" i="1147"/>
  <c r="A1005" i="1147"/>
  <c r="A1006" i="1147"/>
  <c r="A1007" i="1147"/>
  <c r="A1008" i="1147"/>
  <c r="A1009" i="1147"/>
  <c r="A1010" i="1147"/>
  <c r="A1011" i="1147"/>
  <c r="A1012" i="1147"/>
  <c r="A1013" i="1147"/>
  <c r="A1014" i="1147"/>
  <c r="A1015" i="1147"/>
  <c r="A1016" i="1147"/>
  <c r="A1017" i="1147"/>
  <c r="A1018" i="1147"/>
  <c r="A1019" i="1147"/>
  <c r="A1020" i="1147"/>
  <c r="A1021" i="1147"/>
  <c r="A1022" i="1147"/>
  <c r="A1023" i="1147"/>
  <c r="A1024" i="1147"/>
  <c r="A1025" i="1147"/>
  <c r="A1026" i="1147"/>
  <c r="A1027" i="1147"/>
  <c r="A1028" i="1147"/>
  <c r="A1029" i="1147"/>
  <c r="A1030" i="1147"/>
  <c r="A1031" i="1147"/>
  <c r="A1032" i="1147"/>
  <c r="A1033" i="1147"/>
  <c r="A1034" i="1147"/>
  <c r="A1035" i="1147"/>
  <c r="A1036" i="1147"/>
  <c r="A1037" i="1147"/>
  <c r="A1038" i="1147"/>
  <c r="A1039" i="1147"/>
  <c r="A1040" i="1147"/>
  <c r="A1041" i="1147"/>
  <c r="A1042" i="1147"/>
  <c r="A1043" i="1147"/>
  <c r="A1044" i="1147"/>
  <c r="A1045" i="1147"/>
  <c r="A1046" i="1147"/>
  <c r="A1047" i="1147"/>
  <c r="A1048" i="1147"/>
  <c r="A1049" i="1147"/>
  <c r="A1050" i="1147"/>
  <c r="A1051" i="1147"/>
  <c r="A1052" i="1147"/>
  <c r="A1053" i="1147"/>
  <c r="A1054" i="1147"/>
  <c r="A1055" i="1147"/>
  <c r="A1056" i="1147"/>
  <c r="A1057" i="1147"/>
  <c r="A1058" i="1147"/>
  <c r="A1059" i="1147"/>
  <c r="A1060" i="1147"/>
  <c r="A1061" i="1147"/>
  <c r="A1062" i="1147"/>
  <c r="A1063" i="1147"/>
  <c r="A1064" i="1147"/>
  <c r="A1065" i="1147"/>
  <c r="A1066" i="1147"/>
  <c r="A1067" i="1147"/>
  <c r="A1068" i="1147"/>
  <c r="A1069" i="1147"/>
  <c r="A1070" i="1147"/>
  <c r="A1071" i="1147"/>
  <c r="A1072" i="1147"/>
  <c r="A1073" i="1147"/>
  <c r="A1074" i="1147"/>
  <c r="A1075" i="1147"/>
  <c r="A1076" i="1147"/>
  <c r="A1077" i="1147"/>
  <c r="A1078" i="1147"/>
  <c r="A1079" i="1147"/>
  <c r="A1080" i="1147"/>
  <c r="A1081" i="1147"/>
  <c r="A1082" i="1147"/>
  <c r="A1083" i="1147"/>
  <c r="A1084" i="1147"/>
  <c r="A1085" i="1147"/>
  <c r="A1086" i="1147"/>
  <c r="A1087" i="1147"/>
  <c r="A1088" i="1147"/>
  <c r="A1089" i="1147"/>
  <c r="A1090" i="1147"/>
  <c r="A1091" i="1147"/>
  <c r="A1092" i="1147"/>
  <c r="A1093" i="1147"/>
  <c r="A1094" i="1147"/>
  <c r="A1095" i="1147"/>
  <c r="A1096" i="1147"/>
  <c r="A1097" i="1147"/>
  <c r="A1098" i="1147"/>
  <c r="A1099" i="1147"/>
  <c r="A1100" i="1147"/>
  <c r="A1101" i="1147"/>
  <c r="A1102" i="1147"/>
  <c r="A1103" i="1147"/>
  <c r="A1104" i="1147"/>
  <c r="A1105" i="1147"/>
  <c r="A1106" i="1147"/>
  <c r="A1107" i="1147"/>
  <c r="A1108" i="1147"/>
  <c r="A1109" i="1147"/>
  <c r="A1110" i="1147"/>
  <c r="A1111" i="1147"/>
  <c r="A1112" i="1147"/>
  <c r="A1113" i="1147"/>
  <c r="A1114" i="1147"/>
  <c r="A1115" i="1147"/>
  <c r="A1116" i="1147"/>
  <c r="A1117" i="1147"/>
  <c r="A1118" i="1147"/>
  <c r="A1119" i="1147"/>
  <c r="A1120" i="1147"/>
  <c r="A1121" i="1147"/>
  <c r="A1122" i="1147"/>
  <c r="A1123" i="1147"/>
  <c r="A1124" i="1147"/>
  <c r="A1125" i="1147"/>
  <c r="A1126" i="1147"/>
  <c r="A1127" i="1147"/>
  <c r="A1128" i="1147"/>
  <c r="A1129" i="1147"/>
  <c r="A1130" i="1147"/>
  <c r="A1131" i="1147"/>
  <c r="A1132" i="1147"/>
  <c r="A1133" i="1147"/>
  <c r="A1134" i="1147"/>
  <c r="A1135" i="1147"/>
  <c r="A1136" i="1147"/>
  <c r="A1137" i="1147"/>
  <c r="A1138" i="1147"/>
  <c r="A1139" i="1147"/>
  <c r="A1140" i="1147"/>
  <c r="A1141" i="1147"/>
  <c r="A1142" i="1147"/>
  <c r="A1143" i="1147"/>
  <c r="A1144" i="1147"/>
  <c r="A1145" i="1147"/>
  <c r="A1146" i="1147"/>
  <c r="A1147" i="1147"/>
  <c r="A1148" i="1147"/>
  <c r="A1149" i="1147"/>
  <c r="A1150" i="1147"/>
  <c r="A1151" i="1147"/>
  <c r="A1152" i="1147"/>
  <c r="A1153" i="1147"/>
  <c r="A1154" i="1147"/>
  <c r="A1155" i="1147"/>
  <c r="A1156" i="1147"/>
  <c r="A1157" i="1147"/>
  <c r="A1158" i="1147"/>
  <c r="A1159" i="1147"/>
  <c r="A1160" i="1147"/>
  <c r="A1161" i="1147"/>
  <c r="A1162" i="1147"/>
  <c r="A1163" i="1147"/>
  <c r="A1164" i="1147"/>
  <c r="A1165" i="1147"/>
  <c r="A1166" i="1147"/>
  <c r="A1167" i="1147"/>
  <c r="A1168" i="1147"/>
  <c r="A1169" i="1147"/>
  <c r="A1170" i="1147"/>
  <c r="A1171" i="1147"/>
  <c r="A1172" i="1147"/>
  <c r="A1173" i="1147"/>
  <c r="A1174" i="1147"/>
  <c r="A1175" i="1147"/>
  <c r="A1176" i="1147"/>
  <c r="A1177" i="1147"/>
  <c r="A1178" i="1147"/>
  <c r="A1179" i="1147"/>
  <c r="A1180" i="1147"/>
  <c r="A1181" i="1147"/>
  <c r="A1182" i="1147"/>
  <c r="A1183" i="1147"/>
  <c r="A1184" i="1147"/>
  <c r="A1185" i="1147"/>
  <c r="A1186" i="1147"/>
  <c r="A1187" i="1147"/>
  <c r="A1188" i="1147"/>
  <c r="A1189" i="1147"/>
  <c r="A1190" i="1147"/>
  <c r="A1191" i="1147"/>
  <c r="A1192" i="1147"/>
  <c r="A1193" i="1147"/>
  <c r="A1194" i="1147"/>
  <c r="A1195" i="1147"/>
  <c r="A1196" i="1147"/>
  <c r="A1197" i="1147"/>
  <c r="A1198" i="1147"/>
  <c r="A1199" i="1147"/>
  <c r="A1200" i="1147"/>
  <c r="A1201" i="1147"/>
  <c r="A1202" i="1147"/>
  <c r="A1203" i="1147"/>
  <c r="A1204" i="1147"/>
  <c r="A1205" i="1147"/>
  <c r="A1206" i="1147"/>
  <c r="A1207" i="1147"/>
  <c r="A1208" i="1147"/>
  <c r="A1209" i="1147"/>
  <c r="A1210" i="1147"/>
  <c r="A1211" i="1147"/>
  <c r="A1212" i="1147"/>
  <c r="A1213" i="1147"/>
  <c r="A1214" i="1147"/>
  <c r="A1215" i="1147"/>
  <c r="A1216" i="1147"/>
  <c r="A1217" i="1147"/>
  <c r="A1218" i="1147"/>
  <c r="A1219" i="1147"/>
  <c r="A1220" i="1147"/>
  <c r="A1221" i="1147"/>
  <c r="A1222" i="1147"/>
  <c r="A1223" i="1147"/>
  <c r="A1224" i="1147"/>
  <c r="A1225" i="1147"/>
  <c r="A1226" i="1147"/>
  <c r="A1227" i="1147"/>
  <c r="A1228" i="1147"/>
  <c r="A1229" i="1147"/>
  <c r="A1230" i="1147"/>
  <c r="A1231" i="1147"/>
  <c r="A1232" i="1147"/>
  <c r="A1233" i="1147"/>
  <c r="A1234" i="1147"/>
  <c r="A1235" i="1147"/>
  <c r="A1236" i="1147"/>
  <c r="A1237" i="1147"/>
  <c r="A1238" i="1147"/>
  <c r="A1239" i="1147"/>
  <c r="A1240" i="1147"/>
  <c r="A1241" i="1147"/>
  <c r="A1242" i="1147"/>
  <c r="A1243" i="1147"/>
  <c r="A1244" i="1147"/>
  <c r="A1245" i="1147"/>
  <c r="A1246" i="1147"/>
  <c r="A1247" i="1147"/>
  <c r="A1248" i="1147"/>
  <c r="A1249" i="1147"/>
  <c r="A1250" i="1147"/>
  <c r="A1251" i="1147"/>
  <c r="A1252" i="1147"/>
  <c r="A1253" i="1147"/>
  <c r="A1254" i="1147"/>
  <c r="A1255" i="1147"/>
  <c r="A1256" i="1147"/>
  <c r="A1257" i="1147"/>
  <c r="A1258" i="1147"/>
  <c r="A1259" i="1147"/>
  <c r="A1260" i="1147"/>
  <c r="A1261" i="1147"/>
  <c r="A1262" i="1147"/>
  <c r="A1263" i="1147"/>
  <c r="A1264" i="1147"/>
  <c r="A1265" i="1147"/>
  <c r="A1266" i="1147"/>
  <c r="A1267" i="1147"/>
  <c r="A1268" i="1147"/>
  <c r="A1269" i="1147"/>
  <c r="A1270" i="1147"/>
  <c r="A1271" i="1147"/>
  <c r="A1272" i="1147"/>
  <c r="A1273" i="1147"/>
  <c r="A1274" i="1147"/>
  <c r="A1275" i="1147"/>
  <c r="A1276" i="1147"/>
  <c r="A1277" i="1147"/>
  <c r="A1278" i="1147"/>
  <c r="A1279" i="1147"/>
  <c r="A1280" i="1147"/>
  <c r="A1281" i="1147"/>
  <c r="A1282" i="1147"/>
  <c r="A1283" i="1147"/>
  <c r="A1284" i="1147"/>
  <c r="A1285" i="1147"/>
  <c r="A1286" i="1147"/>
  <c r="A1287" i="1147"/>
  <c r="A1288" i="1147"/>
  <c r="A1289" i="1147"/>
  <c r="A1290" i="1147"/>
  <c r="A1291" i="1147"/>
  <c r="A1292" i="1147"/>
  <c r="A1293" i="1147"/>
  <c r="A1294" i="1147"/>
  <c r="A1295" i="1147"/>
  <c r="A1296" i="1147"/>
  <c r="A1297" i="1147"/>
  <c r="A1298" i="1147"/>
  <c r="A1299" i="1147"/>
  <c r="A1300" i="1147"/>
  <c r="A1301" i="1147"/>
  <c r="A1302" i="1147"/>
  <c r="A1303" i="1147"/>
  <c r="A1304" i="1147"/>
  <c r="A1305" i="1147"/>
  <c r="A1306" i="1147"/>
  <c r="A1307" i="1147"/>
  <c r="A1308" i="1147"/>
  <c r="A1309" i="1147"/>
  <c r="A1310" i="1147"/>
  <c r="A1311" i="1147"/>
  <c r="A1312" i="1147"/>
  <c r="A1313" i="1147"/>
  <c r="A1314" i="1147"/>
  <c r="A1315" i="1147"/>
  <c r="A1316" i="1147"/>
  <c r="A1317" i="1147"/>
  <c r="A1318" i="1147"/>
  <c r="A1319" i="1147"/>
  <c r="A1320" i="1147"/>
  <c r="A1321" i="1147"/>
  <c r="A1322" i="1147"/>
  <c r="A1323" i="1147"/>
  <c r="A1324" i="1147"/>
  <c r="A1325" i="1147"/>
  <c r="A1326" i="1147"/>
  <c r="A1327" i="1147"/>
  <c r="A1328" i="1147"/>
  <c r="A1329" i="1147"/>
  <c r="A1330" i="1147"/>
  <c r="A1331" i="1147"/>
  <c r="A1332" i="1147"/>
  <c r="A1333" i="1147"/>
  <c r="A1334" i="1147"/>
  <c r="A3" i="1147"/>
  <c r="A4" i="1147"/>
  <c r="A5" i="1147"/>
  <c r="A6" i="1147"/>
  <c r="A7" i="1147"/>
  <c r="A8" i="1147"/>
  <c r="A9" i="1147"/>
  <c r="A10" i="1147"/>
  <c r="A11" i="1147"/>
  <c r="A12" i="1147"/>
  <c r="A13" i="1147"/>
  <c r="A14" i="1147"/>
  <c r="A15" i="1147"/>
  <c r="A16" i="1147"/>
  <c r="A17" i="1147"/>
  <c r="A18" i="1147"/>
  <c r="A19" i="1147"/>
  <c r="A20" i="1147"/>
  <c r="A21" i="1147"/>
  <c r="A22" i="1147"/>
  <c r="A23" i="1147"/>
  <c r="A24" i="1147"/>
  <c r="A25" i="1147"/>
  <c r="A26" i="1147"/>
  <c r="A27" i="1147"/>
  <c r="A28" i="1147"/>
  <c r="A29" i="1147"/>
  <c r="A30" i="1147"/>
  <c r="A31" i="1147"/>
  <c r="A32" i="1147"/>
  <c r="A33" i="1147"/>
  <c r="A34" i="1147"/>
  <c r="A35" i="1147"/>
  <c r="A36" i="1147"/>
  <c r="A37" i="1147"/>
  <c r="A38" i="1147"/>
  <c r="A39" i="1147"/>
  <c r="A40" i="1147"/>
  <c r="A41" i="1147"/>
  <c r="A42" i="1147"/>
  <c r="A43" i="1147"/>
  <c r="A44" i="1147"/>
  <c r="A45" i="1147"/>
  <c r="A46" i="1147"/>
  <c r="A47" i="1147"/>
  <c r="A48" i="1147"/>
  <c r="A49" i="1147"/>
  <c r="A50" i="1147"/>
  <c r="A51" i="1147"/>
  <c r="A52" i="1147"/>
  <c r="A53" i="1147"/>
  <c r="A54" i="1147"/>
  <c r="A55" i="1147"/>
  <c r="A56" i="1147"/>
  <c r="A57" i="1147"/>
  <c r="A58" i="1147"/>
  <c r="A59" i="1147"/>
  <c r="A60" i="1147"/>
  <c r="A61" i="1147"/>
  <c r="A62" i="1147"/>
  <c r="A63" i="1147"/>
  <c r="A64" i="1147"/>
  <c r="A65" i="1147"/>
  <c r="A66" i="1147"/>
  <c r="A67" i="1147"/>
  <c r="A68" i="1147"/>
  <c r="A69" i="1147"/>
  <c r="A70" i="1147"/>
  <c r="A71" i="1147"/>
  <c r="A72" i="1147"/>
  <c r="A73" i="1147"/>
  <c r="A74" i="1147"/>
  <c r="A75" i="1147"/>
  <c r="A76" i="1147"/>
  <c r="A77" i="1147"/>
  <c r="A78" i="1147"/>
  <c r="A79" i="1147"/>
  <c r="A80" i="1147"/>
  <c r="A81" i="1147"/>
  <c r="A82" i="1147"/>
  <c r="A83" i="1147"/>
  <c r="A84" i="1147"/>
  <c r="A85" i="1147"/>
  <c r="A86" i="1147"/>
  <c r="A87" i="1147"/>
  <c r="A88" i="1147"/>
  <c r="A89" i="1147"/>
  <c r="A90" i="1147"/>
  <c r="A91" i="1147"/>
  <c r="A92" i="1147"/>
  <c r="A93" i="1147"/>
  <c r="A94" i="1147"/>
  <c r="A95" i="1147"/>
  <c r="A96" i="1147"/>
  <c r="A97" i="1147"/>
  <c r="A98" i="1147"/>
  <c r="A99" i="1147"/>
  <c r="A100" i="1147"/>
  <c r="A101" i="1147"/>
  <c r="A102" i="1147"/>
  <c r="A103" i="1147"/>
  <c r="A104" i="1147"/>
  <c r="A105" i="1147"/>
  <c r="A106" i="1147"/>
  <c r="A107" i="1147"/>
  <c r="A108" i="1147"/>
  <c r="A109" i="1147"/>
  <c r="A110" i="1147"/>
  <c r="A111" i="1147"/>
  <c r="A112" i="1147"/>
  <c r="A113" i="1147"/>
  <c r="A114" i="1147"/>
  <c r="A115" i="1147"/>
  <c r="A116" i="1147"/>
  <c r="A117" i="1147"/>
  <c r="A118" i="1147"/>
  <c r="A119" i="1147"/>
  <c r="A120" i="1147"/>
  <c r="A121" i="1147"/>
  <c r="A122" i="1147"/>
  <c r="A123" i="1147"/>
  <c r="A124" i="1147"/>
  <c r="A125" i="1147"/>
  <c r="A126" i="1147"/>
  <c r="A127" i="1147"/>
  <c r="A128" i="1147"/>
  <c r="A129" i="1147"/>
  <c r="A130" i="1147"/>
  <c r="A131" i="1147"/>
  <c r="A132" i="1147"/>
  <c r="A133" i="1147"/>
  <c r="A134" i="1147"/>
  <c r="A135" i="1147"/>
  <c r="A136" i="1147"/>
  <c r="A137" i="1147"/>
  <c r="A138" i="1147"/>
  <c r="A139" i="1147"/>
  <c r="A140" i="1147"/>
  <c r="A141" i="1147"/>
  <c r="A142" i="1147"/>
  <c r="A143" i="1147"/>
  <c r="A144" i="1147"/>
  <c r="A145" i="1147"/>
  <c r="A146" i="1147"/>
  <c r="A147" i="1147"/>
  <c r="A148" i="1147"/>
  <c r="A149" i="1147"/>
  <c r="A150" i="1147"/>
  <c r="A151" i="1147"/>
  <c r="A152" i="1147"/>
  <c r="A153" i="1147"/>
  <c r="A154" i="1147"/>
  <c r="A155" i="1147"/>
  <c r="A156" i="1147"/>
  <c r="A157" i="1147"/>
  <c r="A158" i="1147"/>
  <c r="A159" i="1147"/>
  <c r="A160" i="1147"/>
  <c r="A161" i="1147"/>
  <c r="A162" i="1147"/>
  <c r="A163" i="1147"/>
  <c r="A164" i="1147"/>
  <c r="A165" i="1147"/>
  <c r="A166" i="1147"/>
  <c r="A167" i="1147"/>
  <c r="A168" i="1147"/>
  <c r="A169" i="1147"/>
  <c r="A170" i="1147"/>
  <c r="A171" i="1147"/>
  <c r="A172" i="1147"/>
  <c r="A173" i="1147"/>
  <c r="A174" i="1147"/>
  <c r="A175" i="1147"/>
  <c r="A176" i="1147"/>
  <c r="A177" i="1147"/>
  <c r="A178" i="1147"/>
  <c r="A179" i="1147"/>
  <c r="A180" i="1147"/>
  <c r="A181" i="1147"/>
  <c r="A182" i="1147"/>
  <c r="A183" i="1147"/>
  <c r="A184" i="1147"/>
  <c r="A185" i="1147"/>
  <c r="A186" i="1147"/>
  <c r="A187" i="1147"/>
  <c r="A188" i="1147"/>
  <c r="A189" i="1147"/>
  <c r="A190" i="1147"/>
  <c r="A191" i="1147"/>
  <c r="A192" i="1147"/>
  <c r="A193" i="1147"/>
  <c r="A194" i="1147"/>
  <c r="A195" i="1147"/>
  <c r="A196" i="1147"/>
  <c r="A197" i="1147"/>
  <c r="A198" i="1147"/>
  <c r="A199" i="1147"/>
  <c r="A200" i="1147"/>
  <c r="A201" i="1147"/>
  <c r="A202" i="1147"/>
  <c r="A203" i="1147"/>
  <c r="A204" i="1147"/>
  <c r="A205" i="1147"/>
  <c r="A206" i="1147"/>
  <c r="A207" i="1147"/>
  <c r="A208" i="1147"/>
  <c r="A209" i="1147"/>
  <c r="A210" i="1147"/>
  <c r="A211" i="1147"/>
  <c r="A212" i="1147"/>
  <c r="A213" i="1147"/>
  <c r="A214" i="1147"/>
  <c r="A215" i="1147"/>
  <c r="A216" i="1147"/>
  <c r="A217" i="1147"/>
  <c r="A218" i="1147"/>
  <c r="A219" i="1147"/>
  <c r="A220" i="1147"/>
  <c r="A221" i="1147"/>
  <c r="A222" i="1147"/>
  <c r="A223" i="1147"/>
  <c r="A224" i="1147"/>
  <c r="A225" i="1147"/>
  <c r="A226" i="1147"/>
  <c r="A227" i="1147"/>
  <c r="A228" i="1147"/>
  <c r="A229" i="1147"/>
  <c r="A230" i="1147"/>
  <c r="A231" i="1147"/>
  <c r="A232" i="1147"/>
  <c r="A233" i="1147"/>
  <c r="A234" i="1147"/>
  <c r="A235" i="1147"/>
  <c r="A236" i="1147"/>
  <c r="A237" i="1147"/>
  <c r="A238" i="1147"/>
  <c r="A239" i="1147"/>
  <c r="A240" i="1147"/>
  <c r="A241" i="1147"/>
  <c r="A242" i="1147"/>
  <c r="A243" i="1147"/>
  <c r="A244" i="1147"/>
  <c r="A245" i="1147"/>
  <c r="A246" i="1147"/>
  <c r="A247" i="1147"/>
  <c r="A248" i="1147"/>
  <c r="A249" i="1147"/>
  <c r="A250" i="1147"/>
  <c r="A251" i="1147"/>
  <c r="A252" i="1147"/>
  <c r="A253" i="1147"/>
  <c r="A254" i="1147"/>
  <c r="A255" i="1147"/>
  <c r="A256" i="1147"/>
  <c r="A257" i="1147"/>
  <c r="A258" i="1147"/>
  <c r="A259" i="1147"/>
  <c r="A260" i="1147"/>
  <c r="A261" i="1147"/>
  <c r="A262" i="1147"/>
  <c r="A263" i="1147"/>
  <c r="A264" i="1147"/>
  <c r="A265" i="1147"/>
  <c r="A266" i="1147"/>
  <c r="A267" i="1147"/>
  <c r="A268" i="1147"/>
  <c r="A269" i="1147"/>
  <c r="A270" i="1147"/>
  <c r="A271" i="1147"/>
  <c r="A272" i="1147"/>
  <c r="A273" i="1147"/>
  <c r="A274" i="1147"/>
  <c r="A275" i="1147"/>
  <c r="A276" i="1147"/>
  <c r="A277" i="1147"/>
  <c r="A278" i="1147"/>
  <c r="A279" i="1147"/>
  <c r="A280" i="1147"/>
  <c r="A281" i="1147"/>
  <c r="A282" i="1147"/>
  <c r="A283" i="1147"/>
  <c r="A284" i="1147"/>
  <c r="A285" i="1147"/>
  <c r="A286" i="1147"/>
  <c r="A287" i="1147"/>
  <c r="A288" i="1147"/>
  <c r="A289" i="1147"/>
  <c r="A290" i="1147"/>
  <c r="A291" i="1147"/>
  <c r="A292" i="1147"/>
  <c r="A293" i="1147"/>
  <c r="A294" i="1147"/>
  <c r="A295" i="1147"/>
  <c r="A296" i="1147"/>
  <c r="A297" i="1147"/>
  <c r="A298" i="1147"/>
  <c r="A299" i="1147"/>
  <c r="A300" i="1147"/>
  <c r="A301" i="1147"/>
  <c r="A302" i="1147"/>
  <c r="A303" i="1147"/>
  <c r="A304" i="1147"/>
  <c r="A305" i="1147"/>
  <c r="A306" i="1147"/>
  <c r="A307" i="1147"/>
  <c r="A308" i="1147"/>
  <c r="A309" i="1147"/>
  <c r="A310" i="1147"/>
  <c r="A311" i="1147"/>
  <c r="A312" i="1147"/>
  <c r="A313" i="1147"/>
  <c r="A314" i="1147"/>
  <c r="A315" i="1147"/>
  <c r="A316" i="1147"/>
  <c r="A317" i="1147"/>
  <c r="A318" i="1147"/>
  <c r="A319" i="1147"/>
  <c r="A320" i="1147"/>
  <c r="A321" i="1147"/>
  <c r="A322" i="1147"/>
  <c r="A323" i="1147"/>
  <c r="A324" i="1147"/>
  <c r="A325" i="1147"/>
  <c r="A326" i="1147"/>
  <c r="A327" i="1147"/>
  <c r="A328" i="1147"/>
  <c r="A329" i="1147"/>
  <c r="A330" i="1147"/>
  <c r="A331" i="1147"/>
  <c r="A332" i="1147"/>
  <c r="A333" i="1147"/>
  <c r="A334" i="1147"/>
  <c r="A335" i="1147"/>
  <c r="A336" i="1147"/>
  <c r="A337" i="1147"/>
  <c r="A338" i="1147"/>
  <c r="A339" i="1147"/>
  <c r="A340" i="1147"/>
  <c r="A341" i="1147"/>
  <c r="A342" i="1147"/>
  <c r="A343" i="1147"/>
  <c r="A344" i="1147"/>
  <c r="A345" i="1147"/>
  <c r="A346" i="1147"/>
  <c r="A347" i="1147"/>
  <c r="A348" i="1147"/>
  <c r="A349" i="1147"/>
  <c r="A350" i="1147"/>
  <c r="A351" i="1147"/>
  <c r="A352" i="1147"/>
  <c r="A353" i="1147"/>
  <c r="A354" i="1147"/>
  <c r="A355" i="1147"/>
  <c r="A356" i="1147"/>
  <c r="A357" i="1147"/>
  <c r="A358" i="1147"/>
  <c r="A359" i="1147"/>
  <c r="A360" i="1147"/>
  <c r="A361" i="1147"/>
  <c r="A362" i="1147"/>
  <c r="A363" i="1147"/>
  <c r="A364" i="1147"/>
  <c r="A365" i="1147"/>
  <c r="A366" i="1147"/>
  <c r="A367" i="1147"/>
  <c r="A368" i="1147"/>
  <c r="A369" i="1147"/>
  <c r="A370" i="1147"/>
  <c r="A371" i="1147"/>
  <c r="A372" i="1147"/>
  <c r="A373" i="1147"/>
  <c r="A374" i="1147"/>
  <c r="A375" i="1147"/>
  <c r="A376" i="1147"/>
  <c r="A377" i="1147"/>
  <c r="A378" i="1147"/>
  <c r="A379" i="1147"/>
  <c r="A380" i="1147"/>
  <c r="A381" i="1147"/>
  <c r="A382" i="1147"/>
  <c r="A383" i="1147"/>
  <c r="A384" i="1147"/>
  <c r="A385" i="1147"/>
  <c r="A386" i="1147"/>
  <c r="A387" i="1147"/>
  <c r="A388" i="1147"/>
  <c r="A389" i="1147"/>
  <c r="A390" i="1147"/>
  <c r="A391" i="1147"/>
  <c r="A392" i="1147"/>
  <c r="A393" i="1147"/>
  <c r="A394" i="1147"/>
  <c r="A395" i="1147"/>
  <c r="A396" i="1147"/>
  <c r="A397" i="1147"/>
  <c r="A398" i="1147"/>
  <c r="A399" i="1147"/>
  <c r="A400" i="1147"/>
  <c r="A401" i="1147"/>
  <c r="A402" i="1147"/>
  <c r="A403" i="1147"/>
  <c r="A404" i="1147"/>
  <c r="A405" i="1147"/>
  <c r="A406" i="1147"/>
  <c r="A407" i="1147"/>
  <c r="A408" i="1147"/>
  <c r="A409" i="1147"/>
  <c r="A410" i="1147"/>
  <c r="A411" i="1147"/>
  <c r="A412" i="1147"/>
  <c r="A413" i="1147"/>
  <c r="A414" i="1147"/>
  <c r="A415" i="1147"/>
  <c r="A416" i="1147"/>
  <c r="A417" i="1147"/>
  <c r="A418" i="1147"/>
  <c r="A419" i="1147"/>
  <c r="A420" i="1147"/>
  <c r="A421" i="1147"/>
  <c r="A422" i="1147"/>
  <c r="A423" i="1147"/>
  <c r="A424" i="1147"/>
  <c r="A425" i="1147"/>
  <c r="A426" i="1147"/>
  <c r="A427" i="1147"/>
  <c r="A428" i="1147"/>
  <c r="A429" i="1147"/>
  <c r="A430" i="1147"/>
  <c r="A431" i="1147"/>
  <c r="A432" i="1147"/>
  <c r="A433" i="1147"/>
  <c r="A434" i="1147"/>
  <c r="A435" i="1147"/>
  <c r="A436" i="1147"/>
  <c r="A437" i="1147"/>
  <c r="A438" i="1147"/>
  <c r="A439" i="1147"/>
  <c r="A440" i="1147"/>
  <c r="A441" i="1147"/>
  <c r="A442" i="1147"/>
  <c r="A443" i="1147"/>
  <c r="A444" i="1147"/>
  <c r="A445" i="1147"/>
  <c r="A446" i="1147"/>
  <c r="A447" i="1147"/>
  <c r="A448" i="1147"/>
  <c r="A449" i="1147"/>
  <c r="A450" i="1147"/>
  <c r="A451" i="1147"/>
  <c r="A452" i="1147"/>
  <c r="A453" i="1147"/>
  <c r="A454" i="1147"/>
  <c r="A455" i="1147"/>
  <c r="A456" i="1147"/>
  <c r="A457" i="1147"/>
  <c r="A458" i="1147"/>
  <c r="A459" i="1147"/>
  <c r="A460" i="1147"/>
  <c r="A461" i="1147"/>
  <c r="A462" i="1147"/>
  <c r="A463" i="1147"/>
  <c r="A464" i="1147"/>
  <c r="A465" i="1147"/>
  <c r="A466" i="1147"/>
  <c r="A467" i="1147"/>
  <c r="A468" i="1147"/>
  <c r="A469" i="1147"/>
  <c r="A470" i="1147"/>
  <c r="A471" i="1147"/>
  <c r="A472" i="1147"/>
  <c r="A473" i="1147"/>
  <c r="A474" i="1147"/>
  <c r="A475" i="1147"/>
  <c r="A476" i="1147"/>
  <c r="A477" i="1147"/>
  <c r="A478" i="1147"/>
  <c r="A479" i="1147"/>
  <c r="A480" i="1147"/>
  <c r="A481" i="1147"/>
  <c r="A482" i="1147"/>
  <c r="A483" i="1147"/>
  <c r="A484" i="1147"/>
  <c r="A485" i="1147"/>
  <c r="A486" i="1147"/>
  <c r="A487" i="1147"/>
  <c r="A488" i="1147"/>
  <c r="A489" i="1147"/>
  <c r="A490" i="1147"/>
  <c r="A491" i="1147"/>
  <c r="A492" i="1147"/>
  <c r="A493" i="1147"/>
  <c r="A494" i="1147"/>
  <c r="A495" i="1147"/>
  <c r="A496" i="1147"/>
  <c r="A497" i="1147"/>
  <c r="A498" i="1147"/>
  <c r="A499" i="1147"/>
  <c r="A500" i="1147"/>
  <c r="A501" i="1147"/>
  <c r="A502" i="1147"/>
  <c r="A503" i="1147"/>
  <c r="A504" i="1147"/>
  <c r="A505" i="1147"/>
  <c r="A506" i="1147"/>
  <c r="A507" i="1147"/>
  <c r="A508" i="1147"/>
  <c r="A509" i="1147"/>
  <c r="A510" i="1147"/>
  <c r="A511" i="1147"/>
  <c r="A512" i="1147"/>
  <c r="A513" i="1147"/>
  <c r="A514" i="1147"/>
  <c r="A515" i="1147"/>
  <c r="A516" i="1147"/>
  <c r="A517" i="1147"/>
  <c r="A518" i="1147"/>
  <c r="A519" i="1147"/>
  <c r="A520" i="1147"/>
  <c r="A521" i="1147"/>
  <c r="A522" i="1147"/>
  <c r="A523" i="1147"/>
  <c r="A524" i="1147"/>
  <c r="A525" i="1147"/>
  <c r="A526" i="1147"/>
  <c r="A527" i="1147"/>
  <c r="A528" i="1147"/>
  <c r="A529" i="1147"/>
  <c r="A530" i="1147"/>
  <c r="A531" i="1147"/>
  <c r="A532" i="1147"/>
  <c r="A533" i="1147"/>
  <c r="A534" i="1147"/>
  <c r="A535" i="1147"/>
  <c r="A536" i="1147"/>
  <c r="A537" i="1147"/>
  <c r="A538" i="1147"/>
  <c r="A539" i="1147"/>
  <c r="A540" i="1147"/>
  <c r="A541" i="1147"/>
  <c r="A542" i="1147"/>
  <c r="A543" i="1147"/>
  <c r="A544" i="1147"/>
  <c r="A545" i="1147"/>
  <c r="A546" i="1147"/>
  <c r="A547" i="1147"/>
  <c r="A548" i="1147"/>
  <c r="A549" i="1147"/>
  <c r="A550" i="1147"/>
  <c r="A551" i="1147"/>
  <c r="A552" i="1147"/>
  <c r="A553" i="1147"/>
  <c r="A554" i="1147"/>
  <c r="A555" i="1147"/>
  <c r="A556" i="1147"/>
  <c r="A557" i="1147"/>
  <c r="A558" i="1147"/>
  <c r="A559" i="1147"/>
  <c r="A560" i="1147"/>
  <c r="A561" i="1147"/>
  <c r="A562" i="1147"/>
  <c r="A563" i="1147"/>
  <c r="A564" i="1147"/>
  <c r="A565" i="1147"/>
  <c r="A566" i="1147"/>
  <c r="A567" i="1147"/>
  <c r="A568" i="1147"/>
  <c r="A569" i="1147"/>
  <c r="A570" i="1147"/>
  <c r="A571" i="1147"/>
  <c r="A572" i="1147"/>
  <c r="A573" i="1147"/>
  <c r="A574" i="1147"/>
  <c r="A575" i="1147"/>
  <c r="A576" i="1147"/>
  <c r="A577" i="1147"/>
  <c r="A578" i="1147"/>
  <c r="A579" i="1147"/>
  <c r="A580" i="1147"/>
  <c r="A581" i="1147"/>
  <c r="A582" i="1147"/>
  <c r="A583" i="1147"/>
  <c r="A584" i="1147"/>
  <c r="A585" i="1147"/>
  <c r="A586" i="1147"/>
  <c r="A587" i="1147"/>
  <c r="A588" i="1147"/>
  <c r="A589" i="1147"/>
  <c r="A590" i="1147"/>
  <c r="A591" i="1147"/>
  <c r="A592" i="1147"/>
  <c r="A593" i="1147"/>
  <c r="A594" i="1147"/>
  <c r="A595" i="1147"/>
  <c r="A596" i="1147"/>
  <c r="A597" i="1147"/>
  <c r="A598" i="1147"/>
  <c r="A599" i="1147"/>
  <c r="A600" i="1147"/>
  <c r="A601" i="1147"/>
  <c r="A602" i="1147"/>
  <c r="A603" i="1147"/>
  <c r="A604" i="1147"/>
  <c r="A605" i="1147"/>
  <c r="A606" i="1147"/>
  <c r="A607" i="1147"/>
  <c r="A608" i="1147"/>
  <c r="A609" i="1147"/>
  <c r="A610" i="1147"/>
  <c r="A611" i="1147"/>
  <c r="A612" i="1147"/>
  <c r="A613" i="1147"/>
  <c r="A614" i="1147"/>
  <c r="A615" i="1147"/>
  <c r="A616" i="1147"/>
  <c r="A617" i="1147"/>
  <c r="A618" i="1147"/>
  <c r="A619" i="1147"/>
  <c r="A620" i="1147"/>
  <c r="A621" i="1147"/>
  <c r="A622" i="1147"/>
  <c r="A623" i="1147"/>
  <c r="A624" i="1147"/>
  <c r="A625" i="1147"/>
  <c r="A626" i="1147"/>
  <c r="A627" i="1147"/>
  <c r="A628" i="1147"/>
  <c r="A629" i="1147"/>
  <c r="A630" i="1147"/>
  <c r="A631" i="1147"/>
  <c r="A632" i="1147"/>
  <c r="A633" i="1147"/>
  <c r="A634" i="1147"/>
  <c r="A635" i="1147"/>
  <c r="A636" i="1147"/>
  <c r="A637" i="1147"/>
  <c r="A638" i="1147"/>
  <c r="A639" i="1147"/>
  <c r="A640" i="1147"/>
  <c r="A641" i="1147"/>
  <c r="A642" i="1147"/>
  <c r="A643" i="1147"/>
  <c r="A644" i="1147"/>
  <c r="A645" i="1147"/>
  <c r="A646" i="1147"/>
  <c r="A647" i="1147"/>
  <c r="A648" i="1147"/>
  <c r="A649" i="1147"/>
  <c r="A650" i="1147"/>
  <c r="A651" i="1147"/>
  <c r="A652" i="1147"/>
  <c r="A653" i="1147"/>
  <c r="A654" i="1147"/>
  <c r="A655" i="1147"/>
  <c r="A656" i="1147"/>
  <c r="A657" i="1147"/>
  <c r="A658" i="1147"/>
  <c r="A659" i="1147"/>
  <c r="A660" i="1147"/>
  <c r="A661" i="1147"/>
  <c r="A662" i="1147"/>
  <c r="A663" i="1147"/>
  <c r="A664" i="1147"/>
  <c r="A665" i="1147"/>
  <c r="A666" i="1147"/>
  <c r="A667" i="1147"/>
  <c r="A668" i="1147"/>
  <c r="A669" i="1147"/>
  <c r="A670" i="1147"/>
  <c r="A671" i="1147"/>
  <c r="A672" i="1147"/>
  <c r="A673" i="1147"/>
  <c r="A674" i="1147"/>
  <c r="A675" i="1147"/>
  <c r="A676" i="1147"/>
  <c r="A677" i="1147"/>
  <c r="A678" i="1147"/>
  <c r="A679" i="1147"/>
  <c r="A680" i="1147"/>
  <c r="A681" i="1147"/>
  <c r="A682" i="1147"/>
  <c r="A683" i="1147"/>
  <c r="A684" i="1147"/>
  <c r="A685" i="1147"/>
  <c r="A686" i="1147"/>
  <c r="A687" i="1147"/>
  <c r="A688" i="1147"/>
  <c r="A689" i="1147"/>
  <c r="A690" i="1147"/>
  <c r="A691" i="1147"/>
  <c r="A692" i="1147"/>
  <c r="A693" i="1147"/>
  <c r="A694" i="1147"/>
  <c r="A695" i="1147"/>
  <c r="A696" i="1147"/>
  <c r="A697" i="1147"/>
  <c r="A698" i="1147"/>
  <c r="A699" i="1147"/>
  <c r="A700" i="1147"/>
  <c r="A701" i="1147"/>
  <c r="A702" i="1147"/>
  <c r="A703" i="1147"/>
  <c r="A704" i="1147"/>
  <c r="A705" i="1147"/>
  <c r="A706" i="1147"/>
  <c r="A707" i="1147"/>
  <c r="A708" i="1147"/>
  <c r="A709" i="1147"/>
  <c r="A710" i="1147"/>
  <c r="A711" i="1147"/>
  <c r="A712" i="1147"/>
  <c r="A713" i="1147"/>
  <c r="A714" i="1147"/>
  <c r="A715" i="1147"/>
  <c r="A716" i="1147"/>
  <c r="A717" i="1147"/>
  <c r="A718" i="1147"/>
  <c r="A719" i="1147"/>
  <c r="A720" i="1147"/>
  <c r="A721" i="1147"/>
  <c r="A722" i="1147"/>
  <c r="A723" i="1147"/>
  <c r="A724" i="1147"/>
  <c r="A725" i="1147"/>
  <c r="A726" i="1147"/>
  <c r="A727" i="1147"/>
  <c r="A728" i="1147"/>
  <c r="A729" i="1147"/>
  <c r="A730" i="1147"/>
  <c r="A731" i="1147"/>
  <c r="A732" i="1147"/>
  <c r="A733" i="1147"/>
  <c r="A734" i="1147"/>
  <c r="A735" i="1147"/>
  <c r="A736" i="1147"/>
  <c r="A737" i="1147"/>
  <c r="A738" i="1147"/>
  <c r="A739" i="1147"/>
  <c r="A740" i="1147"/>
  <c r="A741" i="1147"/>
  <c r="A742" i="1147"/>
  <c r="A743" i="1147"/>
  <c r="A744" i="1147"/>
  <c r="A745" i="1147"/>
  <c r="A746" i="1147"/>
  <c r="A747" i="1147"/>
  <c r="A748" i="1147"/>
  <c r="A749" i="1147"/>
  <c r="A750" i="1147"/>
  <c r="A751" i="1147"/>
  <c r="A752" i="1147"/>
  <c r="A753" i="1147"/>
  <c r="A754" i="1147"/>
  <c r="A755" i="1147"/>
  <c r="A756" i="1147"/>
  <c r="A757" i="1147"/>
  <c r="A758" i="1147"/>
  <c r="A759" i="1147"/>
  <c r="A760" i="1147"/>
  <c r="A761" i="1147"/>
  <c r="A762" i="1147"/>
  <c r="A763" i="1147"/>
  <c r="A764" i="1147"/>
  <c r="A765" i="1147"/>
  <c r="A766" i="1147"/>
  <c r="A767" i="1147"/>
  <c r="A768" i="1147"/>
  <c r="A769" i="1147"/>
  <c r="A770" i="1147"/>
  <c r="A771" i="1147"/>
  <c r="A772" i="1147"/>
  <c r="A773" i="1147"/>
  <c r="A774" i="1147"/>
  <c r="A775" i="1147"/>
  <c r="A776" i="1147"/>
  <c r="A777" i="1147"/>
  <c r="A778" i="1147"/>
  <c r="A779" i="1147"/>
  <c r="A780" i="1147"/>
  <c r="A781" i="1147"/>
  <c r="A782" i="1147"/>
  <c r="A783" i="1147"/>
  <c r="A784" i="1147"/>
  <c r="A785" i="1147"/>
  <c r="A786" i="1147"/>
  <c r="A787" i="1147"/>
  <c r="A788" i="1147"/>
  <c r="A789" i="1147"/>
  <c r="A790" i="1147"/>
  <c r="A791" i="1147"/>
  <c r="A792" i="1147"/>
  <c r="A793" i="1147"/>
  <c r="A794" i="1147"/>
  <c r="A795" i="1147"/>
  <c r="A796" i="1147"/>
  <c r="A797" i="1147"/>
  <c r="A798" i="1147"/>
  <c r="A799" i="1147"/>
  <c r="A800" i="1147"/>
  <c r="A801" i="1147"/>
  <c r="A802" i="1147"/>
  <c r="A803" i="1147"/>
  <c r="A804" i="1147"/>
  <c r="A805" i="1147"/>
  <c r="A806" i="1147"/>
  <c r="A807" i="1147"/>
  <c r="A808" i="1147"/>
  <c r="A809" i="1147"/>
  <c r="A810" i="1147"/>
  <c r="A811" i="1147"/>
  <c r="A812" i="1147"/>
  <c r="A813" i="1147"/>
  <c r="A814" i="1147"/>
  <c r="A815" i="1147"/>
  <c r="A816" i="1147"/>
  <c r="A817" i="1147"/>
  <c r="A818" i="1147"/>
  <c r="A819" i="1147"/>
  <c r="A820" i="1147"/>
  <c r="A821" i="1147"/>
  <c r="A822" i="1147"/>
  <c r="A823" i="1147"/>
  <c r="A824" i="1147"/>
  <c r="A825" i="1147"/>
  <c r="A826" i="1147"/>
  <c r="A827" i="1147"/>
  <c r="A828" i="1147"/>
  <c r="A829" i="1147"/>
  <c r="A830" i="1147"/>
  <c r="A831" i="1147"/>
  <c r="A832" i="1147"/>
  <c r="A833" i="1147"/>
  <c r="A834" i="1147"/>
  <c r="A835" i="1147"/>
  <c r="A836" i="1147"/>
  <c r="A837" i="1147"/>
  <c r="A838" i="1147"/>
  <c r="A839" i="1147"/>
  <c r="A840" i="1147"/>
  <c r="A841" i="1147"/>
  <c r="A842" i="1147"/>
  <c r="A843" i="1147"/>
  <c r="A844" i="1147"/>
  <c r="A845" i="1147"/>
  <c r="A846" i="1147"/>
  <c r="A847" i="1147"/>
  <c r="A848" i="1147"/>
  <c r="A849" i="1147"/>
  <c r="A850" i="1147"/>
  <c r="A851" i="1147"/>
  <c r="A852" i="1147"/>
  <c r="A853" i="1147"/>
  <c r="A854" i="1147"/>
  <c r="A855" i="1147"/>
  <c r="A856" i="1147"/>
  <c r="A857" i="1147"/>
  <c r="A858" i="1147"/>
  <c r="A859" i="1147"/>
  <c r="A860" i="1147"/>
  <c r="A861" i="1147"/>
  <c r="A862" i="1147"/>
  <c r="A863" i="1147"/>
  <c r="A864" i="1147"/>
  <c r="A865" i="1147"/>
  <c r="A866" i="1147"/>
  <c r="A867" i="1147"/>
  <c r="A868" i="1147"/>
  <c r="A869" i="1147"/>
  <c r="L56" i="1263" l="1"/>
  <c r="L11" i="1262"/>
  <c r="K11" i="1262"/>
</calcChain>
</file>

<file path=xl/comments1.xml><?xml version="1.0" encoding="utf-8"?>
<comments xmlns="http://schemas.openxmlformats.org/spreadsheetml/2006/main">
  <authors>
    <author>Mitra, Kaustav (Cognizant)</author>
  </authors>
  <commentList>
    <comment ref="H1" authorId="0">
      <text>
        <r>
          <rPr>
            <b/>
            <sz val="9"/>
            <color indexed="81"/>
            <rFont val="Tahoma"/>
            <family val="2"/>
          </rPr>
          <t>Keep Latest GC Version in H1 Cell, IE 11 on H3 and Safari on H4</t>
        </r>
      </text>
    </comment>
  </commentList>
</comments>
</file>

<file path=xl/comments2.xml><?xml version="1.0" encoding="utf-8"?>
<comments xmlns="http://schemas.openxmlformats.org/spreadsheetml/2006/main">
  <authors>
    <author>Mukherjee, Joydip (Cognizant)</author>
  </authors>
  <commentList>
    <comment ref="G408" authorId="0">
      <text>
        <r>
          <rPr>
            <b/>
            <sz val="10"/>
            <color indexed="81"/>
            <rFont val="Tahoma"/>
            <family val="2"/>
          </rPr>
          <t>Needs to review with current acceptance criteria. In Mingle I saw onlt 2 functional TC but here we have 4??</t>
        </r>
      </text>
    </comment>
    <comment ref="G662" authorId="0">
      <text>
        <r>
          <rPr>
            <b/>
            <sz val="8"/>
            <color indexed="81"/>
            <rFont val="Tahoma"/>
            <family val="2"/>
          </rPr>
          <t>Acceptance Criteria:</t>
        </r>
        <r>
          <rPr>
            <sz val="8"/>
            <color indexed="81"/>
            <rFont val="Tahoma"/>
            <family val="2"/>
          </rPr>
          <t xml:space="preserve">
1. Multi Pie eDeals when the first Pizza HAS CYO and the second pizza has NO CYO  then user should be able to place the order successfully (Order now button, deal builder page , check out should work fine)
2. Multi Pie eDeals when the first Pizza has no CYO and the second pizza has CYO then user should be able to place the order successfully (Order now button, deal builder page , check out should work fine)</t>
        </r>
      </text>
    </comment>
  </commentList>
</comments>
</file>

<file path=xl/sharedStrings.xml><?xml version="1.0" encoding="utf-8"?>
<sst xmlns="http://schemas.openxmlformats.org/spreadsheetml/2006/main" count="11048" uniqueCount="2402">
  <si>
    <t>Execution Data Sheet Name</t>
  </si>
  <si>
    <t>API_Regression</t>
  </si>
  <si>
    <t>Regression</t>
  </si>
  <si>
    <t>Regression_API</t>
  </si>
  <si>
    <t>Product</t>
  </si>
  <si>
    <t>Team Name</t>
  </si>
  <si>
    <t>Test Case Regression Execution Status</t>
  </si>
  <si>
    <t>Total # Test Cases</t>
  </si>
  <si>
    <t># Executed</t>
  </si>
  <si>
    <t># Passed</t>
  </si>
  <si>
    <t># Failed</t>
  </si>
  <si>
    <t># Blocked</t>
  </si>
  <si>
    <t># Unexecuted</t>
  </si>
  <si>
    <t>% Executed</t>
  </si>
  <si>
    <t>% Passed</t>
  </si>
  <si>
    <t>% Failed</t>
  </si>
  <si>
    <t>% Blocked</t>
  </si>
  <si>
    <t>Provider</t>
  </si>
  <si>
    <t>Ultron</t>
  </si>
  <si>
    <t>Totals</t>
  </si>
  <si>
    <t>Regression Execution Pass Percentage Based On Functionality</t>
  </si>
  <si>
    <t>Functionality</t>
  </si>
  <si>
    <t># Total</t>
  </si>
  <si>
    <t>Total</t>
  </si>
  <si>
    <t>Sprint</t>
  </si>
  <si>
    <t>Test Case Automation Status</t>
  </si>
  <si>
    <t># Automated</t>
  </si>
  <si>
    <t># In-Progress</t>
  </si>
  <si>
    <t># Not Started</t>
  </si>
  <si>
    <t>% Automated</t>
  </si>
  <si>
    <t>% In-Progress</t>
  </si>
  <si>
    <t>% Not Started</t>
  </si>
  <si>
    <t>Test Case Execution Status</t>
  </si>
  <si>
    <t>S.NO</t>
  </si>
  <si>
    <t>UserStory</t>
  </si>
  <si>
    <t>Auto_TS_ID_Desktop</t>
  </si>
  <si>
    <t>F_TC_ID</t>
  </si>
  <si>
    <t>Auto_Status_Desktop</t>
  </si>
  <si>
    <t>Sprint Number</t>
  </si>
  <si>
    <t>Execution_Status</t>
  </si>
  <si>
    <t>Scope</t>
  </si>
  <si>
    <t>QTestDescription</t>
  </si>
  <si>
    <t>Comments</t>
  </si>
  <si>
    <t>Tester Name</t>
  </si>
  <si>
    <t>PFIN Details</t>
  </si>
  <si>
    <t>PPN-29369</t>
  </si>
  <si>
    <t>PPN-29369_Listing_TC_01</t>
  </si>
  <si>
    <t xml:space="preserve">PPN-29369_Listing_TC_001_PFIN_Tax ID_List </t>
  </si>
  <si>
    <t>Completed</t>
  </si>
  <si>
    <t>Unexecuted</t>
  </si>
  <si>
    <t>Blocking as Team Ultrons is currently working on this functionality in Current Sprint. Will be fixed during In-Sprint Automation.</t>
  </si>
  <si>
    <t>Passed</t>
  </si>
  <si>
    <t>PPN-29369_Listing_TC_02</t>
  </si>
  <si>
    <t>PPN-29369_Listing_TC_002_PFIN_Tax ID_List_Col</t>
  </si>
  <si>
    <t>PPN-29369_Listing_TC_03</t>
  </si>
  <si>
    <t>PPN-29369_Listing_TC_003_Export_HistoryBtn</t>
  </si>
  <si>
    <t>PPN-29369_Listing_TC_04</t>
  </si>
  <si>
    <t>PPN-29369_Listing_TC_004_TypePrimarySpliztn_Col</t>
  </si>
  <si>
    <t>PPN-29369_Listing_TC_05</t>
  </si>
  <si>
    <t>PPN-29369_Listing_TC_005PrmColRadioBtn</t>
  </si>
  <si>
    <t>Deprecated</t>
  </si>
  <si>
    <t>Blocked</t>
  </si>
  <si>
    <t>PPN-29369_Listing_TC_06</t>
  </si>
  <si>
    <t>PPN-29369_Listing_TC_006_TaxNameForOwningTaxId</t>
  </si>
  <si>
    <t>Provider Screen</t>
  </si>
  <si>
    <t>PPN-29419</t>
  </si>
  <si>
    <t>PPN-29419_Hyperlink_TC_001_Hyperlinks</t>
  </si>
  <si>
    <t>PPN-29419_Hyperlink_TC_002_TAX_PPN_PPN-39717_TC1</t>
  </si>
  <si>
    <t>PPN-29419_Hyperlink_TC_002_TAX</t>
  </si>
  <si>
    <t>PPN-29419_Hyperlink_TC_002_TAX~PPN-39717-RoutingAfterSelectingTaxID_TC001</t>
  </si>
  <si>
    <t>PPN-29419_Hyperlink_TC_003_PFIN</t>
  </si>
  <si>
    <t>New Functionality Being Implemented For Physical Location and Billing Location by Team Hulks, blocking the scripts for now.</t>
  </si>
  <si>
    <t>PPN-29419_Hyperlink_TC_004_Bill_PFIN</t>
  </si>
  <si>
    <t>PPN-31362</t>
  </si>
  <si>
    <t>PPN-31362_ND_PPN-29423_PIER_Provider_Screen_TC001</t>
  </si>
  <si>
    <t>PPN-31362_PIER_Provider_Screen_TC001_Sorting_All_Columns</t>
  </si>
  <si>
    <t>PPN-31362_PIER_Provider_Screen_TC001_Sorting_All_Columns~PPN-29423_PIER_List_Screens_TC01_Sorting_On_Tax_ID~PPN-29423_PIER_List_Screens_TC02_Sorting_On_Tax_Type~PPN-29423_PIER_List_Screens_TC03_Sorting_On_PFIN_Number~PPN-29423_PIER_List_Screens_TC04_Sorting_On_Bill_PFIN_Number~PPN-29423_PIER_List_Screens_TC05_Sorting_On_Physical_Address</t>
  </si>
  <si>
    <t>PPN-29423</t>
  </si>
  <si>
    <t>PPN-29423_PIER_List_Screens_TC01_Sorting_On_Tax_ID</t>
  </si>
  <si>
    <t>PPN-29423_PIER_List_Screens_TC02_Sorting_On_Tax_Type</t>
  </si>
  <si>
    <t>PPN-29423_PIER_List_Screens_TC03_Sorting_On_PFIN_Number</t>
  </si>
  <si>
    <t>PPN-29423_PIER_List_Screens_TC04_Sorting_On_Bill_PFIN_Number</t>
  </si>
  <si>
    <t>PPN-29423_PIER_List_Screens_TC05_Sorting_On_Physical_Address</t>
  </si>
  <si>
    <t>PPN-31362_PIER_Provider_Screen_TC002</t>
  </si>
  <si>
    <t>PPN-31362_PIER_Provider_Screen_TC002_Primary_Address_In_First_Row</t>
  </si>
  <si>
    <t>Blocked as on 16-MAY-2019 due to Primary Column showing two buttons</t>
  </si>
  <si>
    <t>PPN-31358</t>
  </si>
  <si>
    <t>PPN-31358_PIER_Provider_Screen_TC001</t>
  </si>
  <si>
    <t>PPN-31358_PIER_Provider_Screen_TC001_Verify_Upper_Case</t>
  </si>
  <si>
    <t>PPN-31179</t>
  </si>
  <si>
    <t>PPN-31179_PIER_PFIN_Details_Screen_TC001</t>
  </si>
  <si>
    <t>PPN-31179_PIER_PFIN_Details_Screen_TC001_Sorting_All_Columns</t>
  </si>
  <si>
    <t>PPN-31179_PIER_PFIN_Details_Screen_TC002</t>
  </si>
  <si>
    <t>PPN-31179_PIER_PFIN_Details_Screen_TC002_Primary_Address_In_First_Row</t>
  </si>
  <si>
    <t>PPN-31176</t>
  </si>
  <si>
    <t>PPN-31176_PIER_PFIN_Details_TC001_To_TC005</t>
  </si>
  <si>
    <t>PPN-31176_PIER_PFIN_Details_TC001_Pagination_Less_Than_10_Records</t>
  </si>
  <si>
    <t>PPN-31176_PIER_PFIN_Details_TC001_Pagination_Less_Than_10_Records~PPN-31176_PIER_PFIN_Details_TC002_Pagination_More_Than_10_Records~PPN-31176_PIER_PFIN_Details_TC003_Pagination_First_Page~PPN-31176_PIER_PFIN_Details_TC004_Pagination_Last_Page~PPN-31176_PIER_PFIN_Details_TC005_Pagination_And_Sprting</t>
  </si>
  <si>
    <t>PPN-31176_PIER_PFIN_Details_TC002_Pagination_More_Than_10_Records</t>
  </si>
  <si>
    <t>PPN-31176_PIER_PFIN_Details_TC003_Pagination_First_Page</t>
  </si>
  <si>
    <t>PPN-31176_PIER_PFIN_Details_TC004_Pagination_Last_Page</t>
  </si>
  <si>
    <t>PPN-31176_PIER_PFIN_Details_TC005_Pagination_And_Sprting</t>
  </si>
  <si>
    <t>PPN-31178</t>
  </si>
  <si>
    <t>PPN-31178_PFINDetails_TC_001</t>
  </si>
  <si>
    <t xml:space="preserve">PPN-31178_PFINDetails_TC_001_PFIN_Tax ID_List </t>
  </si>
  <si>
    <t>PPN-31178_PFINDetails__TC_002</t>
  </si>
  <si>
    <t>PPN-31178_PFINDetails__TC_002_TaxNameForOwningTaxId</t>
  </si>
  <si>
    <t>PPN-31178_PFINDetails__TC_003</t>
  </si>
  <si>
    <t>PPN-31178_PFINDetails__TC_003_PFINListHeaders&amp;OwningTaxIDonOtherpagesOfPagination</t>
  </si>
  <si>
    <t>PPN-31180</t>
  </si>
  <si>
    <t>PPN-31180_PFINDetailsHyperlink_TC_001</t>
  </si>
  <si>
    <t>PPN-31180_PFINDetailsHyperlink_TC_001_Hyperlinks</t>
  </si>
  <si>
    <t>PPN-31180_PFINDetailsHyperlink_TC_002</t>
  </si>
  <si>
    <t>PPN-31180_PFINDetailsHyperlink_TC_002_TAX</t>
  </si>
  <si>
    <t>PPN-31180_PFINDetailsHyperlink_TC_003</t>
  </si>
  <si>
    <t>PPN-31180_PFINDetailsHyperlink_TC_003_PFIN</t>
  </si>
  <si>
    <t>PPN-31180_PFINDetailsHyperlink_TC_004</t>
  </si>
  <si>
    <t>PPN-31180_PFINDetailsHyperlink_TC_004_Bill_PFIN</t>
  </si>
  <si>
    <t>PPN-31180_PFINDetailsHyperlink_TC_005</t>
  </si>
  <si>
    <t>PPN-31180_PFINDetailsHyperlink_TC_005_HyperlinksOnOtherPagesOfPagination</t>
  </si>
  <si>
    <t>PPN-31171</t>
  </si>
  <si>
    <t>PPN-31171_Bill_PFIN_Hyperlink_Redirection_001</t>
  </si>
  <si>
    <t>PPN-31171_PFIN_Details_Screen:_Bill_PFIN_Hyperlink_Redirection_001</t>
  </si>
  <si>
    <t>PPN-31175</t>
  </si>
  <si>
    <t>PPN-31175_PFIN_Hyperlink_Redirection_001</t>
  </si>
  <si>
    <t>PPN-31175_PFIN_Details_Screen:_PFIN_Hyperlink_Redirection_001</t>
  </si>
  <si>
    <t>PPN-31388</t>
  </si>
  <si>
    <t>PPN-31388_Provider_Charactertistic_Set_GET_200_TC_001</t>
  </si>
  <si>
    <t>PPN-31388_Provider_Charactertistic_Set_GET_200_TC_002</t>
  </si>
  <si>
    <t>PPN-31397</t>
  </si>
  <si>
    <t>PPN-31397_Provider_Charactertistic_Set_GET_404_TC_001</t>
  </si>
  <si>
    <t>PPN-31397_Provider_Charactertistic_Set_GET_404_TC_002</t>
  </si>
  <si>
    <t>PPN-31397_Provider_Charactertistic_Set_GET_404_TC_003</t>
  </si>
  <si>
    <t>PPN-31397_Provider_Charactertistic_Set_GET_404_TC_005</t>
  </si>
  <si>
    <t>PPN-31399</t>
  </si>
  <si>
    <t>PPN-31399_Provider_Charactertistic_Set_GET_400_TC_001</t>
  </si>
  <si>
    <t>PPN-31399_Provider_Charactertistic_Set_GET_400_TC_002</t>
  </si>
  <si>
    <t>PPN-31399_Provider_Charactertistic_Set_GET_400_TC_003</t>
  </si>
  <si>
    <t>PPN-31399_Provider_Charactertistic_Set_GET_400_TC_004</t>
  </si>
  <si>
    <t>PPN-31399_Provider_Charactertistic_Set_GET_400_TC_006</t>
  </si>
  <si>
    <t>PPN-31399_Provider_Charactertistic_Set_GET_400_TC_007</t>
  </si>
  <si>
    <t>PPN-31399_Provider_Charactertistic_Set_GET_400_TC_005</t>
  </si>
  <si>
    <t>PPN-31397_Provider_Charactertistic_Set_GET_404_TC_004</t>
  </si>
  <si>
    <t>License</t>
  </si>
  <si>
    <t>PPN-32731</t>
  </si>
  <si>
    <t>PPN-32727_TC001</t>
  </si>
  <si>
    <t>PPN-32727_Add_new_License_Details_modal_TC001</t>
  </si>
  <si>
    <t>Regression Defect Due To Addition of a new license exception column in the DB. License services needs to be updated.</t>
  </si>
  <si>
    <t>PPN-32726</t>
  </si>
  <si>
    <t>PPN-32726_001_ND_002_ND_PPN-10896_TC001</t>
  </si>
  <si>
    <t>PPN-32726_LicenseSectionMaintenanceModalSet UpEdit_FieldsValidation</t>
  </si>
  <si>
    <t>PPN-32726_LicenseSectionMaintenanceModalSet UpEdit_FieldsValidation~PPN-32726_LicenseSectionMaintenanceModalSet UpEdit_PrepopulatedData~PPN-10896_State_defaulted_Activation_Plan_Add_new_License_Modal_TC001</t>
  </si>
  <si>
    <t>PPN-32726_LicenseSectionMaintenanceModalSet UpEdit_PrepopulatedData</t>
  </si>
  <si>
    <t>PPN-10896</t>
  </si>
  <si>
    <t>PPN-10896_State_defaulted_Activation_Plan_Add_new_License_Modal_TC001</t>
  </si>
  <si>
    <t>PPN-26908</t>
  </si>
  <si>
    <t>PPN-26908_License_Details_table_Mode_TC001</t>
  </si>
  <si>
    <t>PPN-26908_License_Details_table_Mode_TC001~PPN-26908_License_Details_table_Mode_TC002</t>
  </si>
  <si>
    <t>PPN-26908_License_Details_table_Mode_TC002</t>
  </si>
  <si>
    <t>PPN-30405</t>
  </si>
  <si>
    <t>PPN-30405_PFIN_Redirection_TC001</t>
  </si>
  <si>
    <t>PPN-30405_Provider_Screen_Tax_PFIN_List_PFIN_Hyperlink_Redirection_001</t>
  </si>
  <si>
    <t>PPN-30406</t>
  </si>
  <si>
    <t>PPN-30406_BILL_PFIN_Redirection_TC001</t>
  </si>
  <si>
    <t>PPN-30406_Provider_Screen_Tax_PFIN_List_Bill_PFIN_Hyperlink_Redirection_001</t>
  </si>
  <si>
    <t>PPN-32819</t>
  </si>
  <si>
    <t>PPN-32819_LicenseTableDataVerification_NON_IL</t>
  </si>
  <si>
    <t>PPN-32819_License_Details_table_Mode_Data_TC001</t>
  </si>
  <si>
    <t>PPN-32819_LicenseTableDataVerification_IL</t>
  </si>
  <si>
    <t>PPN-32819_License_Details_table_Mode_Data_TC002</t>
  </si>
  <si>
    <t>PPN-32819_License_Details_table_Mode_Data_TC002~PPN-32819_License_Details_table_Mode_Data_TC003</t>
  </si>
  <si>
    <t>PPN-32819_License_Details_table_Mode_Data_TC003</t>
  </si>
  <si>
    <t>PPN-32729</t>
  </si>
  <si>
    <t>PPN-32729_Edit_License_NON_IL_TC01_To_TC12_PPN-36869_TC04</t>
  </si>
  <si>
    <t>PPN-32729_License_Section_Maintenance_Modal_Functionality_Edit_Non_IL_Plan_001_ModalFieldsValidation</t>
  </si>
  <si>
    <t>PPN-32729_License_Section_Maintenance_Modal_Functionality_Edit_Non_IL_Plan_001_ModalFieldsValidation~PPN-32729_License_Section_Maintenance_Modal_Functionality_Edit_Non_IL_Plan_002_MandatoryAndOptionalFieldsValidation~PPN-32729_License_Section_Maintenance_Modal_Functionality_Edit_Non_IL_Plan_003_GRMouseClickAndSorting~PPN-32729_License_Section_Maintenance_Modal_Functionality_Edit_Non_IL_Plan_004_GRArrowKeys~PPN-32729_License_Section_Maintenance_Modal_Functionality_Edit_Non_IL_Plan_005_GRFilterClearAndSelectDropdownValues~PPN-32729_License_Section_Maintenance_Modal_Functionality_Edit_Non_IL_Plan_006_GRTabbing~PPN-32729_License_Section_Maintenance_Modal_Functionality_Edit_Non_IL_Plan_007_GREnterWhenValueSelected~PPN-32729_License_Section_Maintenance_Modal_Functionality_Edit_Non_IL_Plan_008_GRDropdownWidth~PPN-32729_License_Section_Maintenance_Modal_Functionality_Edit_Non_IL_Plan_009_GRCloseModal~PPN-32729_License_Section_Maintenance_Modal_Functionality_Edit_Non_IL_Plan_010_GRErrorInField~PPN-32729_License_Section_Maintenance_Modal_Functionality_Edit_Non_IL_Plan_011_GRErrorMessage~PPN-32729_License_Section_Maintenance_Modal_Functionality_Edit_Non_IL_Plan_012_GRErrorMessageStyling~PPN-36869_Error_Message_Format_Edit_Modal_004</t>
  </si>
  <si>
    <t>PPN-32729_License_Section_Maintenance_Modal_Functionality_Edit_Non_IL_Plan_002_MandatoryAndOptionalFieldsValidation</t>
  </si>
  <si>
    <t>PPN-32729_License_Section_Maintenance_Modal_Functionality_Edit_Non_IL_Plan_003_GRMouseClickAndSorting</t>
  </si>
  <si>
    <t>PPN-32729_License_Section_Maintenance_Modal_Functionality_Edit_Non_IL_Plan_004_GRArrowKeys</t>
  </si>
  <si>
    <t>PPN-32729_License_Section_Maintenance_Modal_Functionality_Edit_Non_IL_Plan_005_GRFilterClearAndSelectDropdownValues</t>
  </si>
  <si>
    <t>PPN-32729_License_Section_Maintenance_Modal_Functionality_Edit_Non_IL_Plan_006_GRTabbing</t>
  </si>
  <si>
    <t>PPN-32729_License_Section_Maintenance_Modal_Functionality_Edit_Non_IL_Plan_007_GREnterWhenValueSelected</t>
  </si>
  <si>
    <t>PPN-32729_License_Section_Maintenance_Modal_Functionality_Edit_Non_IL_Plan_008_GRDropdownWidth</t>
  </si>
  <si>
    <t>PPN-32729_License_Section_Maintenance_Modal_Functionality_Edit_Non_IL_Plan_009_GRCloseModal</t>
  </si>
  <si>
    <t>PPN-32729_License_Section_Maintenance_Modal_Functionality_Edit_Non_IL_Plan_010_GRErrorInField</t>
  </si>
  <si>
    <t>PPN-32729_License_Section_Maintenance_Modal_Functionality_Edit_Non_IL_Plan_011_GRErrorMessage</t>
  </si>
  <si>
    <t>PPN-32729_License_Section_Maintenance_Modal_Functionality_Edit_Non_IL_Plan_012_GRErrorMessageStyling</t>
  </si>
  <si>
    <t>PPN-32777</t>
  </si>
  <si>
    <t>PPN-32777_Edit_License_IL_TC001_To_TC012_ND_PPN-10896_TC002</t>
  </si>
  <si>
    <t>PPN-32777_License_Section_Maintenance_Modal_Functionality_Edit_IL_Plan_001_ModalFieldsValidation</t>
  </si>
  <si>
    <t>PPN-32777_License_Section_Maintenance_Modal_Functionality_Edit_IL_Plan_001_ModalFieldsValidation~PPN-32777_License_Section_Maintenance_Modal_Functionality_Edit_IL_Plan_002_MandatoryAndOptionalFieldsValidation~PPN-32777_License_Section_Maintenance_Modal_Functionality_Edit_IL_Plan_003_GRMouseClickAndSorting~PPN-32777_License_Section_Maintenance_Modal_Functionality_Edit_IL_Plan_004_GRArrowKeys~PPN-32777_License_Section_Maintenance_Modal_Functionality_Edit_IL_Plan_005_GRFilterClearAndSelectDropdownValues~PPN-32777_License_Section_Maintenance_Modal_Functionality_Edit_IL_Plan_006_GRTabbing~PPN-32777_License_Section_Maintenance_Modal_Functionality_Edit_IL_Plan_007_GREnterWhenValueSelected~PPN-32777_License_Section_Maintenance_Modal_Functionality_Edit_IL_Plan_008_GRCloseModal~PPN-32777_License_Section_Maintenance_Modal_Functionality_Edit_IL_Plan_009_GRErrorInField~PPN-32777_License_Section_Maintenance_Modal_Functionality_Edit_IL_Plan_010_GRErrorMessage~PPN-32777_License_Section_Maintenance_Modal_Functionality_Edit_IL_Plan_011_GRErrorMessageStyling~PPN-10896_State_defaulted_Activation_Plan_Add_new_License_Modal_TC002</t>
  </si>
  <si>
    <t>PPN-32777_License_Section_Maintenance_Modal_Functionality_Edit_IL_Plan_002_MandatoryAndOptionalFieldsValidation</t>
  </si>
  <si>
    <t>PPN-32777_License_Section_Maintenance_Modal_Functionality_Edit_IL_Plan_003_GRMouseClickAndSorting</t>
  </si>
  <si>
    <t>PPN-32777_License_Section_Maintenance_Modal_Functionality_Edit_IL_Plan_004_GRArrowKeys</t>
  </si>
  <si>
    <t>PPN-32777_License_Section_Maintenance_Modal_Functionality_Edit_IL_Plan_005_GRFilterClearAndSelectDropdownValues</t>
  </si>
  <si>
    <t>PPN-32777_License_Section_Maintenance_Modal_Functionality_Edit_IL_Plan_006_GRTabbing</t>
  </si>
  <si>
    <t>PPN-32777_License_Section_Maintenance_Modal_Functionality_Edit_IL_Plan_007_GREnterWhenValueSelected</t>
  </si>
  <si>
    <t>PPN-32777_License_Section_Maintenance_Modal_Functionality_Edit_IL_Plan_008_GRCloseModal</t>
  </si>
  <si>
    <t>PPN-32777_License_Section_Maintenance_Modal_Functionality_Edit_IL_Plan_009_GRErrorInField</t>
  </si>
  <si>
    <t>PPN-32777_License_Section_Maintenance_Modal_Functionality_Edit_IL_Plan_010_GRErrorMessage</t>
  </si>
  <si>
    <t>PPN-32777_License_Section_Maintenance_Modal_Functionality_Edit_IL_Plan_011_GRErrorMessageStyling</t>
  </si>
  <si>
    <t>PPN-10896_State_defaulted_Activation_Plan_Add_new_License_Modal_TC002</t>
  </si>
  <si>
    <t>PPN-32728</t>
  </si>
  <si>
    <t>PPN-32728_Delete_Functionality_License_Details_Table_TC001_ND_002</t>
  </si>
  <si>
    <t>PPN-32728_Delete_License_Details_TC001</t>
  </si>
  <si>
    <t>PPN-32728_Delete_License_Details_TC001~PPN-32728_Delete_License_Details_TC002</t>
  </si>
  <si>
    <t>PPN-32728_Delete_License_Details_TC002</t>
  </si>
  <si>
    <t>PPN-32731_AddNewLicenseNonIL_001to_015_ND_PPN-43885_TC01</t>
  </si>
  <si>
    <t>PPN-32731_LicenseSectionModalFunctionalityAddNewNonIL-ModalFields&amp;Asterisk</t>
  </si>
  <si>
    <t>PPN-32731_LicenseSectionModalFunctionalityAddNewNonIL-ModalFields&amp;Asterisk~PPN-32731_LicenseSectionModalFunctionalityAddNewNonIL-GRMouseClick&amp;UP&amp;DownKeys~PPN-32731_LicenseSectionModalFunctionalityAddNewNonIL-GRSortingOfValues~PPN-32731_LicenseSectionModalFunctionalityAddNewNonIL-GRFilterDropdownValues&amp;ValueSelectOnEnter/Click~PPN-32731_LicenseSectionModalFunctionalityAddNewNonIL-GRClearDropdownValues~PPN-32731_LicenseSectionModalFunctionalityAddNewNonIL-GRNoSelectionOnTabbing~PPN-32731_LicenseSectionModalFunctionalityAddNewNonIL-GRNoChangeOnTabbing~PPN-32731_LicenseSectionModalFunctionalityAddNewNonIL-GRBackspace~PPN-32731_LicenseSectionModalFunctionalityAddNewNonIL-GRHoldingUpandDownArrows ~PPN-32731_LicenseSectionModalFunctionalityAddNewNonIL-GRDropdownWidth~PPN-32731_LicenseSectionModalFunctionalityAddNewNonIL-Click&amp;TabOut~PPN-32731_LicenseSectionModalFunctionalityAddNewNonIL_ExpDateOnIssueDate-Click&amp;TabOut~PPN-32731_LicenseSectionModalFunctionalityAddNewNonIL_GRRequiredFieldsErrorMessageForEmptyData~PPN-32731_LicenseSectionModalFunctionalityAddNewNonIL_RequiredFieldsErrorMessageForClearingData~PPN-32731_LicenseSectionModalFunctionalityAddNewNonIL_MessageDisappearOnCorrection~PPN-43885_License_Change_UI_Integration_Add_TC01</t>
  </si>
  <si>
    <t>PPN-32731_LicenseSectionModalFunctionalityAddNewNonIL-GRMouseClick&amp;UP&amp;DownKeys</t>
  </si>
  <si>
    <t>PPN-32731_LicenseSectionModalFunctionalityAddNewNonIL-GRSortingOfValues</t>
  </si>
  <si>
    <t>PPN-32731_LicenseSectionModalFunctionalityAddNewNonIL-GRFilterDropdownValues&amp;ValueSelectOnEnter/Click</t>
  </si>
  <si>
    <t>PPN-32731_LicenseSectionModalFunctionalityAddNewNonIL-GRClearDropdownValues</t>
  </si>
  <si>
    <t>PPN-32731_LicenseSectionModalFunctionalityAddNewNonIL-GRNoSelectionOnTabbing</t>
  </si>
  <si>
    <t>PPN-32731_LicenseSectionModalFunctionalityAddNewNonIL-GRNoChangeOnTabbing</t>
  </si>
  <si>
    <t>PPN-32731_LicenseSectionModalFunctionalityAddNewNonIL-GRBackspace</t>
  </si>
  <si>
    <t xml:space="preserve">PPN-32731_LicenseSectionModalFunctionalityAddNewNonIL-GRHoldingUpandDownArrows </t>
  </si>
  <si>
    <t>PPN-32731_LicenseSectionModalFunctionalityAddNewNonIL-GRDropdownWidth</t>
  </si>
  <si>
    <t>PPN-32731_LicenseSectionModalFunctionalityAddNewNonIL-Click&amp;TabOut</t>
  </si>
  <si>
    <t>PPN-32731_LicenseSectionModalFunctionalityAddNewNonIL_ExpDateOnIssueDate-Click&amp;TabOut</t>
  </si>
  <si>
    <t>PPN-32731_LicenseSectionModalFunctionalityAddNewNonIL_GRRequiredFieldsErrorMessageForEmptyData</t>
  </si>
  <si>
    <t>PPN-32731_LicenseSectionModalFunctionalityAddNewNonIL_RequiredFieldsErrorMessageForClearingData</t>
  </si>
  <si>
    <t>PPN-32731_LicenseSectionModalFunctionalityAddNewNonIL_MessageDisappearOnCorrection</t>
  </si>
  <si>
    <t>PPN-32755</t>
  </si>
  <si>
    <t>PPN-32755_TC01_To_TC12_PPN-36869_TC03</t>
  </si>
  <si>
    <t>PPN-32755_LicenseSectionModalFunctionalityAddNewILPlan-ModalFields</t>
  </si>
  <si>
    <t>PPN-32755_LicenseSectionModalFunctionalityAddNewILPlan-ModalFields~PPN-32755_LicenseSectionModalFunctionalityAddNewILPlan-ChangeTheState~PPN-32755_LicenseSectionModalFunctionalityAddNewIL-Click&amp;TabOut~PPN-32755_LicenseSectionModalFunctionalityAddNewIL_ExpDateOnIssueDate-Click&amp;TabOut~PPN-32755_LicenseSectionModalFunctionalityAddNewILPlan_GRRequiredFieldsErrorMessageForEmptyData~PPN-32755_LicenseSectionModalFunctionalityAddNewILPlan_RequiredFieldsErrorMessageForClearingData~PPN-32755_LicenseSectionModalFunctionalityAddNewILPlan_MessageDisappearOnCorrection~PPN-32755_LicenseSectionModalFunctionalityAddNewILPlan-GRSorting~PPN-32755_LicenseSectionModalFunctionalityAddNewILPlan-GRMouseClick&amp;UP&amp;DownKeys~PPN-32755_LicenseSectionModalFunctionalityAddNewILPlan-GRFilterDropdownValues&amp;ValueSelectOnEnter/Click~PPN-32755_LicenseSectionModalFunctionalityAddNewILPlan-GRClearDropdownValues~PPN-32755_LicenseSectionModalFunctionalityAddNewILPlan-GRBackspace~PPN-36869_Error_Message_Format_Add_License_Modal_003</t>
  </si>
  <si>
    <t>PPN-32755_LicenseSectionModalFunctionalityAddNewILPlan-ChangeTheState</t>
  </si>
  <si>
    <t>PPN-32755_LicenseSectionModalFunctionalityAddNewIL-Click&amp;TabOut</t>
  </si>
  <si>
    <t>PPN-32755_LicenseSectionModalFunctionalityAddNewIL_ExpDateOnIssueDate-Click&amp;TabOut</t>
  </si>
  <si>
    <t>PPN-32755_LicenseSectionModalFunctionalityAddNewILPlan_GRRequiredFieldsErrorMessageForEmptyData</t>
  </si>
  <si>
    <t>PPN-32755_LicenseSectionModalFunctionalityAddNewILPlan_RequiredFieldsErrorMessageForClearingData</t>
  </si>
  <si>
    <t>PPN-32755_LicenseSectionModalFunctionalityAddNewILPlan_MessageDisappearOnCorrection</t>
  </si>
  <si>
    <t>PPN-32755_LicenseSectionModalFunctionalityAddNewILPlan-GRSorting</t>
  </si>
  <si>
    <t>PPN-32755_LicenseSectionModalFunctionalityAddNewILPlan-GRMouseClick&amp;UP&amp;DownKeys</t>
  </si>
  <si>
    <t>PPN-32755_LicenseSectionModalFunctionalityAddNewILPlan-GRFilterDropdownValues&amp;ValueSelectOnEnter/Click</t>
  </si>
  <si>
    <t>PPN-32755_LicenseSectionModalFunctionalityAddNewILPlan-GRClearDropdownValues</t>
  </si>
  <si>
    <t>PPN-32755_LicenseSectionModalFunctionalityAddNewILPlan-GRBackspace</t>
  </si>
  <si>
    <t>PPN-32767</t>
  </si>
  <si>
    <t>PPN-32767_LicenseCertificationNumberValidations_001to004</t>
  </si>
  <si>
    <t>PPN-32767_LicenseSectionMaintenanceLicenseCertificationNumberValidations_FieldLengthMaxMin</t>
  </si>
  <si>
    <t>PPN-32767_LicenseSectionMaintenanceLicenseCertificationNumberValidations_FieldLengthMaxMin~PPN-32767_LicenseSectionMaintenanceLicenseCertificationNumberValidations_ValidInputs~PPN-32767_LicenseSectionMaintenanceLicenseCertificationNumberValidations_2ConsecutiveHyphens~PPN-32767_LicenseSectionMaintenanceLicenseCertificationNumberValidations_HyphenInStart&amp;End</t>
  </si>
  <si>
    <t>PPN-32767_LicenseSectionMaintenanceLicenseCertificationNumberValidations_ValidInputs</t>
  </si>
  <si>
    <t>PPN-32767_LicenseSectionMaintenanceLicenseCertificationNumberValidations_2ConsecutiveHyphens</t>
  </si>
  <si>
    <t>PPN-32767_LicenseSectionMaintenanceLicenseCertificationNumberValidations_HyphenInStart&amp;End</t>
  </si>
  <si>
    <t>PPN-33207</t>
  </si>
  <si>
    <t>PPN-33207_Provider_Screen_PFIN_Tax_List_Disable_Primary_Column_001</t>
  </si>
  <si>
    <t>PPN-32801</t>
  </si>
  <si>
    <t>PPN-32801_License_Screen_With_Exception_Indicator_001</t>
  </si>
  <si>
    <t>PPN-32802</t>
  </si>
  <si>
    <t>PPN-32802_Remove_LicenseException_Modal_SetUp_001to002</t>
  </si>
  <si>
    <t>PPN-32802_Remove_License Exception_Modal_SetUp_001</t>
  </si>
  <si>
    <t>PPN-32802_Remove_License Exception_Modal_SetUp_001~PPN-32802_Remove_License Exception_Modal_Fields_002</t>
  </si>
  <si>
    <t>PPN-32802_Remove_License Exception_Modal_Fields_002</t>
  </si>
  <si>
    <t>PPN-32880</t>
  </si>
  <si>
    <t>PPN-32880_License_Accordion_Routing_SetUp_TC001</t>
  </si>
  <si>
    <t>PPN-33203</t>
  </si>
  <si>
    <t>PPN-33203_TaxPFINListMaintenanceCHANGEApplySortingToRemainingColumn_TC001</t>
  </si>
  <si>
    <t>PPN-33203_TaxPFIN List:Maintenance[CHANGE]ApplySortingToRemainingColumn_TC001</t>
  </si>
  <si>
    <t>Blocked as on 21-MAY-2019 due to Primary Column showing showing 'Primary' text instead of radio button. These changes are part of Team 4 functionality.</t>
  </si>
  <si>
    <t>PPN-34604</t>
  </si>
  <si>
    <t>PPN-34604_LocationsPFINListMaintenanceApplyRequiredChanges_001</t>
  </si>
  <si>
    <t>PPN-34604_LocationsPFIN ListMaintenanceApplyRequiredChanges_001-PFINListScreen</t>
  </si>
  <si>
    <t>PPN-32807</t>
  </si>
  <si>
    <t>PPN-32807_RemoveLicenseException_001to004</t>
  </si>
  <si>
    <t>PPN-32807_LicenseSectionMaintenanceModal Validations,AddNew(AfterRemovingException)_001-FieldLengthMaxMin</t>
  </si>
  <si>
    <t>PPN-32807_LicenseSectionMaintenanceModal Validations,AddNew(AfterRemovingException)_001-FieldLengthMaxMin~PPN-32807_LicenseSectionMaintenanceModal Validations,AddNew(AfterRemovingException)_002-ValidInputs~PPN-32807_LicenseSectionMaintenanceModal Validations,AddNew(AfterRemovingException)_003-ConsecutiveHyphens~PPN-32807_LicenseSectionMaintenanceModal Validations,AddNew(AfterRemovingException)_004-HyphenInStart&amp;End</t>
  </si>
  <si>
    <t>PPN-32807_LicenseSectionMaintenanceModal Validations,AddNew(AfterRemovingException)_002-ValidInputs</t>
  </si>
  <si>
    <t>PPN-32807_LicenseSectionMaintenanceModal Validations,AddNew(AfterRemovingException)_003-ConsecutiveHyphens</t>
  </si>
  <si>
    <t>PPN-32807_LicenseSectionMaintenanceModal Validations,AddNew(AfterRemovingException)_004-HyphenInStart&amp;End</t>
  </si>
  <si>
    <t>PPN-32807_TC05_To_TC08_PPN-36869_TC01</t>
  </si>
  <si>
    <t>PPN-32807_LicenseSectionMaintenanceModal Validations,AddNew(AfterRemovingException)_005-ModalFields&amp;AsteriskforNonIL</t>
  </si>
  <si>
    <t>PPN-32807_LicenseSectionMaintenanceModal Validations,AddNew(AfterRemovingException)_005-ModalFields&amp;AsteriskforNonIL~PPN-32807_LicenseSectionMaintenanceModal Validations,AddNew(AfterRemovingException)_006-ModalFields&amp;AsteriskforIL~PPN-32807_LicenseSectionMaintenanceModal Validations,AddNew(AfterRemovingException)_007-SaveButtonEnabled~PPN-32807_LicenseSectionMaintenanceModal Validations,AddNew(AfterRemovingException)_008-CancelButtom~PPN-36869_Error_Message_Format_Remove_License Exception_Modal_001</t>
  </si>
  <si>
    <t>PPN-32807_LicenseSectionMaintenanceModal Validations,AddNew(AfterRemovingException)_006-ModalFields&amp;AsteriskforIL</t>
  </si>
  <si>
    <t>PPN-32807_LicenseSectionMaintenanceModal Validations,AddNew(AfterRemovingException)_007-SaveButtonEnabled</t>
  </si>
  <si>
    <t>PPN-32807_LicenseSectionMaintenanceModal Validations,AddNew(AfterRemovingException)_008-CancelButtom</t>
  </si>
  <si>
    <t>PPN-32807_RemoveLicenseException_009</t>
  </si>
  <si>
    <t>PPN-32807_LicenseSectionMaintenanceModal Validations,AddNew(AfterRemovingException)_009-IssueDateEnabled&amp;DateRules</t>
  </si>
  <si>
    <t>PPN-32807_010_ND_PPN-36187_TC002</t>
  </si>
  <si>
    <t>PPN-32807_LicenseSectionMaintenanceModal Validations,AddNew(AfterRemovingException)_010-ExpDateEnabled&amp;DateRules</t>
  </si>
  <si>
    <t>PPN-33796</t>
  </si>
  <si>
    <t>PPN-33796_LicenseSectionCodeRefCall_001to003</t>
  </si>
  <si>
    <t>PPN-33796_LicenseSection:CodeRefCallForDropdowns_001-ForStateField</t>
  </si>
  <si>
    <t>PPN-33796_LicenseSection:CodeRefCallForDropdowns_001-ForStateField~PPN-33796_LicenseSection:CodeRefCallForDropdowns_002-ForStatusField~PPN-33796_LicenseSection:CodeRefCallForDropdowns_003-ForLicenseBodyField</t>
  </si>
  <si>
    <t>PPN-33796_LicenseSection:CodeRefCallForDropdowns_002-ForStatusField</t>
  </si>
  <si>
    <t>PPN-33796_LicenseSection:CodeRefCallForDropdowns_003-ForLicenseBodyField</t>
  </si>
  <si>
    <t>PPN-11089</t>
  </si>
  <si>
    <t>PPN-11089_License_SaveFunctionality_TC01_ND_02_ND_PPN-43885_TC02</t>
  </si>
  <si>
    <t>PPN-11089_License_Section_Maintenance_Apply_Edit_Mode_V1_001_ButtonFunctionality</t>
  </si>
  <si>
    <t>PPN-11089_License_Section_Maintenance_Apply_Edit_Mode_V1_001_ButtonFunctionality~PPN-11089_License_Section_Maintenance_Apply_Edit_Mode_V1_002_PrePopulatedData~PPN-43885_License_Change_UI_Integration_Edit_TC02</t>
  </si>
  <si>
    <t>Regression Defect || PPN-47028 : SP8 - Ultrons - Regression - Unable to save License Details of two exactly matching records</t>
  </si>
  <si>
    <t>PPN-11089_License_Section_Maintenance_Apply_Edit_Mode_V1_002_PrePopulatedData</t>
  </si>
  <si>
    <t>PPN-32821</t>
  </si>
  <si>
    <t>PPN-32821_TC01_ND_PPN-34505_TC_01_To_02</t>
  </si>
  <si>
    <t>PPN-32821_License_Section_Maintenance_Apply_Table_Row_Activation_GR_001_HoverFunctionality</t>
  </si>
  <si>
    <t>PPN-32821_License_Section_Maintenance_Apply_Table_Row_Activation_GR_001_HoverFunctionality~PPN-34505_License_Section_Maintenance_Apply_Required_Changes_001_IconsValidation~PPN-34505_License_Section_Maintenance_Apply_Required_Changes_002_GreyOutAlternateRows</t>
  </si>
  <si>
    <t>PPN-34505</t>
  </si>
  <si>
    <t>PPN-34505_License_Section_Maintenance_Apply_Required_Changes_001_IconsValidation</t>
  </si>
  <si>
    <t>PPN-34505_License_Section_Maintenance_Apply_Required_Changes_002_GreyOutAlternateRows</t>
  </si>
  <si>
    <t>Specialty</t>
  </si>
  <si>
    <t>PPN-7399</t>
  </si>
  <si>
    <t>PPN-7399_Specialty_And_Type_Table_Section_001_SpecialtyDetailsTableValidations</t>
  </si>
  <si>
    <t>PPN-7399_Specialty_And_Type_Table_Section_002_SubspecialtyDetailsTableValidations</t>
  </si>
  <si>
    <t>PPN-7399_Specialty_And_Type_Table_Section_003_ButtonValidations</t>
  </si>
  <si>
    <t>PPN-34527</t>
  </si>
  <si>
    <t>PPN-34527_Specialty_And_Type_Section_UI_Integration_001_VerifyData</t>
  </si>
  <si>
    <t>PPN-34527_Specialty_And_Type_Section_UI_Integration_002_VerifyData</t>
  </si>
  <si>
    <t>PPN-34527_Specialty_And_Type_Section_UI_Integration_003_VerifyData</t>
  </si>
  <si>
    <t>PPN-11052</t>
  </si>
  <si>
    <t>PPN-11052_AddLicense_DateValidation_TC01_02</t>
  </si>
  <si>
    <t>PPN-11052_DateValidation_AddNew_Modal_License_Section_TC001</t>
  </si>
  <si>
    <t>PPN-11052_DateValidation_AddNew_Modal_License_Section_TC001~PPN-11052_DateValidation_AddNew_Modal_License_Section_TC002</t>
  </si>
  <si>
    <t>PPN-11052_DateValidation_AddNew_Modal_License_Section_TC002</t>
  </si>
  <si>
    <t>PPN-11052_EditLicense_DateValidation_TC03_04</t>
  </si>
  <si>
    <t>PPN-11052_DateValidation_Edit_Modal_License_Section_TC003</t>
  </si>
  <si>
    <t>PPN-11052_DateValidation_Edit_Modal_License_Section_TC003~PPN-11052_DateValidation_Edit_Modal_License_Section_TC004</t>
  </si>
  <si>
    <t>PPN-11052_DateValidation_Edit_Modal_License_Section_TC004</t>
  </si>
  <si>
    <t>PPN-32815</t>
  </si>
  <si>
    <t>PPN-32815_TC01_To_TC03_PPN-36869_TC02_PPN-36187_TC01</t>
  </si>
  <si>
    <t>PPN-32815_Add_License_Exception_TC001</t>
  </si>
  <si>
    <t>PPN-32815_Add_License_Exception_TC001~PPN-32815_Add_License_Exception_TC002~PPN-32815_Add_License_Exception_TC003~PPN-36869_Error_Message_Format_Add_License Exception_Modal_002~PPN-36187_RemoveOrAddLicenseExceptionModal_DateValidation_IssueDateEditable_001</t>
  </si>
  <si>
    <t>PPN-32815_Add_License_Exception_TC002</t>
  </si>
  <si>
    <t>PPN-32815_Add_License_Exception_TC003</t>
  </si>
  <si>
    <t>PPN-32816</t>
  </si>
  <si>
    <t>PPN-32816_License_Exception_Add_TableSetUp_TC01_02</t>
  </si>
  <si>
    <t>PPN-32816_License_Exception_added_TableSetUp_TC001</t>
  </si>
  <si>
    <t>PPN-32816_License_Exception_added_TableSetUp_TC001~PPN-32816_License_Exception_added_TableSetUp_TC002</t>
  </si>
  <si>
    <t>PPN-32816_License_Exception_added_TableSetUp_TC002</t>
  </si>
  <si>
    <t>PPN-34506</t>
  </si>
  <si>
    <t>PPN-34506_Tax_PFIN_List_DUET_Specs_TC001</t>
  </si>
  <si>
    <t>PPN-33586</t>
  </si>
  <si>
    <t>PPN-33586_Specialty_Section_Edit_Modal_Setup_TC01</t>
  </si>
  <si>
    <t>PPN-33586_Specialty_&amp;_Type Section_Edit__Modal_Set_Up_001</t>
  </si>
  <si>
    <t>PPN-36869</t>
  </si>
  <si>
    <t>PPN-36869_Error_Message_Format_Remove_License Exception_Modal_001</t>
  </si>
  <si>
    <t>PPN-36869_Error_Message_Format_Add_License Exception_Modal_002</t>
  </si>
  <si>
    <t>PPN-36869_Error_Message_Format_Add_License_Modal_003</t>
  </si>
  <si>
    <t>PPN-36869_Error_Message_Format_Edit_Modal_004</t>
  </si>
  <si>
    <t>PPN-33612</t>
  </si>
  <si>
    <t>PPN-33612-TC001_PPN-33719-TC001_002</t>
  </si>
  <si>
    <t>PPN-33612-SpecialtyTypeSectionMaintenanceModalSetUpDeleteModal_001_ModalWindow</t>
  </si>
  <si>
    <t>PPN-33612-SpecialtyTypeSectionMaintenanceModalSetUpDeleteModal_001_ModalWindow~PPN-33719-SpecialtyTypeSectionMaintenanceModalFunctionalityDelete_001_YesButtonFunctionaltiy~PPN-33719-SpecialtyTypeSectionMaintenanceModalFunctionalityDelete_002_NoButtonFunctionaltiy</t>
  </si>
  <si>
    <t>PPN-33719</t>
  </si>
  <si>
    <t>PPN-33719-SpecialtyTypeSectionMaintenanceModalFunctionalityDelete_001_YesButtonFunctionaltiy</t>
  </si>
  <si>
    <t>PPN-33719-SpecialtyTypeSectionMaintenanceModalFunctionalityDelete_002_NoButtonFunctionaltiy</t>
  </si>
  <si>
    <t>PPN-33645</t>
  </si>
  <si>
    <t>PPN-33645-Specialty_TC01_ND_02</t>
  </si>
  <si>
    <t>PPN-33645-SpecialtyTypeSectionMaintenanceApplyTableRowActivationGR_001_HoverFunctionalityPrimaryRecord</t>
  </si>
  <si>
    <t>PPN-33645-SpecialtyTypeSectionMaintenanceApplyTableRowActivationGR_001_HoverFunctionalityPrimaryRecord~PPN-33645-SpecialtyTypeSectionMaintenanceApplyTableRowActivationGR_002_HoverFunctionalityNonPrimaryRecord</t>
  </si>
  <si>
    <t>PPN-33645-SpecialtyTypeSectionMaintenanceApplyTableRowActivationGR_002_HoverFunctionalityNonPrimaryRecord</t>
  </si>
  <si>
    <t>PPN-33651</t>
  </si>
  <si>
    <t>PPN-33651-SpecialtyTypeSectionMaintenanceModalSetUpMakePrimary_001_ModalWindow</t>
  </si>
  <si>
    <t>PPN-33653</t>
  </si>
  <si>
    <t>PPN-33653-SpecialtyTypeSectionMaintenanceModalFunctionalityMakePrimary_001_YesButtonFunctionality</t>
  </si>
  <si>
    <t>PPN-33653-SpecialtyTypeSectionMaintenanceModalFunctionalityMakePrimary_002_NoButtonFunctionality</t>
  </si>
  <si>
    <t>PPN-37428</t>
  </si>
  <si>
    <t>PPN-37428-Healthtech_001_002_ND_PPN-41328_TC1</t>
  </si>
  <si>
    <t>PPN-37428-SpecialtyTypeSectionMaintenanceModalHealthtechAuditModalFieldsDelete Modal_001_iButtonExpansion</t>
  </si>
  <si>
    <t>PPN-37428-SpecialtyTypeSectionMaintenanceModalHealthtechAuditModalFieldsDelete Modal_001_iButtonExpansion~PPN-37428-SpecialtyTypeSectionMaintenanceModalHealthtechAuditModalFieldsDelete Modal_002_iButtonCollapse~PPN-41328-HealthtechAuditModalDeleteSpecialty_K_inUpperCase_TC001</t>
  </si>
  <si>
    <t>PPN-37428-SpecialtyTypeSectionMaintenanceModalHealthtechAuditModalFieldsDelete Modal_002_iButtonCollapse</t>
  </si>
  <si>
    <t>PPN-10897</t>
  </si>
  <si>
    <t>PPN-10897-SpecialtyTypeSectionMaintenanceModalFunctionalityAddNewSpecialty&amp;Type_001_ModalWindow</t>
  </si>
  <si>
    <t>PPN-10897-SpecialtyTypeSectionMaintenanceModalFunctionalityAddNewSpecialty&amp;Type_002-ModalFields&amp;Asterisk</t>
  </si>
  <si>
    <t>PPN-34525</t>
  </si>
  <si>
    <t>PPN-34525_Specialty_BoardCodeAndTypesRefCodeRelshp_001_SpecialtyDetailsTableValidations</t>
  </si>
  <si>
    <t>PPN-34525_Specialty_BoardCodeAndTypesRefCodeRelshp_002_SpecialtyDetailsTableValidations</t>
  </si>
  <si>
    <t>PPN-34525_Specialty_BoardCodeAndTypesRefCodeRelshp_003_SpecialtyDetailsTableValidations</t>
  </si>
  <si>
    <t>PPN-34330</t>
  </si>
  <si>
    <t>PPN-34330_Specialty_AddNewSpecialtyButton_001</t>
  </si>
  <si>
    <t>PPN-34330_Specialty_AddNewSpecialtyButton_002</t>
  </si>
  <si>
    <t>PPN-34333</t>
  </si>
  <si>
    <t>PPN-34333_Specialty_AddNewSubspecialtyFormValidations_001</t>
  </si>
  <si>
    <t>PPN-36187</t>
  </si>
  <si>
    <t>PPN-36187_RemoveOrAddLicenseExceptionModal_DateValidation_IssueDateEditable_001</t>
  </si>
  <si>
    <t>PPN-36187_RemoveLicenseExceptionModal_DateValidation_002</t>
  </si>
  <si>
    <t>PPN-37430</t>
  </si>
  <si>
    <t>PPN-37430_Healthtech_001_002_ND_PPN-41327_TC1</t>
  </si>
  <si>
    <t>PPN-37430_HealthtechAuditModalFieldsValidation_EditLicenseDetailsModal_001</t>
  </si>
  <si>
    <t>PPN-37430_HealthtechAuditModalFieldsValidation_EditLicenseDetailsModal_001~PPN-37430_HealthtechAuditModalFieldsValidation_EditLicenseDetailsModal_002~PPN-41327-HealthtechAuditModalDeleteLicense_K_inUpperCase_TC001</t>
  </si>
  <si>
    <t>PPN-37430_HealthtechAuditModalFieldsValidation_EditLicenseDetailsModal_002</t>
  </si>
  <si>
    <t>PPN-37431</t>
  </si>
  <si>
    <t>PPN-37431_Healthtech_001_002_ND_PPN-41327_TC2</t>
  </si>
  <si>
    <t>PPN-37431_HealthtechAuditModalFieldsValidation_DeleteLicenseDetailsModal_001</t>
  </si>
  <si>
    <t>PPN-37431_HealthtechAuditModalFieldsValidation_DeleteLicenseDetailsModal_001~PPN-37431_HealthtechAuditModalFieldsValidation_DeleteLicenseDetailsModal_002~PPN-41327-HealthtechAuditModalEditLicense_K_inUpperCase_TC002</t>
  </si>
  <si>
    <t>PPN-37431_HealthtechAuditModalFieldsValidation_DeleteLicenseDetailsModal_002</t>
  </si>
  <si>
    <t>PPN-33721</t>
  </si>
  <si>
    <t>PPN-33721_SpecialtyType_ModalSetUpAddNew</t>
  </si>
  <si>
    <t>PPN-33721-SpecialtyTypeSection_Maintenance:_Modal Set Up_AddNewSpecialtyType_TC01</t>
  </si>
  <si>
    <t>PPN-7409</t>
  </si>
  <si>
    <t>PPN-7409_SpecialtyType_ApplyEditMode_TC01</t>
  </si>
  <si>
    <t>PPN-7409_SpecialtyTypeSection_Maintenance_ApplyEditModev1_TC01</t>
  </si>
  <si>
    <t>PPN-33968</t>
  </si>
  <si>
    <t>PPN-33968_Modal_Set_Up_Edit _w/Subspecialty_TC001</t>
  </si>
  <si>
    <t>PPN-33968_Modal_Set_Up_Edit _w/Subspecialty_TC002</t>
  </si>
  <si>
    <t>PPN-33970</t>
  </si>
  <si>
    <t>PPN-33720_TC001_nd_PPN-33970_TC001_TC002</t>
  </si>
  <si>
    <t>PPN-33970_Modal_Set_Up_Edit _w/Subspecialty_NotInTable_TC001</t>
  </si>
  <si>
    <t>PPN-33970_Modal_Set_Up_Edit _w/Subspecialty_NotInTable_TC001~PPN-33720_ Add_New_Subspecialty_Edit_modal_TC001~PPN-33720_ Add_New_Subspecialty_Edit_modal_TC002</t>
  </si>
  <si>
    <t>PPN-33635</t>
  </si>
  <si>
    <t>PPN-33635_Modal_Functionality_Edit_With_Subspecialties_TC001</t>
  </si>
  <si>
    <t>PPN-33635_Modal_Functionality_Edit_With_Subspecialties_TC002</t>
  </si>
  <si>
    <t>PPN-33720</t>
  </si>
  <si>
    <t>PPN-33720_ Add_New_Subspecialty_Edit_modal_TC001</t>
  </si>
  <si>
    <t>PPN-33720_ Add_New_Subspecialty_Edit_modal_TC002</t>
  </si>
  <si>
    <t>PPN-10897-SpecialtyTypeSectionMaintenanceModalFunctionalityAddNewSpecialty&amp;Type_003-ErrorMessage</t>
  </si>
  <si>
    <t>PPN-10897-SpecialtyTypeSectionMaintenanceModalFunctionalityAddNewSpecialty&amp;Type_004-DateErrorMessage</t>
  </si>
  <si>
    <t>PPN-33635_Modal_Functionality_Edit_With_Subspecialties_TC003</t>
  </si>
  <si>
    <t>Physical Location</t>
  </si>
  <si>
    <t>PPN-39610</t>
  </si>
  <si>
    <t>PPN-39610-PhysicalLocationURLDeleteAuditModalFields_01</t>
  </si>
  <si>
    <t>PPN-39610- PhysicalLocationURLSectionMaintenanceHealthtechAuditModalFieldsDeleteModal_01_iButton</t>
  </si>
  <si>
    <t>New Functionality Being Implemented For Physical Location and Billing Location by Team Hulks, blocking the scripts for now</t>
  </si>
  <si>
    <t>PPN-39606</t>
  </si>
  <si>
    <t>PPN-39609-PPN-39604-PPN-39606_PhyLocOverrideNameEditDelete</t>
  </si>
  <si>
    <t>PPN-39606-Physical LocationURLSectionMaintenanceHealthtechAuditModalFieldsEditModal_01_iButton</t>
  </si>
  <si>
    <t>PPN-39606-Physical LocationURLSectionMaintenanceHealthtechAuditModalFieldsEditModal_01_iButton~PPN-39609-Physical Location: Physical Override Name Section_ Healthtech Audit Modal Fields, DeleteModal_TC001_iButton~PPN-39604-Physical Location: Physical Override Name Section_ Healthtech Audit Modal Fields, EditModal_TC001_iButton</t>
  </si>
  <si>
    <t>Billing Location</t>
  </si>
  <si>
    <t>PPN-39615</t>
  </si>
  <si>
    <t>PN-39615-BillLocOverRideEditModalAudit</t>
  </si>
  <si>
    <t>PPN-39615- Billing Location: Billing Override Name Section_Healthtech Audit Modal Fields, Edit Modal_TC001_Button</t>
  </si>
  <si>
    <t>PPN-39614</t>
  </si>
  <si>
    <t>PPN-39614-BillLocOverRideDeleteModalAudit</t>
  </si>
  <si>
    <t>PPN-39614-Billing Location: Billing Override Name Section_ Healthtech Audit Modal Fields, DeleteModal_TC001_iButton</t>
  </si>
  <si>
    <t>PPN-39611</t>
  </si>
  <si>
    <t>PPN-39611-BillLocEditModalAudit</t>
  </si>
  <si>
    <t>PPN-39611-Billing Location: Billing Address Section_Healthtech Audit Modal Fields, Edit Modal_TC001_Button</t>
  </si>
  <si>
    <t>PPN-37424</t>
  </si>
  <si>
    <t>PPN-37424_Specialty_AuditButton_TC01</t>
  </si>
  <si>
    <t>PPN-37424_HealthtechAuditFieldsValidation_SpecialtyEditModal_01</t>
  </si>
  <si>
    <t>PPN-31098</t>
  </si>
  <si>
    <t>PPN-31098_TaxPFINListMaintenanceUIIntegration_01</t>
  </si>
  <si>
    <t>PPN-31098_TaxPFINListMaintenanceUIIntegration_01_VerifyData</t>
  </si>
  <si>
    <t>PPN-39737</t>
  </si>
  <si>
    <t>PPN-39737_PPN-39721_PPN-39738</t>
  </si>
  <si>
    <t>PPN-39737_TaxPFINListMaintenanceSearchListFieldDisplay_01SearchField</t>
  </si>
  <si>
    <t>PPN-39737_TaxPFINListMaintenanceSearchListFieldDisplay_01SearchField~PPN-39737_TaxPFINListMaintenanceSearchListFieldDisplay_02_SearchList~PPN-39737_TaxPFINListMaintenanceSearchListFieldDisplay_03_XIcon~PPN-39737_TaxPFINListMaintenanceSearchListFieldDisplay_04_ClearFilter~PPN-39737_TaxPFINListMaintenanceSearchListFieldDisplay_05_NoSearchList~PPN-39737_TaxPFINListMaintenanceSearchListFieldDisplay_06_NoTableUpdate~PPN-39737_TaxPFINListMaintenanceSearchListFieldDisplay_07_TableUpdateOnX~PPN-39738_TaxPFINListMaintenanceMakingaSelectionSearchField_01_TableRecords~PPN-39738_TaxPFINListMaintenanceMakingaSelectionSearchField_02_MultipleRecords~PPN-39738_TaxPFINListMaintenanceMakingaSelectionSearchField_03_TaxIDinSearchBox~PPN-39721_TaxPFINListMaintenanceAddTableHeaderRemovePrimaryColumnRadioButtons_01_TableHeader~PPN-39721_TaxPFINListMaintenanceAddTableHeaderRemovePrimaryColumnRadioButtons_02_PrimaryColumn</t>
  </si>
  <si>
    <t>PPN-39737_TaxPFINListMaintenanceSearchListFieldDisplay_02_SearchList</t>
  </si>
  <si>
    <t>PPN-39737_TaxPFINListMaintenanceSearchListFieldDisplay_03_XIcon</t>
  </si>
  <si>
    <t>PPN-39737_TaxPFINListMaintenanceSearchListFieldDisplay_04_ClearFilter</t>
  </si>
  <si>
    <t>PPN-39737_TaxPFINListMaintenanceSearchListFieldDisplay_05_NoSearchList</t>
  </si>
  <si>
    <t>PPN-39737_TaxPFINListMaintenanceSearchListFieldDisplay_06_NoTableUpdate</t>
  </si>
  <si>
    <t>PPN-39737_TaxPFINListMaintenanceSearchListFieldDisplay_07_TableUpdateOnX</t>
  </si>
  <si>
    <t>PPN-39738</t>
  </si>
  <si>
    <t>PPN-39738_TaxPFINListMaintenanceMakingaSelectionSearchField_01_TableRecords</t>
  </si>
  <si>
    <t>PPN-39738_TaxPFINListMaintenanceMakingaSelectionSearchField_02_MultipleRecords</t>
  </si>
  <si>
    <t>PPN-39738_TaxPFINListMaintenanceMakingaSelectionSearchField_03_TaxIDinSearchBox</t>
  </si>
  <si>
    <t>PPN-39721</t>
  </si>
  <si>
    <t>PPN-39721_TaxPFINListMaintenanceAddTableHeaderRemovePrimaryColumnRadioButtons_01_TableHeader</t>
  </si>
  <si>
    <t>PPN-39721_TaxPFINListMaintenanceAddTableHeaderRemovePrimaryColumnRadioButtons_02_PrimaryColumn</t>
  </si>
  <si>
    <t>PPN-39742</t>
  </si>
  <si>
    <t>PPN-39742_License_AddEdit_TC01_To_04</t>
  </si>
  <si>
    <t>PPN-39742_License_AddEdit_01</t>
  </si>
  <si>
    <t>PPN-39742_License_AddEdit_01~PPN-39742_License_AddEdit_02~PPN-39742_License_AddEdit_03~PPN-39742_License_AddEdit_04</t>
  </si>
  <si>
    <t>PPN-39742_License_AddEdit_02</t>
  </si>
  <si>
    <t>PPN-39742_License_AddEdit_03</t>
  </si>
  <si>
    <t>PPN-39742_License_AddEdit_04</t>
  </si>
  <si>
    <t>PPN-32730</t>
  </si>
  <si>
    <t>PPN-32730_License_Delete_TC01_To_02_PPN-43885_TC03</t>
  </si>
  <si>
    <t>PPN-32730_License_DeleteModalFunctionality_01</t>
  </si>
  <si>
    <t>PPN-32730_License_DeleteModalFunctionality_01~PPN-32730_License_DeleteModalFunctionality_02~PPN-43885_License_Change_UI_Integration_DeleteWithMultipleActiveLicenses_TC03</t>
  </si>
  <si>
    <t>PPN-32730_License_DeleteModalFunctionality_02</t>
  </si>
  <si>
    <t>PPN-36113</t>
  </si>
  <si>
    <t>PPN-36113_License_TC01_ND_02_PPN-43885_TC04</t>
  </si>
  <si>
    <t>PPN-36113_License_DeleteLastRow_AddLicense_01</t>
  </si>
  <si>
    <t>PPN-36113_License_DeleteLastRow_AddLicense_01~PPN-36113_License_DeleteLastRow_AddException_02~PPN-43885_License_Change_UI_Integration_DeleteWithSingleActiveLicense_TC04</t>
  </si>
  <si>
    <t>PPN-36113_License_DeleteLastRow_AddException_02</t>
  </si>
  <si>
    <t>PPN-34381</t>
  </si>
  <si>
    <t>PPN-34381_TC01_To_TC03_PPN_11105_TC1_TC4</t>
  </si>
  <si>
    <t>PPN-34381_Specialty &amp; Type Section_Board Code Field Triggers for Sub-specialty, Edit_TC01_Specialty Add Modal_Board Code</t>
  </si>
  <si>
    <t>PPN-34381_Specialty &amp; Type Section_Board Code Field Triggers for Sub-specialty, Edit_TC01_Specialty Add Modal_Board Code~PPN-34381_Specialty &amp; Type Section_Board Code Field Triggers for Sub-specialty, Edit_TC02_Sub-Specialty Add Modal_Board Code~PPN-34381_Specialty &amp; Type Section_Board Code Field Triggers for Sub-specialty, Edit_TC03_Specialty Edit Modal_Board Code~PPN-11105_DateValidationBoard CertificationDateAddSpecialty_TC001~PPN-11105_DateValidationBoardExpirationDateAddSpecialty_TC002~PPN-11105_DateValidationSubspecialtyBoardCertificationDateAddSpecialty_TC003~PPN-11105_DateValidationSubspecialtyBoardExpirationDateAddSpecialty_TC004</t>
  </si>
  <si>
    <t>PPN-34381_Specialty &amp; Type Section_Board Code Field Triggers for Sub-specialty, Edit_TC02_Sub-Specialty Add Modal_Board Code</t>
  </si>
  <si>
    <t>PPN-34381_Specialty &amp; Type Section_Board Code Field Triggers for Sub-specialty, Edit_TC03_Specialty Edit Modal_Board Code</t>
  </si>
  <si>
    <t>PPN-11105</t>
  </si>
  <si>
    <t>PPN-11105_DateValidationBoard CertificationDateAddSpecialty_TC001</t>
  </si>
  <si>
    <t>PPN-11105_DateValidationBoardExpirationDateAddSpecialty_TC002</t>
  </si>
  <si>
    <t>PPN-11105_DateValidationSubspecialtyBoardCertificationDateAddSpecialty_TC003</t>
  </si>
  <si>
    <t>PPN-11105_DateValidationSubspecialtyBoardExpirationDateAddSpecialty_TC004</t>
  </si>
  <si>
    <t>PPN-11105_DateValidationBoardCertificationDateEditSpecialty_TC005</t>
  </si>
  <si>
    <t>PPN-11105_DateValidationeBoard ExpirationDateEditSpecialty_TC006</t>
  </si>
  <si>
    <t>PPN-11105_DateValidationSubspecialtyBoardCertificationDateEditSpecialty_TC007</t>
  </si>
  <si>
    <t>PPN-11105_DateValidationSubspecialtyBoardExpirationDateEditSpecialty_TC008</t>
  </si>
  <si>
    <t>PPN-33634</t>
  </si>
  <si>
    <t>PPN-33634_Specialty_TC01</t>
  </si>
  <si>
    <t>PPN-33634_Specialty_DeleteSubspecialtyInEditModal_01</t>
  </si>
  <si>
    <t>PPN-33634_Specialty_TC02</t>
  </si>
  <si>
    <t>PPN-33634_Specialty_DeleteSubspecialtyInEditModal_02</t>
  </si>
  <si>
    <t>PPN-33634_Specialty_TC03</t>
  </si>
  <si>
    <t>PPN-33634_Specialty_DeleteSubspecialtyInEditModal_03</t>
  </si>
  <si>
    <t>PPN-33634_Specialty_TC04</t>
  </si>
  <si>
    <t>PPN-33634_Specialty_DeleteSubspecialtyInEditModal_04</t>
  </si>
  <si>
    <t>PPN-28481</t>
  </si>
  <si>
    <t>PPN-28481_SpecialtyTabbingOrder_TC01_To_TC03</t>
  </si>
  <si>
    <t>PPN-28481_Specialty &amp; Type Section: Maintenance: Apply Tabbing Order GR _TC01_Accordion</t>
  </si>
  <si>
    <t>PPN-28481_Specialty &amp; Type Section: Maintenance: Apply Tabbing Order GR _TC01_Accordion~PPN-28481_Specialty &amp; Type Section: Maintenance: Apply Tabbing Order GR _TC02_Add Modal Window~PPN-28481_Specialty &amp; Type Section: Maintenance: Apply Tabbing Order GR Edit Modal Window</t>
  </si>
  <si>
    <t>PPN-28481_Specialty &amp; Type Section: Maintenance: Apply Tabbing Order GR _TC02_Add Modal Window</t>
  </si>
  <si>
    <t>PPN-28481_Specialty &amp; Type Section: Maintenance: Apply Tabbing Order GR Edit Modal Window</t>
  </si>
  <si>
    <t>PPN-33969</t>
  </si>
  <si>
    <t>PPN-33969_TC001_nd_PPN-33777_TC001_to_TC003</t>
  </si>
  <si>
    <t>PPN-33969-EditModalSetupWithoutSubspecialties001</t>
  </si>
  <si>
    <t>PPN-33969-EditModalSetupWithoutSubspecialties001~PPN-33777-EditModalFunctionalityWithoutSubspecialties001~PPN-33777-EditModalFunctionalityWithoutSubspecialties002~PPN-33777-EditModalFunctionalityWithoutSubspecialties003</t>
  </si>
  <si>
    <t>PPN-33777</t>
  </si>
  <si>
    <t>PPN-33777-EditModalFunctionalityWithoutSubspecialties001</t>
  </si>
  <si>
    <t>PPN-33777-EditModalFunctionalityWithoutSubspecialties002</t>
  </si>
  <si>
    <t>PPN-33777-EditModalFunctionalityWithoutSubspecialties003</t>
  </si>
  <si>
    <t>PPN-39609</t>
  </si>
  <si>
    <t>PPN-39609-Physical Location: Physical Override Name Section_ Healthtech Audit Modal Fields, DeleteModal_TC001_iButton</t>
  </si>
  <si>
    <t>PPN-39604</t>
  </si>
  <si>
    <t>PPN-39604-Physical Location: Physical Override Name Section_ Healthtech Audit Modal Fields, EditModal_TC001_iButton</t>
  </si>
  <si>
    <t>PPN-39717</t>
  </si>
  <si>
    <t>PPN-39717-RoutingAfterSelectingTaxID_TC001</t>
  </si>
  <si>
    <t>PPN-41328</t>
  </si>
  <si>
    <t>PPN-41328-HealthtechAuditModalDeleteSpecialty_K_inUpperCase_TC001</t>
  </si>
  <si>
    <t>PPN-41327</t>
  </si>
  <si>
    <t>PPN-41327-HealthtechAuditModalDeleteLicense_K_inUpperCase_TC001</t>
  </si>
  <si>
    <t>PPN-41327-HealthtechAuditModalEditLicense_K_inUpperCase_TC002</t>
  </si>
  <si>
    <t>PPN-30372</t>
  </si>
  <si>
    <t>PPN-30372-CommentsSectionFormSetUpTableMode_01</t>
  </si>
  <si>
    <t>PPN-30372-CommentsSectionFormSetUpTableMode_02</t>
  </si>
  <si>
    <t>PPN-30372-CommentsSectionFormSetUpTableMode_03</t>
  </si>
  <si>
    <t>PPN-41843</t>
  </si>
  <si>
    <t>PPN-41843_CommentsSectionDisplayNumberofPFINsTableMode_01</t>
  </si>
  <si>
    <t>PPN-30363</t>
  </si>
  <si>
    <t>PPN-30363_CommentsSectionApplySortingGRTableMode_01_DefaultSort</t>
  </si>
  <si>
    <t>PPN-30363_CommentsSectionApplySortingGRTableMode_02_SortingGRMoreThan2Records</t>
  </si>
  <si>
    <t>PPN-30363_CommentsSectionApplySortingGRTableMode_03_ND_04</t>
  </si>
  <si>
    <t>PPN-30363_CommentsSectionApplySortingGRTableMode_03_SortingGRLessThan2Records</t>
  </si>
  <si>
    <t>PPN-30363_CommentsSectionApplySortingGRTableMode_03_SortingGRLessThan2Records~PPN-30363_CommentsSectionApplySortingGRTableMode_04_SortingGROnly2Records</t>
  </si>
  <si>
    <t>PPN-30363_CommentsSectionApplySortingGRTableMode_04_SortingGROnly2Records</t>
  </si>
  <si>
    <t>PPN-30395</t>
  </si>
  <si>
    <t>PPN-30395-CommentsSectionModalSetUpViewModal_01</t>
  </si>
  <si>
    <t>PFIN Details Not displaying in comments modal</t>
  </si>
  <si>
    <t>PPN-41803</t>
  </si>
  <si>
    <t>PPN-41803_CommentsAddModalTableHeader1Triggering_TC01</t>
  </si>
  <si>
    <t>PPN-41803_CommentsSectionTableHeader123TriggeringEditAddModal_01_AddModal</t>
  </si>
  <si>
    <t>PPN-41803_CommentsAddModalTableHeader2Triggering_TC02</t>
  </si>
  <si>
    <t>PPN-41803_CommentsSectionTableHeader123TriggeringEditAddModal_02_AddModal</t>
  </si>
  <si>
    <t>PPN-41803_CommentsAddModalTableHeader3Triggering_TC03</t>
  </si>
  <si>
    <t>PPN-41803_CommentsSectionTableHeader123TriggeringEditAddModal_03_AddModal</t>
  </si>
  <si>
    <t>PPN-41803_CommentsEditModalTableHeader3Triggering_TC04</t>
  </si>
  <si>
    <t>PPN-41803_CommentsSectionTableHeader123TriggeringEditAddModal_04_EditModal</t>
  </si>
  <si>
    <t>PPN-41803_CommentsEditModalTableHeader1Triggering_TC05</t>
  </si>
  <si>
    <t>PPN-41803_CommentsSectionTableHeader123TriggeringEditAddModal_05_EditModal</t>
  </si>
  <si>
    <t>PPN-41803_CommentsEditModalTableHeader2Triggering_TC06</t>
  </si>
  <si>
    <t>PPN-41803_CommentsSectionTableHeader123TriggeringEditAddModal_06_EditModal</t>
  </si>
  <si>
    <t>PPN-41475</t>
  </si>
  <si>
    <t>PPN-41475_CommentsSectionSearchFieldDropdownDisplayAddEditModal_01_AddModalSearchListDisplay</t>
  </si>
  <si>
    <t>PPN-41475_CommentsSectionSearchFieldDropdownDisplayAddEditModal_02_EditModalSearchListDisplay</t>
  </si>
  <si>
    <t>PPN-41507</t>
  </si>
  <si>
    <t>PPN-41507_CommentsSectionMakingaSelectioninSuggestedListAdd&amp;EditModal_01_SearchSelectionAddModal</t>
  </si>
  <si>
    <t>PPN-41507_CommentsSectionMakingaSelectioninSuggestedListAdd&amp;EditModal_02_SearchSelectionEditModal</t>
  </si>
  <si>
    <t>PPN-41511</t>
  </si>
  <si>
    <t>PPN-41511_CommentsSectionSelectingDeselectinginTableEditAddModal_01</t>
  </si>
  <si>
    <t>PPN-41511_CommentsSectionSelectingDeselectinginTableEditAddModal_02</t>
  </si>
  <si>
    <t>PPN-41511_CommentsSectionSelectingDeselectinginTableEditAddModal_03</t>
  </si>
  <si>
    <t>PPN-41511_CommentsSectionSelectingDeselectinginTableEditAddModal_04</t>
  </si>
  <si>
    <t>PPN-41517</t>
  </si>
  <si>
    <t>PPN-41517_CommentsSectionClearPFINListbuttonAddCommentModal_01</t>
  </si>
  <si>
    <t>PPN-41517_CommentsSectionClearPFINListbuttonAddCommentModal_02</t>
  </si>
  <si>
    <t>PPN-30398</t>
  </si>
  <si>
    <t>PPN-30398_CommentsSectionModalFunctionalityDeleteModal_01_YesBtn</t>
  </si>
  <si>
    <t>PPN-30398_CommentsSectionModalFunctionalityDeleteModal_02_NoBtn</t>
  </si>
  <si>
    <t>PPN-42289</t>
  </si>
  <si>
    <t>PPN-42289-CommentSectionUIIntegration_AddModal_TC01</t>
  </si>
  <si>
    <t>PPN-42289-CommentSectionUIIntegration_EditModal_TC02</t>
  </si>
  <si>
    <t>PPN-30505</t>
  </si>
  <si>
    <t>PPN-30505-Sorting_AddModal_TC01_02_PPN-41377_TC01</t>
  </si>
  <si>
    <t>PPN-30505-CommentSectionSorting_AddModal_TC01</t>
  </si>
  <si>
    <t>PPN-30505-CommentSectionSorting_AddModal_TC01~PPN-30505-CommentSectionSorting_AddModal_TC02~PPN-41377-CommentSectionDefaultSorting_AddModal_TC01</t>
  </si>
  <si>
    <t>PPN-30505-CommentSectionSorting_AddModal_TC02</t>
  </si>
  <si>
    <t>PPN-30505-Sorting_EditModal_TC03_04_PPN-41377_TC02</t>
  </si>
  <si>
    <t>PPN-30505-CommentSectionSorting_EditModal_TC03</t>
  </si>
  <si>
    <t>PPN-30505-CommentSectionSorting_EditModal_TC03~PPN-30505-CommentSectionSorting_EditModal_TC04~PPN-41377-CommentSectionDefaultSorting_EditModal_TC02</t>
  </si>
  <si>
    <t>PPN-30505-CommentSectionSorting_EditModal_TC04</t>
  </si>
  <si>
    <t>PPN-30505-Sorting_ViewModal_TC05_06_PPN-41377_TC03</t>
  </si>
  <si>
    <t>PPN-30505-CommentSectionSorting_ViewModal_TC05</t>
  </si>
  <si>
    <t>PPN-30505-CommentSectionSorting_ViewModal_TC05~PPN-30505-CommentSectionSorting_ViewModal_TC06~PPN-41377-CommentSectionDefaultSorting_ViewModal_TC03</t>
  </si>
  <si>
    <t>PPN-30505-CommentSectionSorting_ViewModal_TC06</t>
  </si>
  <si>
    <t>PPN-41377</t>
  </si>
  <si>
    <t>PPN-41377-CommentSectionDefaultSorting_AddModal_TC01</t>
  </si>
  <si>
    <t>PPN-41377-CommentSectionDefaultSorting_EditModal_TC02</t>
  </si>
  <si>
    <t>PPN-41377-CommentSectionDefaultSorting_ViewModal_TC03</t>
  </si>
  <si>
    <t xml:space="preserve"> PPN-41802</t>
  </si>
  <si>
    <t xml:space="preserve"> PPN-41802-CommentSectionDeleteModalSetUp_TC01</t>
  </si>
  <si>
    <t>PPN-30379</t>
  </si>
  <si>
    <t>PPN-30379-CommentSectionCopyPasteGR_AddModal_TC01</t>
  </si>
  <si>
    <t>PPN-30379-CommentSectionCopyPasteGR_EditModal_TC02</t>
  </si>
  <si>
    <t>PPN-30444</t>
  </si>
  <si>
    <t>PPN-30444-Comments_AddCommentModalSetup_01</t>
  </si>
  <si>
    <t>PPN-30444-Comments_AddCommentMessageBoxFunctionality_02</t>
  </si>
  <si>
    <t>PPN-30444-Comments_AddCommentSearchBoxFunctionality_03</t>
  </si>
  <si>
    <t>PPN-41664</t>
  </si>
  <si>
    <t>PPN-41664-Comments_EditCommentModalSetup_01</t>
  </si>
  <si>
    <t>PPN-41361</t>
  </si>
  <si>
    <t>PPN-41361_Comments_Add_Edit_Error_Validations_TC01_ND_02</t>
  </si>
  <si>
    <t>PPN-41361-Comments_AddCommentModalErrorValidation_01</t>
  </si>
  <si>
    <t>PPN-41361-Comments_AddCommentModalErrorValidation_01~PPN-41361-Comments_EditCommentModalErrorValidation_02</t>
  </si>
  <si>
    <t>PPN-41361-Comments_EditCommentModalErrorValidation_02</t>
  </si>
  <si>
    <t>PPN-41466</t>
  </si>
  <si>
    <t>PPN-41466-Comments_AddCommentModalMessageBox_01</t>
  </si>
  <si>
    <t>PPN-41466-Comments_EditCommentModalMessageBox_02</t>
  </si>
  <si>
    <t>PPN-30362</t>
  </si>
  <si>
    <t>PPN-30362-Comments Section: Provider Maintenance: Edit Mode v1_01</t>
  </si>
  <si>
    <t>PPN-30378</t>
  </si>
  <si>
    <t xml:space="preserve">PPN-30378-Comments Section: Provider Maintenance: Apply Tabbing Order GR, Table/Add/Edit/Delete_01
</t>
  </si>
  <si>
    <t>PPN-30378-Comments Section: Provider Maintenance: Apply Tabbing Order GR, Table/Add/Edit/Delete _02</t>
  </si>
  <si>
    <t>PPN-30378-Comments Section: Provider Maintenance: Apply Tabbing Order GR, Table/Add/Edit/Delete _03</t>
  </si>
  <si>
    <t>PPN-30378-Comments Section: Provider Maintenance: Apply Tabbing Order GR, Table/Add/Edit/Delete _04</t>
  </si>
  <si>
    <t>PPN-40074</t>
  </si>
  <si>
    <t>PPN-40074-PhyLocLimitationsSectionMaintenanceHealthtechAuditModalFieldsEditModal_01</t>
  </si>
  <si>
    <t>PPN-40074-Physical Location:Limitations Section: Maintenance: Healthtech Audit Modal Fields, Edit Modal_01_iButton</t>
  </si>
  <si>
    <t>PPN-40170</t>
  </si>
  <si>
    <t>PPN-40170-Physical Location:Limitations Section: Maintenance: Healthtech Audit Modal Fields, Delete Modal_01_iButton</t>
  </si>
  <si>
    <t>PPN-40095</t>
  </si>
  <si>
    <t>PPN-40095-PhyLocDesignationsSectionMaintenanceHealthtechAuditModalFieldsDeleteModal_01</t>
  </si>
  <si>
    <t>PPN-40095-Physical Location:Designations Section:Maintenance:Healthtech Audit Modal Fields, Delete Modal_01_iButton</t>
  </si>
  <si>
    <t>PPN-40171</t>
  </si>
  <si>
    <t>PPN-40171-PhyLocDesignationsSectionAuditModalFieldsEditModal_01</t>
  </si>
  <si>
    <t>PPN-40171-Physical Location:Designations Section: Maintenance: Healthtech Audit Modal Fields, Edit Modal_01_iButton</t>
  </si>
  <si>
    <t>PPN-40127</t>
  </si>
  <si>
    <t>PPN-40127_PhysicalLocation_LimitationsEditModal_TC01</t>
  </si>
  <si>
    <t>PPN-40127-PhysicalLocationLimitationsSectionMaintenanceEditModalTableSetUp_TC01</t>
  </si>
  <si>
    <t>PPN-40124</t>
  </si>
  <si>
    <t>PPN-40124_PhysicalLocation_LimitationsDeleteModal_TC01</t>
  </si>
  <si>
    <t>PPN-40124-PhysicalLocationLimitationsSectionMaintenanceDeleteModalTableSetUp_TC01</t>
  </si>
  <si>
    <t>Directory Exclusion</t>
  </si>
  <si>
    <t>PPN-44898</t>
  </si>
  <si>
    <t>PPN-44898-MasterDirectoryExclusionPFINExclusionFormSetupTableMode_01_Page</t>
  </si>
  <si>
    <t>PPN-44898-MasterDirectoryExclusionPFINExclusionFormSetupTableMode_01_Page~PPN-44898-MasterDirectoryExclusionPFINExclusionFormSetupTableMode_02_RowActivation~PPN-44898-MasterDirectoryExclusionPFINExclusionFormSetupTableMode_03_Hyphenation</t>
  </si>
  <si>
    <t>PPN-44898-MasterDirectoryExclusionPFINExclusionFormSetupTableMode_02_RowActivation</t>
  </si>
  <si>
    <t>PPN-44898-MasterDirectoryExclusionPFINExclusionFormSetupTableMode_03_Hyphenation</t>
  </si>
  <si>
    <t>PPN-44915</t>
  </si>
  <si>
    <t>PPN-44915_MasterDirectoryExclusionPFINExclusionAccordionModalSetUpAddPFINExclusion_01_ModalFields</t>
  </si>
  <si>
    <t>PPN-44915_MasterDirectoryExclusionPFINExclusionAccordionModalSetUpAddPFINExclusion_01_ModalFields~PPN-44915_MasterDirectoryExclusionPFINExclusionAccordionModalSetUpAddPFINExclusion_02_AsteriskGR~PPN-44915_MasterDirectoryExclusionPFINExclusionAccordionModalSetUpAddPFINExclusion_03_ErrorMessage</t>
  </si>
  <si>
    <t>PPN-44915_MasterDirectoryExclusionPFINExclusionAccordionModalSetUpAddPFINExclusion_02_AsteriskGR</t>
  </si>
  <si>
    <t>PPN-44915_MasterDirectoryExclusionPFINExclusionAccordionModalSetUpAddPFINExclusion_03_ErrorMessage</t>
  </si>
  <si>
    <t>PPN-44970</t>
  </si>
  <si>
    <t>PPN-44970_MasterDirectoryExclusionPFINExclusionEditPFINExclusionModal_01_ModalFields</t>
  </si>
  <si>
    <t>PPN-44970_MasterDirectoryExclusionPFINExclusionEditPFINExclusionModal_01_ModalFields~PPN-44970_MasterDirectoryExclusionPFINExclusionEditPFINExclusionModal_02_AsteriskGR~PPN-44970_MasterDirectoryExclusionPFINExclusionEditPFINExclusionModal_03_ErrorMessage~PPN-44972_MasterDirectoryExclusionProviderExclusionHealthtechAuditEditModal_01</t>
  </si>
  <si>
    <t>PPN-44970_MasterDirectoryExclusionPFINExclusionEditPFINExclusionModal_02_AsteriskGR</t>
  </si>
  <si>
    <t>PPN-44970_MasterDirectoryExclusionPFINExclusionEditPFINExclusionModal_03_ErrorMessage</t>
  </si>
  <si>
    <t>PPN-44916</t>
  </si>
  <si>
    <t>PPN-44916_MasterDirectoryExclusionPFIN ExclusionDeletePFINExclusion_01_ModalSetup</t>
  </si>
  <si>
    <t>PPN-44916_MasterDirectoryExclusionPFIN ExclusionDeletePFINExclusion_01_ModalSetup~PPN-44975_MasterDirectoryExclusionPFINExclusionHealthtechAuditDeleteModal_01</t>
  </si>
  <si>
    <t>PPN-44975</t>
  </si>
  <si>
    <t>PPN-44975_MasterDirectoryExclusionPFINExclusionHealthtechAuditDeleteModal_01</t>
  </si>
  <si>
    <t>PPN-44971</t>
  </si>
  <si>
    <t>PPN-44971_ProviderExclusionHealthtechAuditEditModal_01</t>
  </si>
  <si>
    <t>PPN-44971_MasterDirectoryExclusionProviderExclusionHealthtechAuditEditModal_01</t>
  </si>
  <si>
    <t>PPN-44972</t>
  </si>
  <si>
    <t>PPN-44972_MasterDirectoryExclusionProviderExclusionHealthtechAuditEditModal_01</t>
  </si>
  <si>
    <t>PPN-44974</t>
  </si>
  <si>
    <t>PPN-44974_ProviderExclusionHealthtechAuditDeleteModal_01</t>
  </si>
  <si>
    <t>PPN-44974_MasterDirectoryExclusionProviderExclusionHealthtechAuditDeleteModal_01</t>
  </si>
  <si>
    <t>PPN-44930</t>
  </si>
  <si>
    <t>PPN-44930_MasterDirectoryExclusionProviderExclusionApplyTabbingGRTableAddEdit_01to_06</t>
  </si>
  <si>
    <t>PPN-44930_MasterDirectoryExclusionProviderExclusionApplyTabbingGRTableAddEdit_01_TableMode</t>
  </si>
  <si>
    <t>PPN-44930_MasterDirectoryExclusionProviderExclusionApplyTabbingGRTableAddEdit_01_TableMode~PPN-44930_MasterDirectoryExclusionProviderExclusionApplyTabbingGRTableAddEdit_02_AddModal~PPN-44930_MasterDirectoryExclusionProviderExclusionApplyTabbingGRTableAddEdit_03_EditModal~PPN-44930_MasterDirectoryExclusionProviderExclusionApplyTabbingGRTableAddEdit_04_DisabledField~PPN-44930_MasterDirectoryExclusionProviderExclusionApplyTabbingGRTableAddEdit_05_iButtonOnTabbing~PPN-44930_MasterDirectoryExclusionProviderExclusionApplyTabbingGRTableAddEdit_06_FirstEnabledField</t>
  </si>
  <si>
    <t>PPN-44930_MasterDirectoryExclusionProviderExclusionApplyTabbingGRTableAddEdit_02_AddModal</t>
  </si>
  <si>
    <t>PPN-44930_MasterDirectoryExclusionProviderExclusionApplyTabbingGRTableAddEdit_03_EditModal</t>
  </si>
  <si>
    <t>PPN-44930_MasterDirectoryExclusionProviderExclusionApplyTabbingGRTableAddEdit_04_DisabledField</t>
  </si>
  <si>
    <t>PPN-44930_MasterDirectoryExclusionProviderExclusionApplyTabbingGRTableAddEdit_05_iButtonOnTabbing</t>
  </si>
  <si>
    <t>PPN-44930_MasterDirectoryExclusionProviderExclusionApplyTabbingGRTableAddEdit_06_FirstEnabledField</t>
  </si>
  <si>
    <t>PPN-44876</t>
  </si>
  <si>
    <t>PPN-44876-ProviderExclusionAccordionFormSetUpTableMode_01</t>
  </si>
  <si>
    <t>PPN-44886</t>
  </si>
  <si>
    <t>PPN-44886_ProviderExclusionInitialModalSetupAddModal_01</t>
  </si>
  <si>
    <t>PPN-44891</t>
  </si>
  <si>
    <t>PPN-44891_ProviderExclusionAddModal_01_02</t>
  </si>
  <si>
    <t>PPN-44891_ProviderExclusionAddModal_01_Requiredfields</t>
  </si>
  <si>
    <t>PPN-44891_ProviderExclusionAddModal_01_Requiredfields~PPN-44891_ProviderExclusionAddModal_02_ErrorMessages</t>
  </si>
  <si>
    <t>PPN-44891_ProviderExclusionAddModal_02_ErrorMessages</t>
  </si>
  <si>
    <t>PPN-44892</t>
  </si>
  <si>
    <t>PPN-44892_ProviderExclusionInitialModalSetupEditModal_01</t>
  </si>
  <si>
    <t xml:space="preserve">PPN-44892_ProviderExclusionInitialModalSetupEditModal_01
</t>
  </si>
  <si>
    <t>PPN-44894</t>
  </si>
  <si>
    <t>PPN-44894_ProviderExclusionEditModal_01_02</t>
  </si>
  <si>
    <t>PPN-44894_ProviderExclusionEditModal_01_Requiredfields</t>
  </si>
  <si>
    <t>PPN-44894_ProviderExclusionEditModal_01_Requiredfields~PPN-44894_ProviderExclusionEditModal_02_ErrorMessages</t>
  </si>
  <si>
    <t>PPN-44894_ProviderExclusionEditModal_02_ErrorMessages</t>
  </si>
  <si>
    <t>PPN-44896</t>
  </si>
  <si>
    <t>PPN-44896_ProviderExclusionDeleteModal_01</t>
  </si>
  <si>
    <t xml:space="preserve">PPN-44896_ProviderExclusionDeleteModal_01
</t>
  </si>
  <si>
    <t>PPN-45002</t>
  </si>
  <si>
    <t>PPN-45002_TaxExclusionEditModalSetup_TC01</t>
  </si>
  <si>
    <t>PPN-45002_TaxExclusionEditModalSetup_TC02</t>
  </si>
  <si>
    <t>PPN-45000</t>
  </si>
  <si>
    <t>PPN-45000_MasterDirectoryExclusionTaxExclusionApplySortingGRTableMode_01_DefaultSort</t>
  </si>
  <si>
    <t>PPN-45000_MasterDirectoryExclusionTaxExclusionApplySortingGRTableMode_02_SortingGRMoreThan2Records</t>
  </si>
  <si>
    <t>PPN-45000_MasterDirectoryExclusionTaxExclusionApplySortingGRTableMode_03_SortingGRLessThan2Records</t>
  </si>
  <si>
    <t>PPN-45000_MasterDirectoryExclusionTaxExclusionApplySortingGRTableMode_04_SortingGROnly2Records</t>
  </si>
  <si>
    <t>PPN-44976</t>
  </si>
  <si>
    <t>PPN-44976_TaxExclusionHealthtechAuditDeleteModal_01</t>
  </si>
  <si>
    <t>PPN-44976_MasterDirectoryExclusionTaxExclusionHealthtechAuditDeleteModal_01</t>
  </si>
  <si>
    <t>PPN-44973</t>
  </si>
  <si>
    <t>PPN-44973_TaxExclusionHealthtechAuditEditModal_01</t>
  </si>
  <si>
    <t>PPN-44973_MasterDirectoryExclusionTaxExclusionHealthtechAuditEditModal_01</t>
  </si>
  <si>
    <t>PPN-44919</t>
  </si>
  <si>
    <t>PPN-44919_TaxExclusionDeleteTaxExclusionModal_01</t>
  </si>
  <si>
    <t xml:space="preserve">PPN-44919_TaxExclusionDeleteTaxExclusionModal_01
</t>
  </si>
  <si>
    <t>PPN-44917</t>
  </si>
  <si>
    <t>PPN-44917-TaxExclusionTableMode_01</t>
  </si>
  <si>
    <t>PPN-44918</t>
  </si>
  <si>
    <t xml:space="preserve">PPN-44918_TaxExclusionTaxIDExpandedView_01
</t>
  </si>
  <si>
    <t>PPN-44857</t>
  </si>
  <si>
    <t>PPN-44857-Comments_EditModal_SelectedPFINsBox_TC01</t>
  </si>
  <si>
    <t>Kaustav</t>
  </si>
  <si>
    <t>PPN-44849</t>
  </si>
  <si>
    <t>PPN-44849-Comments_AddModal_SelectedPFINsBox_TC01</t>
  </si>
  <si>
    <t>PPN-44998</t>
  </si>
  <si>
    <t>PPN-44998_PfinExclusion_SortingTableMode_TC01</t>
  </si>
  <si>
    <t>PPN-44998_PFIN_Exclusion_Sorting_TC01</t>
  </si>
  <si>
    <t>PPN-44998_PfinExclusion_SortingTableMode_TC02</t>
  </si>
  <si>
    <t>PPN-44998_PFIN_Exclusion_Sorting_TC02</t>
  </si>
  <si>
    <t>PPN-44135</t>
  </si>
  <si>
    <t>PPN-44135_Directory_Exclusion_SideNavigation_TC01</t>
  </si>
  <si>
    <t>PPN-44932</t>
  </si>
  <si>
    <t>PPN-44932_ProviderExclusion_AddEditModalDateValidations_TC01_ND_02</t>
  </si>
  <si>
    <t>PPN-44932_ProviderExclusion_AddModal_EffectiveAndEndDate_TC01</t>
  </si>
  <si>
    <t>PPN-44932_ProviderExclusion_AddModal_EffectiveAndEndDate_TC01~PPN-44932_ProviderExclusion_EditModal_EffectiveAndEndDate_TC02</t>
  </si>
  <si>
    <t>PPN-44932_ProviderExclusion_EditModal_EffectiveAndEndDate_TC02</t>
  </si>
  <si>
    <t>PPN-42911</t>
  </si>
  <si>
    <t>PPN-42911_Comments_EditModal_Audit_Fields_TC01</t>
  </si>
  <si>
    <t>PPN-42911-Comments_EditModal_Audit_Fields_TC01</t>
  </si>
  <si>
    <t>PPN-42929</t>
  </si>
  <si>
    <t>PPN-42929_Comments_DeleteModal_Audit_Fields_TC01</t>
  </si>
  <si>
    <t>PPN-42929-Comments_DeleteModal_Audit_Fields_TC01</t>
  </si>
  <si>
    <t>PPN-43885</t>
  </si>
  <si>
    <t>PPN-43885_License_Change_UI_Integration_Add_TC01</t>
  </si>
  <si>
    <t>PPN-43885_License_Change_UI_Integration_Edit_TC02</t>
  </si>
  <si>
    <t>PPN-43885_License_Change_UI_Integration_DeleteWithMultipleActiveLicenses_TC03</t>
  </si>
  <si>
    <t>PPN-43885_License_Change_UI_Integration_DeleteWithSingleActiveLicense_TC04</t>
  </si>
  <si>
    <t>PPN-39811</t>
  </si>
  <si>
    <t>PPN-39811_AddLicenseException_TC01</t>
  </si>
  <si>
    <t>PPN-39811_Add LicenseExceptionWithMultipleActiveLicenses_TC01</t>
  </si>
  <si>
    <t>PPN-39811_AddLicenseException_TC02_ND_03</t>
  </si>
  <si>
    <t>PPN-39811_Add LicenseExceptionWithSingleActiveLicense_TC02</t>
  </si>
  <si>
    <t>PPN-39811_Add LicenseExceptionWithSingleActiveLicense_TC02~PPN-39811_Add LicenseExceptionWithoutActiveLicense_TC03</t>
  </si>
  <si>
    <t>PPN-39811_Add LicenseExceptionWithoutActiveLicense_TC03</t>
  </si>
  <si>
    <t>Yes</t>
  </si>
  <si>
    <t>Account Management</t>
  </si>
  <si>
    <t>Can Be Merged</t>
  </si>
  <si>
    <t>In-Sprint</t>
  </si>
  <si>
    <t>In-Review</t>
  </si>
  <si>
    <t>No</t>
  </si>
  <si>
    <t>Failed</t>
  </si>
  <si>
    <t>Out of Scope</t>
  </si>
  <si>
    <t>Cart</t>
  </si>
  <si>
    <t>In-Progress</t>
  </si>
  <si>
    <t>Reviewed And Pending Optimization</t>
  </si>
  <si>
    <t>Not in Regression</t>
  </si>
  <si>
    <t>Checkout</t>
  </si>
  <si>
    <t>Optimization Not Required</t>
  </si>
  <si>
    <t>Deal &amp; Specials</t>
  </si>
  <si>
    <t>NotStarted</t>
  </si>
  <si>
    <t>Location</t>
  </si>
  <si>
    <t>On Hold</t>
  </si>
  <si>
    <t>Menu, Home, Favorites, Past Orders, Header, Footer</t>
  </si>
  <si>
    <t>Not Applicable</t>
  </si>
  <si>
    <t>Order</t>
  </si>
  <si>
    <t>Automation Not Feasible</t>
  </si>
  <si>
    <t>Papa Rewards &amp; Track</t>
  </si>
  <si>
    <t>Deferred</t>
  </si>
  <si>
    <t>Promo</t>
  </si>
  <si>
    <t>Duplicate</t>
  </si>
  <si>
    <t>Upsells</t>
  </si>
  <si>
    <t>PayShare</t>
  </si>
  <si>
    <t>Web Accessibility</t>
  </si>
  <si>
    <t>Webtool</t>
  </si>
  <si>
    <t>Pizza Builder</t>
  </si>
  <si>
    <t>Deal Builder</t>
  </si>
  <si>
    <t>Functional TC Range</t>
  </si>
  <si>
    <t>Scope Range</t>
  </si>
  <si>
    <t>Execution Status Range</t>
  </si>
  <si>
    <t>Functionality Range</t>
  </si>
  <si>
    <t>Sprint Range</t>
  </si>
  <si>
    <t>Automation Status Range</t>
  </si>
  <si>
    <t>Card</t>
  </si>
  <si>
    <t>Release_Info</t>
  </si>
  <si>
    <t>Description</t>
  </si>
  <si>
    <t>Scenarios</t>
  </si>
  <si>
    <t>Optimized Status</t>
  </si>
  <si>
    <t>Optimazation_Strategy</t>
  </si>
  <si>
    <t>Automation_Test_Case_Mapped_To</t>
  </si>
  <si>
    <t>Scripting_Progress</t>
  </si>
  <si>
    <t>Task No</t>
  </si>
  <si>
    <t>Release No</t>
  </si>
  <si>
    <t>TC5824_01_To_04</t>
  </si>
  <si>
    <t>Validations can be added to a single script TC5824 and this script can be deprecated</t>
  </si>
  <si>
    <t>Release 4.7 Suggest it to Papa</t>
  </si>
  <si>
    <t>#10</t>
  </si>
  <si>
    <t>TC6236_7224_7575</t>
  </si>
  <si>
    <t>Merged Stories 6236 and 7224 in one scripts</t>
  </si>
  <si>
    <t>Release 4.8 PAN Pizza</t>
  </si>
  <si>
    <t>Release 4.8 Order Confirmation (Innovation Wall)</t>
  </si>
  <si>
    <r>
      <rPr>
        <b/>
        <sz val="9"/>
        <color theme="1"/>
        <rFont val="Cambria"/>
        <family val="1"/>
        <scheme val="major"/>
      </rPr>
      <t xml:space="preserve">Probable change in Requirement. </t>
    </r>
    <r>
      <rPr>
        <sz val="9"/>
        <color theme="1"/>
        <rFont val="Cambria"/>
        <family val="1"/>
        <scheme val="major"/>
      </rPr>
      <t xml:space="preserve">
Previously Open a Franchise was a dropdown under which 'Domestic Franchise' and 'International Franchise' was present which was actually navigates to actual page.
Currently if user clicks on 'Open a Franchise', user directly navigates to  'http://www.papajohns.com/franchise/index.html'
Please share the Story No</t>
    </r>
  </si>
  <si>
    <t>Can be Replaced by new 17.8 build scripts: 11975, 11976 and 11977</t>
  </si>
  <si>
    <t>TC11837_01</t>
  </si>
  <si>
    <t>Validations Added To TC11837_01</t>
  </si>
  <si>
    <t>TC11313_09_ND_TC11295_02</t>
  </si>
  <si>
    <t>Merged with TC11313_09</t>
  </si>
  <si>
    <t>Added validation to TC11313_09_ND_TC11295_02</t>
  </si>
  <si>
    <t>Removed Test cases from Smoke Suite</t>
  </si>
  <si>
    <t>#11633</t>
  </si>
  <si>
    <t>4.11 Stories</t>
  </si>
  <si>
    <t>TC11622_TC11632_ND_TC11633</t>
  </si>
  <si>
    <t>[Acct Mgt] Ability to set a favorite order as a go-to order on favorite flyout</t>
  </si>
  <si>
    <t>#11632</t>
  </si>
  <si>
    <t>[Acct Mgt] Update UI for Unfavorite on Favorites flyout</t>
  </si>
  <si>
    <t>#11622</t>
  </si>
  <si>
    <t>[Acct Mgt] Allowing a Go-to favorite order</t>
  </si>
  <si>
    <t>#11620</t>
  </si>
  <si>
    <t>TC11620</t>
  </si>
  <si>
    <t>[Acct Mgt] Removing a favorite item from the Favorites carousel</t>
  </si>
  <si>
    <t>#11617</t>
  </si>
  <si>
    <t>TC11617</t>
  </si>
  <si>
    <t>[Acct Mgt] Adding a favorite item to the cart from the Favorites carousel</t>
  </si>
  <si>
    <t>#11631</t>
  </si>
  <si>
    <t>TC11631_TC11660</t>
  </si>
  <si>
    <t xml:space="preserve"> [Acct Mgt] Ability to edit name of favorite orders on flyout</t>
  </si>
  <si>
    <t>#11579</t>
  </si>
  <si>
    <t>TC11579_01</t>
  </si>
  <si>
    <t>[Acct Mgt] Adding favorites from checkout confirmation should display success messaging</t>
  </si>
  <si>
    <t>#11601</t>
  </si>
  <si>
    <t>TC11710_ND_11601</t>
  </si>
  <si>
    <t>[Acct Mgt] Update Favorites flyout to display that favorite order is a go-to order</t>
  </si>
  <si>
    <t>#11569</t>
  </si>
  <si>
    <t>TC11569_01</t>
  </si>
  <si>
    <t>[Acct Mgt] Update Favorite Orders buttons to display if Favorite order is a Go-to Order</t>
  </si>
  <si>
    <t>#11591</t>
  </si>
  <si>
    <t>TC11591_01</t>
  </si>
  <si>
    <t>[Predictive] Update Get Directions link on Locations page</t>
  </si>
  <si>
    <t>#11585</t>
  </si>
  <si>
    <t>TC_11585_01_ND_02</t>
  </si>
  <si>
    <t>[Predictive]Populating Predictive Search results in Address fields</t>
  </si>
  <si>
    <t>#11582</t>
  </si>
  <si>
    <t>TC11582_01_ND_02</t>
  </si>
  <si>
    <t>[Predictive] Update Find Your Store page to add City/State/Province fields</t>
  </si>
  <si>
    <t>#5</t>
  </si>
  <si>
    <t>4.11 Release</t>
  </si>
  <si>
    <t>TC5</t>
  </si>
  <si>
    <t>TC11606_TC5</t>
  </si>
  <si>
    <t xml:space="preserve"> [POBS] Expose favoriteType to RWD</t>
  </si>
  <si>
    <t>#22</t>
  </si>
  <si>
    <t>TC22</t>
  </si>
  <si>
    <t>TC11599_01_ND_22</t>
  </si>
  <si>
    <t>[POBS] Return Max number of favorites error</t>
  </si>
  <si>
    <t>Test Case Creation</t>
  </si>
  <si>
    <t># of Test Cases Planned</t>
  </si>
  <si>
    <t># of Test Cases Written</t>
  </si>
  <si>
    <t># of Test Cases Approved</t>
  </si>
  <si>
    <t>Test Execution Summary</t>
  </si>
  <si>
    <t>Total Test Cases</t>
  </si>
  <si>
    <t>Executed</t>
  </si>
  <si>
    <t>Not Run</t>
  </si>
  <si>
    <t>Execution</t>
  </si>
  <si>
    <t>Pass</t>
  </si>
  <si>
    <t>%</t>
  </si>
  <si>
    <t>Defect Summary</t>
  </si>
  <si>
    <t>Defect Priority</t>
  </si>
  <si>
    <t>Defect Status</t>
  </si>
  <si>
    <t>Highest</t>
  </si>
  <si>
    <t>High</t>
  </si>
  <si>
    <t>Medium</t>
  </si>
  <si>
    <t>Low</t>
  </si>
  <si>
    <t>Lowest</t>
  </si>
  <si>
    <t>To Do</t>
  </si>
  <si>
    <t>Ready for QA</t>
  </si>
  <si>
    <t>Done</t>
  </si>
  <si>
    <t>Implemented</t>
  </si>
  <si>
    <t>Regression Defect Details</t>
  </si>
  <si>
    <t>• Logged 1 Regression Defect: PPN-41352 - Reg - Ultrons - Multiple radio buttons are displayed for Primary Column on PFIN &amp; TAX list (List Screens)</t>
  </si>
  <si>
    <t>InSprint Automation Status</t>
  </si>
  <si>
    <t>Total Test Cases (Manual)</t>
  </si>
  <si>
    <t>Automatable</t>
  </si>
  <si>
    <t>Automated</t>
  </si>
  <si>
    <t>Automation %</t>
  </si>
  <si>
    <t>Regression Update</t>
  </si>
  <si>
    <t>Date</t>
  </si>
  <si>
    <t>Total # of Scripts</t>
  </si>
  <si>
    <t># of Scripts Executed</t>
  </si>
  <si>
    <t># Not Run</t>
  </si>
  <si>
    <t>Comments \ Observations</t>
  </si>
  <si>
    <t xml:space="preserve">1. Few Automation Scripts are failing due to changes in PFIN Details Screen made by Team Hulks. Currently we are blocking them.
They'll be fixed in the Regression Execution of Team Hulks
2. One script failed due to regression defect:  PPN-41352
</t>
  </si>
  <si>
    <t>Sprint03_DB_AdminPackage_DefaultsValidation</t>
  </si>
  <si>
    <t>Sprint03_PNS_ConfirmDelete_TC02</t>
  </si>
  <si>
    <t>AUTOMATION TEST CASE ID</t>
  </si>
  <si>
    <t>BROWSER STATUS</t>
  </si>
  <si>
    <t>QTestTCList</t>
  </si>
  <si>
    <t>Regression_Deprecated</t>
  </si>
  <si>
    <t>Regression_API__Deprecated</t>
  </si>
  <si>
    <t>PPN-30363_ND_PPN-47125_TC01_ND_02</t>
  </si>
  <si>
    <t>PPN-41802_PPN_47021_TC01_PPN-30398_PPN-47023_TC01_02</t>
  </si>
  <si>
    <t>PPN-41511_PPN-46999_01_TO_02</t>
  </si>
  <si>
    <t>PPN-41511_PPN-46999_03_TO_04</t>
  </si>
  <si>
    <t>PPN-30379-CommentCopyPasteGR_AddModal_TC01_PPN-46899_TC01</t>
  </si>
  <si>
    <t>PPN-30379-CommentCopyPasteGR_EditModal_TC02_PPN_46899_TC02</t>
  </si>
  <si>
    <t>PPN-30362_Comments_MaintenanceEditMode_TC01_PPN-47012_TC01</t>
  </si>
  <si>
    <t>PPN-44857_Comments_EditModal_SelectedPFINsBox_TC01_PPN-47008_TC01</t>
  </si>
  <si>
    <t>PPN-44849_Comments_AddModal_SelectedPFINsBox_TC01_PPN-46898_TC01</t>
  </si>
  <si>
    <t>PPN-44898-PFINExclusionTableMode_01to_03</t>
  </si>
  <si>
    <t>PPN-44915_AddPFINExclusion_01to_03</t>
  </si>
  <si>
    <t>PPN-44970_01to_03_PPN-44972</t>
  </si>
  <si>
    <t>PPN-44916_PPN-44975_01</t>
  </si>
  <si>
    <t>PPN-44876-ProviderExclusione_01</t>
  </si>
  <si>
    <t>PPN-47765_PractitionerDirectoryLocationExclusionDeleteModal_01</t>
  </si>
  <si>
    <t>PPN-47918_PFINExclusionDeletePFINExclusionFunctionality_01</t>
  </si>
  <si>
    <t>PPN-48349_PFINExclusionEditModev1_TC01</t>
  </si>
  <si>
    <t>PPN-44923_ProviderExclusionApplySortingGRTableMode_01_DefaultSort</t>
  </si>
  <si>
    <t>PPN-44923_ProviderExclusionApplySortingGRTableMode_02_SortingGRMoreThan2Records</t>
  </si>
  <si>
    <t>PPN-44923_ProviderExclusionApplySortingGRTableMode_03_SortingGRLessThan2Records</t>
  </si>
  <si>
    <t>PPN-44923_ProviderExclusionApplySortingGRTableMode_04_SortingGROnly2Records</t>
  </si>
  <si>
    <t>PPN-44999_MasterDirectoryExclusionPFINExclusionApplyTabbingGRTableAddEdit_01_TableMode</t>
  </si>
  <si>
    <t>PPN-44999_MasterDirectoryExclusionPFINExclusionApplyTabbingGRTableAddEdit_02_AddModal</t>
  </si>
  <si>
    <t>PPN-44999_MasterDirectoryExclusionPFINExclusionApplyTabbingGRTableAddEdit_03_EditModal</t>
  </si>
  <si>
    <t>PPN-44999_MasterDirectoryExclusionPFINExclusionApplyTabbingGRTableAddEdit_04_DisabledField</t>
  </si>
  <si>
    <t>PPN-44999_MasterDirectoryExclusionPFINExclusionApplyTabbingGRTableAddEdit_05_iButtonOnTabbing</t>
  </si>
  <si>
    <t>PPN-44999_MasterDirectoryExclusionPFINExclusionApplyTabbingGRTableAddEdit_06_FirstEnabledField</t>
  </si>
  <si>
    <t>PPN-46991_CommentsFacilitySearchFieldDisplayAddEditModal_01_AddModal3Char</t>
  </si>
  <si>
    <t>PPN-46991_CommentsFacilitySearchFieldDisplayAddEditModal_02_AddModal2Char</t>
  </si>
  <si>
    <t>PPN-46991_CommentsFacilitySearchFieldDisplayAddEditModal_03_AddModal2Char</t>
  </si>
  <si>
    <t>PPN-46991_CommentsFacilitySearchFieldDisplayAddEditModal_04_EditModal3Char</t>
  </si>
  <si>
    <t>PPN-46991_CommentsFacilitySearchFieldDisplayAddEditModal_05_EditModal2Char</t>
  </si>
  <si>
    <t>PPN-46991_CommentsFacilitySearchFieldDisplayAddEditModal_06_EditModal2Char</t>
  </si>
  <si>
    <t>PPN-46996_CommentsFacilityMakingaSelectionAdd&amp;EditModal_01_TableRecordsAddModal</t>
  </si>
  <si>
    <t>PPN-46996_CommentsFacilityMakingaSelectionAdd&amp;EditModal_02_NewSearchAddModal</t>
  </si>
  <si>
    <t>PPN-46996_CommentsFacilityMakingaSelectionAdd&amp;EditModal_03_TableRecordsEditModal</t>
  </si>
  <si>
    <t>PPN-46996_CommentsFacilityMakingaSelectionAdd&amp;EditModal_04_NewSearchEditModal</t>
  </si>
  <si>
    <t>PPN-46999_CommentsFacilitySelectingDeselectinginEditAddModal_01</t>
  </si>
  <si>
    <t>PPN-46999_CommentsFacilitySelectingDeselectinginEditAddModal_02</t>
  </si>
  <si>
    <t>PPN-46999_CommentsFacilitySelectingDeselectinginEditAddModal_03</t>
  </si>
  <si>
    <t>PPN-46999_CommentsFacilitySelectingDeselectinginEditAddModal_04</t>
  </si>
  <si>
    <t>PPN-46999_CommentsFacilitySelectingDeselectinginEditAddModal_05</t>
  </si>
  <si>
    <t>PPN-46999_CommentsFacilitySelectingDeselectinginEditAddModal_06</t>
  </si>
  <si>
    <t>PPN-46895-CommentsFacilityModalSetUpViewModal_01</t>
  </si>
  <si>
    <t>PPN-46895-CommentsFacilityModalSetUpViewModal_02</t>
  </si>
  <si>
    <t>PPN-46893-CommentsFacilityFormSetUpTableMode_01</t>
  </si>
  <si>
    <t>PPN-46893-CommentsFacilityFormSetUpTableMode_02</t>
  </si>
  <si>
    <t>PPN-46893-CommentsFacilityFormSetUpTableMode_03</t>
  </si>
  <si>
    <t>PPN-46893-CommentsFacilityFormSetUpTableMode_04</t>
  </si>
  <si>
    <t>PPN-47861_Directory_Exclusion_SideNavigation_TC01</t>
  </si>
  <si>
    <t>PPN-45984_CommentsSectionHealthtechAuditViewModal_01</t>
  </si>
  <si>
    <t>PPN-46899-CommentSectionCopyPasteGR_AddModal_TC01</t>
  </si>
  <si>
    <t>PPN-46899-CommentSectionCopyPasteGR_EditModal_TC02</t>
  </si>
  <si>
    <t xml:space="preserve">PPN-47014-CommentsFacilityApplyTabbingOrderGRTableAddEditDelete_01
</t>
  </si>
  <si>
    <t>PPN-47014-CommentsFacilityApplyTabbingOrderGRTableAddEditDelete_02</t>
  </si>
  <si>
    <t>PPN-47014-CommentsFacilityApplyTabbingOrderGRTableAddEditDelete_03</t>
  </si>
  <si>
    <t>PPN-47014-CommentsFacilityApplyTabbingOrderGRTableAddEditDelete_04</t>
  </si>
  <si>
    <t>PPN-46896-Comments_AddCommentModalSetup_01</t>
  </si>
  <si>
    <t>PPN-46896-Comments_AddCommentMessageBoxFunctionality_02</t>
  </si>
  <si>
    <t>PPN-46896-Comments_AddCommentSearchBoxFunctionality_03</t>
  </si>
  <si>
    <t>PPN-47012-CommentsSectionFacilityMaintenanceEditModev1_01</t>
  </si>
  <si>
    <t>PPN-48348_ProviderExclusionEditModalV1_TC01</t>
  </si>
  <si>
    <t>PPN-47008-Comments_EditCommentModalSetup_01</t>
  </si>
  <si>
    <t>PPN-46898-Comments_AddCommentModalMessageBox_01</t>
  </si>
  <si>
    <t>PPN-46898-Comments_EditCommentModalMessageBox_02</t>
  </si>
  <si>
    <t>PPN-46897_CommentsSectionClearPFINListbuttonAddCommentModal_01</t>
  </si>
  <si>
    <t>PPN-46897_CommentsSectionClearPFINListbuttonAddCommentModal_02</t>
  </si>
  <si>
    <t>PPN-49217-Comments_EditModal_RemoveAddedBy_TC01</t>
  </si>
  <si>
    <t>PPN-49217-Comments_ViewModal_RemoveAddedBy_TC02</t>
  </si>
  <si>
    <t>PPN-48999-Comments_Table_RemoveAddedByColumn_TC01</t>
  </si>
  <si>
    <t>PPN-47125_Comments_Table_Sorting_TC01</t>
  </si>
  <si>
    <t>PPN-47125_Comments_Table_Sorting_TC02</t>
  </si>
  <si>
    <t>PPN-47021_Comments_DeleteModalSetup_TC01</t>
  </si>
  <si>
    <t>PPN-47023_Comments_DeleteModal_TC01</t>
  </si>
  <si>
    <t>PPN-47023_Comments_DeleteModal_TC02</t>
  </si>
  <si>
    <t>PPN-47926_DeleteDirectoryLocationExclusionModalFunctionality_01</t>
  </si>
  <si>
    <t>PPN-47727_DirectoryLocationExclusionAddModalSetUp_01_ModalFields</t>
  </si>
  <si>
    <t>PPN-47727_DirectoryLocationExclusionAddModalSetUp_02</t>
  </si>
  <si>
    <t>PPN-44874_CommentsSectionProviderMaintenanceGET200_TC01</t>
  </si>
  <si>
    <t>PPN-44874_CommentsSectionProviderMaintenanceGET200_TC02</t>
  </si>
  <si>
    <t>PPN-48135_DirLocExclusion_TabbingGRTableMode_01</t>
  </si>
  <si>
    <t>PPN-48135_AddDirLocExclusionModal_TabbingGR_TC02</t>
  </si>
  <si>
    <t>PPN-48135_EditDirLocExclusionModal_TabbingGR_TC03</t>
  </si>
  <si>
    <t>PPN-43748-Provider_ResetTaxAndPfinListLink_TC01</t>
  </si>
  <si>
    <t>PPN-45013-AddTaxExclusionModalSetup_TC01</t>
  </si>
  <si>
    <t>PPN-47725-Dir_Loc_Exclusion_ExpandedView_TC01</t>
  </si>
  <si>
    <t>PPN-47701-Dir_Loc_Exclusion_FormSetupTable_TC01</t>
  </si>
  <si>
    <t>PPN-47877-Provider_Exclusion_DeleteModal_TC01</t>
  </si>
  <si>
    <t>PPN-48060-Edit DirLocExclusionModalSetup_TC01</t>
  </si>
  <si>
    <t>PPN-48131_DirLocExclusion_TableMode_Sorting_TC01</t>
  </si>
  <si>
    <t>PPN-48131_DirLocExclusion_TableMode_Sorting_TC02</t>
  </si>
  <si>
    <t>PPN-45001_TaxExclusion_TabbingGRTableMode_01</t>
  </si>
  <si>
    <t>PPN-45001_AddTaxExclusionModal_TabbingGR_TC02</t>
  </si>
  <si>
    <t>PPN-45001_EditTaxExclusionModal_TabbingGR_TC03</t>
  </si>
  <si>
    <t>PPN-49291_ DirLocationExclusionHealthtechAuditDeleteModal_01</t>
  </si>
  <si>
    <t>PPN-49286_ DirLocationExclusionHealthtechAuditEditModal_01</t>
  </si>
  <si>
    <t>PPN-44867-Comments_AddModalSelectedPFIN_TC001</t>
  </si>
  <si>
    <t>PPN-44867-Comments_EditModalSelectedPFIN_TC002</t>
  </si>
  <si>
    <t>PPN-48351_TaxExclusionEditModalV1_TC01</t>
  </si>
  <si>
    <t>PPN-48350_DirLocationExclusionEditModalV1_TC01</t>
  </si>
  <si>
    <t>PPN-48141_DirLocationExclusion_AddModal_EffectiveAndEndDate_TC01</t>
  </si>
  <si>
    <t>PPN-48141_DirLocationExclusion_EditModal_EffectiveAndEndDate_TC02</t>
  </si>
  <si>
    <t>PPN-45967_TaxExclusion_AddModal_EffectiveAndEndDate_TC01</t>
  </si>
  <si>
    <t>PPN-45967_TaxExclusion_EditModal_EffectiveAndEndDate_TC02</t>
  </si>
  <si>
    <t>PPN-45966_PFINExclusion_AddModal_EffectiveAndEndDate_TC01</t>
  </si>
  <si>
    <t>PPN-45966_PFINExclusion_EditModal_EffectiveAndEndDate_TC02</t>
  </si>
  <si>
    <t>PPN-44878_ CommentSectionPOST_INSERT_200_TC_01</t>
  </si>
  <si>
    <t>PPN-44878_ CommentSectionPOST_UPDATE_200_TC_02</t>
  </si>
  <si>
    <t>PPN-44878_ CommentSectionPOST_DELETE_200_TC_03</t>
  </si>
  <si>
    <t>PPN-47765</t>
  </si>
  <si>
    <t>PPN-47918</t>
  </si>
  <si>
    <t>PPN-48349</t>
  </si>
  <si>
    <t>PPN-44923</t>
  </si>
  <si>
    <t>PPN-44999</t>
  </si>
  <si>
    <t>PPN-46991</t>
  </si>
  <si>
    <t>PPN-46996</t>
  </si>
  <si>
    <t>PPN-46999</t>
  </si>
  <si>
    <t>PPN-47861</t>
  </si>
  <si>
    <t>PPN-45984</t>
  </si>
  <si>
    <t>PPN-48348</t>
  </si>
  <si>
    <t>PPN-46897</t>
  </si>
  <si>
    <t>PPN-47125</t>
  </si>
  <si>
    <t>PPN-47021</t>
  </si>
  <si>
    <t>PPN-47023</t>
  </si>
  <si>
    <t>PPN-47926</t>
  </si>
  <si>
    <t>PPN-47727</t>
  </si>
  <si>
    <t>PPN-44874</t>
  </si>
  <si>
    <t>PPN-48135</t>
  </si>
  <si>
    <t>PPN-48131</t>
  </si>
  <si>
    <t>PPN-45001</t>
  </si>
  <si>
    <t>PPN-49291</t>
  </si>
  <si>
    <t>PPN-49286</t>
  </si>
  <si>
    <t>PPN-48351</t>
  </si>
  <si>
    <t>PPN-48350</t>
  </si>
  <si>
    <t>PPN-48141</t>
  </si>
  <si>
    <t>PPN-45967</t>
  </si>
  <si>
    <t>PPN-45966</t>
  </si>
  <si>
    <t>PPN-44878</t>
  </si>
  <si>
    <t>PPN-46895</t>
  </si>
  <si>
    <t>PPN-46893</t>
  </si>
  <si>
    <t>PPN-46899</t>
  </si>
  <si>
    <t>PPN-47014</t>
  </si>
  <si>
    <t>PPN-44867</t>
  </si>
  <si>
    <t>PPN-48060</t>
  </si>
  <si>
    <t>PPN-45013</t>
  </si>
  <si>
    <t>PPN-43748</t>
  </si>
  <si>
    <t>PPN-47877</t>
  </si>
  <si>
    <t>PPN-47701</t>
  </si>
  <si>
    <t>PPN-47725</t>
  </si>
  <si>
    <t>PPN-48999</t>
  </si>
  <si>
    <t>PPN-49217</t>
  </si>
  <si>
    <t>PPN-46898</t>
  </si>
  <si>
    <t>PPN-47008</t>
  </si>
  <si>
    <t>PPN-47012</t>
  </si>
  <si>
    <t>PPN-46896</t>
  </si>
  <si>
    <t>PPN-44999_PFINExclusionTabbingGRTableAddEdit_01to_06</t>
  </si>
  <si>
    <t>PPN-48135_DirectoryLocationExclusion_Tabbing_TC01_To_03</t>
  </si>
  <si>
    <t>PPN-47725_DirLocExclusion_TableModeChevron_TC01</t>
  </si>
  <si>
    <t>PPN-44878_TC01_To_03_ND_PPN-44874_TC01_02</t>
  </si>
  <si>
    <t>PPN-48131_DirLocExclusion_TableMode_Sorting_TC01_02</t>
  </si>
  <si>
    <t>PPN-45001_TaxExclusion_Tabbing_TC01_To_03</t>
  </si>
  <si>
    <t>PPN-48141_DirLocationExclusion_EffectiveAndEndDate_TC01_TC02</t>
  </si>
  <si>
    <t>PPN-45967_TaxExclusion_EffectiveAndEndDate_TC01_TC02</t>
  </si>
  <si>
    <t>PPN-45966_PFINExclusion_EffectiveAndEndDate_TC01_TC02</t>
  </si>
  <si>
    <t>PPN-30363_CommentsSectionApplySortingGRTableMode_01_DefaultSort~PPN-30363_CommentsSectionApplySortingGRTableMode_02_SortingGRMoreThan2Records~PPN-47125_Comments_Table_Sorting_TC01~PPN-47125_Comments_Table_Sorting_TC02</t>
  </si>
  <si>
    <t>PPN-41475_CommentsSectionSearchFieldDropdownDisplayAddEditModal_02_EditModalSearchListDisplay~PPN-41507_CommentsSectionMakingaSelectioninSuggestedListAdd&amp;EditModal_02_SearchSelectionEditModal~PPN-41517_CommentsSectionClearPFINListbuttonAddCommentModal_02~PPN-46991_CommentsFacilitySearchFieldDisplayAddEditModal_04_EditModal3Char~PPN-46991_CommentsFacilitySearchFieldDisplayAddEditModal_05_EditModal2Char~PPN-46991_CommentsFacilitySearchFieldDisplayAddEditModal_06_EditModal2Char~PPN-46996_CommentsFacilityMakingaSelectionAdd&amp;EditModal_03_TableRecordsEditModal~PPN-46996_CommentsFacilityMakingaSelectionAdd&amp;EditModal_04_NewSearchEditModal~PPN-46897_CommentsSectionClearPFINListbuttonAddCommentModal_02</t>
  </si>
  <si>
    <t>PPN-41511_CommentsSectionSelectingDeselectinginTableEditAddModal_01~PPN-41511_CommentsSectionSelectingDeselectinginTableEditAddModal_02~PPN-46999_CommentsFacilitySelectingDeselectinginEditAddModal_01~PPN-46999_CommentsFacilitySelectingDeselectinginEditAddModal_02</t>
  </si>
  <si>
    <t>PPN-41511_CommentsSectionSelectingDeselectinginTableEditAddModal_03~PPN-41511_CommentsSectionSelectingDeselectinginTableEditAddModal_04~PPN-46999_CommentsFacilitySelectingDeselectinginEditAddModal_03~PPN-46999_CommentsFacilitySelectingDeselectinginEditAddModal_04~PPN-46999_CommentsFacilitySelectingDeselectinginEditAddModal_05~PPN-46999_CommentsFacilitySelectingDeselectinginEditAddModal_06</t>
  </si>
  <si>
    <t>PPN-30398_CommentsSectionModalFunctionalityDeleteModal_01_YesBtn~PPN-30398_CommentsSectionModalFunctionalityDeleteModal_02_NoBtn~ PPN-41802-CommentSectionDeleteModalSetUp_TC01~PPN-47021_Comments_DeleteModalSetup_TC01~PPN-47023_Comments_DeleteModal_TC01~PPN-47023_Comments_DeleteModal_TC02</t>
  </si>
  <si>
    <t>PPN-30379-CommentSectionCopyPasteGR_AddModal_TC01~PPN-46899-CommentSectionCopyPasteGR_AddModal_TC01</t>
  </si>
  <si>
    <t>PPN-30379-CommentSectionCopyPasteGR_EditModal_TC02~PPN-46899-CommentSectionCopyPasteGR_EditModal_TC02</t>
  </si>
  <si>
    <t>PPN-41664-Comments_EditCommentModalSetup_01~PPN-41466-Comments_EditCommentModalMessageBox_02~PPN-46898-Comments_EditCommentModalMessageBox_02~PPN-49217-Comments_EditModal_RemoveAddedBy_TC01</t>
  </si>
  <si>
    <t>PPN-30362-Comments Section: Provider Maintenance: Edit Mode v1_01~PPN-47012-CommentsSectionFacilityMaintenanceEditModev1_01</t>
  </si>
  <si>
    <t>PPN-44857-Comments_EditModal_SelectedPFINsBox_TC01~PPN-47008-Comments_EditCommentModalSetup_01</t>
  </si>
  <si>
    <t>PPN-44999_MasterDirectoryExclusionPFINExclusionApplyTabbingGRTableAddEdit_01_TableMode~PPN-44999_MasterDirectoryExclusionPFINExclusionApplyTabbingGRTableAddEdit_02_AddModal~PPN-44999_MasterDirectoryExclusionPFINExclusionApplyTabbingGRTableAddEdit_03_EditModal~PPN-44999_MasterDirectoryExclusionPFINExclusionApplyTabbingGRTableAddEdit_04_DisabledField~PPN-44999_MasterDirectoryExclusionPFINExclusionApplyTabbingGRTableAddEdit_05_iButtonOnTabbing~PPN-44999_MasterDirectoryExclusionPFINExclusionApplyTabbingGRTableAddEdit_06_FirstEnabledField</t>
  </si>
  <si>
    <t>PPN-47727_DirectoryLocationExclusionAddModalSetUp_01_ModalFields~PPN-47727_DirectoryLocationExclusionAddModalSetUp_02</t>
  </si>
  <si>
    <t>PPN-44874_CommentsSectionProviderMaintenanceGET200_TC01~PPN-44874_CommentsSectionProviderMaintenanceGET200_TC02~PPN-44878_ CommentSectionPOST_INSERT_200_TC_01~PPN-44878_ CommentSectionPOST_UPDATE_200_TC_02~PPN-44878_ CommentSectionPOST_DELETE_200_TC_03</t>
  </si>
  <si>
    <t>PPN-48135_DirLocExclusion_TabbingGRTableMode_01~PPN-48135_AddDirLocExclusionModal_TabbingGR_TC02~PPN-48135_EditDirLocExclusionModal_TabbingGR_TC03</t>
  </si>
  <si>
    <t>PPN-48131_DirLocExclusion_TableMode_Sorting_TC01~PPN-48131_DirLocExclusion_TableMode_Sorting_TC02</t>
  </si>
  <si>
    <t>PPN-45001_TaxExclusion_TabbingGRTableMode_01~PPN-45001_AddTaxExclusionModal_TabbingGR_TC02~PPN-45001_EditTaxExclusionModal_TabbingGR_TC03</t>
  </si>
  <si>
    <t>PPN-48141_DirLocationExclusion_AddModal_EffectiveAndEndDate_TC01~PPN-48141_DirLocationExclusion_EditModal_EffectiveAndEndDate_TC02</t>
  </si>
  <si>
    <t>PPN-45967_TaxExclusion_AddModal_EffectiveAndEndDate_TC01~PPN-45967_TaxExclusion_EditModal_EffectiveAndEndDate_TC02</t>
  </si>
  <si>
    <t>PPN-45966_PFINExclusion_AddModal_EffectiveAndEndDate_TC01~PPN-45966_PFINExclusion_EditModal_EffectiveAndEndDate_TC02</t>
  </si>
  <si>
    <t>PPN-41475_CommentsSectionSearchFieldDropdownDisplayAddEditModal_01_AddModalSearchListDisplay~PPN-41507_CommentsSectionMakingaSelectioninSuggestedListAdd&amp;EditModal_01_SearchSelectionAddModal~PPN-41517_CommentsSectionClearPFINListbuttonAddCommentModal_01~PPN-46991_CommentsFacilitySearchFieldDisplayAddEditModal_01_AddModal3Char~PPN-46991_CommentsFacilitySearchFieldDisplayAddEditModal_02_AddModal2Char~PPN-46991_CommentsFacilitySearchFieldDisplayAddEditModal_03_AddModal2Char~PPN-46996_CommentsFacilityMakingaSelectionAdd&amp;EditModal_01_TableRecordsAddModal~PPN-46996_CommentsFacilityMakingaSelectionAdd&amp;EditModal_02_NewSearchAddModal~PPN-46896-Comments_AddCommentSearchBoxFunctionality_03~PPN-46897_CommentsSectionClearPFINListbuttonAddCommentModal_01</t>
  </si>
  <si>
    <t>PPN-30444-Comments_AddCommentModalSetup_01~PPN-30444-Comments_AddCommentMessageBoxFunctionality_02~PPN-30444-Comments_AddCommentSearchBoxFunctionality_03~PPN-41466-Comments_AddCommentModalMessageBox_01~PPN-46896-Comments_AddCommentModalSetup_01~PPN-46896-Comments_AddCommentMessageBoxFunctionality_02~PPN-46898-Comments_AddCommentModalMessageBox_01</t>
  </si>
  <si>
    <t>PPN-44923_ProviderExclusionApplySortingGRTableMode_01_DefaultSort~PPN-44923_ProviderExclusionApplySortingGRTableMode_02_SortingGRMoreThan2Records</t>
  </si>
  <si>
    <t>PPN-44923_ProviderExclusionApplySortingGRTableMode_03_SortingGRLessThan2Records~PPN-44923_ProviderExclusionApplySortingGRTableMode_04_SortingGROnly2Records</t>
  </si>
  <si>
    <t>PPN-47727_DirLocExcl_AddModal_01_02</t>
  </si>
  <si>
    <t>PPN-44923_ProvExcl_Sorting_TC03_TC04</t>
  </si>
  <si>
    <t>PPN-44923_ProvExcl_Sorting_TC01_TC02</t>
  </si>
  <si>
    <t>PPN-32807_LicenseSectionMaintenanceModal Validations,AddNew(AfterRemovingException)_009-IssueDateEnabled&amp;DateRules~PPN-32807_LicenseSectionMaintenanceModal Validations,AddNew(AfterRemovingException)_010-ExpDateEnabled&amp;DateRules</t>
  </si>
  <si>
    <t>Sprint #</t>
  </si>
  <si>
    <t>Script Count</t>
  </si>
  <si>
    <t>Regression Execution Count</t>
  </si>
  <si>
    <t># of times Scripts were executed (Till Date)</t>
  </si>
  <si>
    <t>Team Ultrons</t>
  </si>
  <si>
    <t>Sprint 0</t>
  </si>
  <si>
    <t>Sprint 1</t>
  </si>
  <si>
    <t>Sprint 2</t>
  </si>
  <si>
    <t>Sprint 3</t>
  </si>
  <si>
    <t>Sprint 4</t>
  </si>
  <si>
    <t>Sprint 5</t>
  </si>
  <si>
    <t>Sprint 6</t>
  </si>
  <si>
    <t>Sprint 7</t>
  </si>
  <si>
    <t>Sprint 8</t>
  </si>
  <si>
    <t>Sprint 9</t>
  </si>
  <si>
    <t>Sprint 10</t>
  </si>
  <si>
    <t>Sprint 11</t>
  </si>
  <si>
    <t>0 (Current Sprint)</t>
  </si>
  <si>
    <t>Manual vs Automation execution time savings:</t>
  </si>
  <si>
    <r>
      <t>Manual</t>
    </r>
    <r>
      <rPr>
        <sz val="10"/>
        <color rgb="FF000000"/>
        <rFont val="Arial"/>
        <family val="2"/>
      </rPr>
      <t xml:space="preserve"> : 5 min x 448 = 2240 min = 36 hr</t>
    </r>
  </si>
  <si>
    <r>
      <t>Automation</t>
    </r>
    <r>
      <rPr>
        <sz val="10"/>
        <color rgb="FF000000"/>
        <rFont val="Arial"/>
        <family val="2"/>
      </rPr>
      <t xml:space="preserve"> : 
- Parallel Execution With 10 Threads: 35 min
- Execution With Single Thread: 350 min = 5 hr 50 min</t>
    </r>
  </si>
  <si>
    <r>
      <t>Savings</t>
    </r>
    <r>
      <rPr>
        <sz val="10"/>
        <color rgb="FF000000"/>
        <rFont val="Arial"/>
        <family val="2"/>
      </rPr>
      <t xml:space="preserve"> : 
- Parallel Execution With 10 Threads: 35 hr
- Execution With Single Thread: 30 hr</t>
    </r>
  </si>
  <si>
    <t>Amount of rework by Sprint and time spent:</t>
  </si>
  <si>
    <t>Rework Effort (Hrs)</t>
  </si>
  <si>
    <t>Reason</t>
  </si>
  <si>
    <t>Primary Column Functionality Change</t>
  </si>
  <si>
    <t>Primary Column Functionality Change and Pagination related changes</t>
  </si>
  <si>
    <t>License API changes</t>
  </si>
  <si>
    <t>License and Specialty API changes</t>
  </si>
  <si>
    <t>Specialty API Changes</t>
  </si>
  <si>
    <t>Change In Billing Location Page Location and Page Design Changes</t>
  </si>
  <si>
    <t>Deselect button and Added By field removal from Comments Section</t>
  </si>
  <si>
    <t>Number of Scripts Descoped.</t>
  </si>
  <si>
    <t>Regression Defects Count</t>
  </si>
  <si>
    <t>PPN-7399_PPN-34527_PPN-34525_PPN-49365_01</t>
  </si>
  <si>
    <t>PPN-33968_PPN-33635_PPN-11105_TC5_TC8_PPN-49364</t>
  </si>
  <si>
    <t>PPN-34330_PPN-34333_PPN-49365_TC02_03</t>
  </si>
  <si>
    <t>PPN-47705-FacilityProvExclTableMode_01</t>
  </si>
  <si>
    <t>PPN-47716_DirLocExclAddModalSetUp_01</t>
  </si>
  <si>
    <t>PPN-47716_DirLocExclAddModalSetUp_02</t>
  </si>
  <si>
    <t>PPN-47718_FacilityProvExclEditModal_01</t>
  </si>
  <si>
    <t>PPN-47718_FacilityProvExclEditModal_02</t>
  </si>
  <si>
    <t>PPN-47719_FacilityProvExclDeleteModalSetUp_01</t>
  </si>
  <si>
    <t>PPN-47720_FacilityProvExclSortingGR_01_DefaultSort</t>
  </si>
  <si>
    <t>PPN-47720_FacilityProvExclSortingGR_02_SortingGRMoreThan2Records</t>
  </si>
  <si>
    <t>PPN-47720_FacilityProvExclSortingGR_03_SortingGRLessThan2Records</t>
  </si>
  <si>
    <t>PPN-47720_FacilityProvExclSortingGR_04_SortingGROnly2Records</t>
  </si>
  <si>
    <t>PPN-47722_ProvExclAddModalEffectiveEndDate_TC01</t>
  </si>
  <si>
    <t>PPN-47722_ProvExclAddModalEffectiveEndDate_TC02</t>
  </si>
  <si>
    <t>PPN-47721_FacilityProvExclTabbing_01_TableMode</t>
  </si>
  <si>
    <t>PPN-47721_FacilityProvExclTabbing_02_AddModal</t>
  </si>
  <si>
    <t>PPN-47721_FacilityProvExclTabbing_03_EditModal</t>
  </si>
  <si>
    <t>PPN-47721_FacilityProvExclTabbing_04_iButtonOnTabbing</t>
  </si>
  <si>
    <t>PPN-48352_FacilityProvExclEditModalV1_TC01</t>
  </si>
  <si>
    <t>PPN-49337_FacilityProvExclAuditEditModal_01</t>
  </si>
  <si>
    <t>PPN-49338_FacilityProvExclAuditDeleteModal_01</t>
  </si>
  <si>
    <t>PPN-47708- Facility_PFINExclusionFormSetupTableMode_01</t>
  </si>
  <si>
    <t>PPN-47708- Facility_PFINExclusionFormSetupTableMode_02</t>
  </si>
  <si>
    <t>PPN-47708- Facility_PFINExclusionFormSetupTableMode_03</t>
  </si>
  <si>
    <t>PPN-48052_Facility_ModalSetUpAddPFINExclusion_01</t>
  </si>
  <si>
    <t>PPN-48052_Facility_ModalSetUpAddPFINExclusion_02</t>
  </si>
  <si>
    <t>PPN-48052_Facility_ModalSetUpAddPFINExclusion_03</t>
  </si>
  <si>
    <t>PPN-48111_Facility_PFINExclusionEditPFINExclusionModal_01</t>
  </si>
  <si>
    <t>PPN-48111_Facility_PFINExclusionEditPFINExclusionModal_02</t>
  </si>
  <si>
    <t>PPN-48111_Facility_PFINExclusionEditPFINExclusionModal_03</t>
  </si>
  <si>
    <t>PPN-48112_Facility_PFINExclusionDeletePFINExclusion_01</t>
  </si>
  <si>
    <t>PPN-48133_Facility_PFIN_Exclusion_Sorting_TC01</t>
  </si>
  <si>
    <t>PPN-48133_Facility_PFIN_Exclusion_Sorting_TC02</t>
  </si>
  <si>
    <t>PPN-48138_Facility_PFINExclusionApplyTabbingGRTableAddEdit_01</t>
  </si>
  <si>
    <t>PPN-48138_Facility_PFINExclusionApplyTabbingGRTableAddEdit_02</t>
  </si>
  <si>
    <t>PPN-48138_Facility_PFINExclusionApplyTabbingGRTableAddEdit_03</t>
  </si>
  <si>
    <t>PPN-48142_Facility_PFINExclusion_AddModal_EffectiveAndEndDate_TC01</t>
  </si>
  <si>
    <t>PPN-48142_Facility_PFINExclusion_AddModal_EffectiveAndEndDate_TC02</t>
  </si>
  <si>
    <t>PPN-48353_Facility_PFINExclusionEditModev1_TC01</t>
  </si>
  <si>
    <t>PPN-49339_Facility_ProviderExclusionHealthtechAuditEditModal_01</t>
  </si>
  <si>
    <t>PPN-49341_Facility_PFINExclusionHealthtechAuditDeleteModal_01</t>
  </si>
  <si>
    <t xml:space="preserve"> PPN-50791_Facility_PFINExc_FunctionalityEditModal_TC01</t>
  </si>
  <si>
    <t xml:space="preserve"> PPN-50791_Facility_PFINExc_FunctionalityEditModal_TC02</t>
  </si>
  <si>
    <t>PPN-52336_Facility_PFINExclusionSearchFieldDropdownDisplayAddModal_01</t>
  </si>
  <si>
    <t>PPN-52336_Facility_PFINExclusionSearchFieldDropdownDisplayAddModal_02</t>
  </si>
  <si>
    <t>PPN-52336_Facility_PFINExclusionSearchFieldDropdownDisplayAddModal_03</t>
  </si>
  <si>
    <t>PPN-52337-Facility_PFINExclusionAddModaltablefunctionality_01</t>
  </si>
  <si>
    <t>PPN-52337-Facility_PFINExclusionAddModaltablefunctionality_02</t>
  </si>
  <si>
    <t>PPN-52337-Facility_PFINExclusionAddModaltablefunctionality_03</t>
  </si>
  <si>
    <t>PPN-52337-Facility_PFINExclusionAddModaltablefunctionality_04</t>
  </si>
  <si>
    <t>PPN-52337-Facility_PFINExclusionAddModaltablefunctionality_05</t>
  </si>
  <si>
    <t>PPN-47243_AddTaxExclusion_01</t>
  </si>
  <si>
    <t>PPN-47243_AddTaxExclusion_02</t>
  </si>
  <si>
    <t>PPN-47929-DeleteTaxExclusion_TC01</t>
  </si>
  <si>
    <t>PPN-47929-DeleteTaxExclusion_TC02</t>
  </si>
  <si>
    <t>PPN-50792-EditTaxExclusion_TC01</t>
  </si>
  <si>
    <t>PPN-50792-EditTaxExclusion_TC02</t>
  </si>
  <si>
    <t>PPN-52442-AddTaxExclusion_Search_TC01</t>
  </si>
  <si>
    <t>PPN-52442-AddTaxExclusion_Search_TC02</t>
  </si>
  <si>
    <t>PPN-52442-AddTaxExclusion_Search_TC03</t>
  </si>
  <si>
    <t>PPN-52443-AddTaxExcl_Table_TC01</t>
  </si>
  <si>
    <t>PPN-52443-AddTaxExcl_Table_TC02</t>
  </si>
  <si>
    <t>PPN-52443-AddTaxExcl_Table_TC03</t>
  </si>
  <si>
    <t>PPN-52443-AddTaxExcl_Table_TC04</t>
  </si>
  <si>
    <t>PPN-49365-SubspecialtyTableMode_TC01</t>
  </si>
  <si>
    <t>PPN-49365-AddNewSubspecialtyModal_TC02</t>
  </si>
  <si>
    <t>PPN-49365-AddNewSubspecialtyModal_TC03</t>
  </si>
  <si>
    <t>PPN-49394-SubspecialtyTable_UI_Integration_TC01</t>
  </si>
  <si>
    <t>PPN-49394-SubspecialtyTable_UI_Integration_TC02</t>
  </si>
  <si>
    <t>PPN-49364-EditSpecialtyAndTypeModal_TC01</t>
  </si>
  <si>
    <t>PPN-49364-EditSpecialtyAndTypeModal_TC02</t>
  </si>
  <si>
    <t>PPN-52332_PractitionerPFINExclSearchDisplayAdd_01</t>
  </si>
  <si>
    <t>PPN-52332_PractitionerPFINExclSearchDisplayAdd_02</t>
  </si>
  <si>
    <t>PPN-52332_PractitionerPFINExclSearchDisplayAdd_03</t>
  </si>
  <si>
    <t>PPN-52333-PractitionerPFINExclAddModalfunctionality_01</t>
  </si>
  <si>
    <t>PPN-52333-PractitionerPFINExclAddModalfunctionality_02</t>
  </si>
  <si>
    <t>PPN-52333-PractitionerPFINExclAddModalfunctionality_03</t>
  </si>
  <si>
    <t>PPN-52333-PractitionerPFINExclAddModalfunctionality_04</t>
  </si>
  <si>
    <t>PPN-52334_DirLocationExclusionSearchFieldDropdownDisplayAddModal_01</t>
  </si>
  <si>
    <t>PPN-52334_DirLocationExclusionSearchFieldDropdownDisplayAddModal_02</t>
  </si>
  <si>
    <t>PPN-52334_DirLocationExclusionSearchFieldDropdownDisplayAddModal_03</t>
  </si>
  <si>
    <t>PPN-52335-DirLocationExclusionAddModaltablefunctionality_01</t>
  </si>
  <si>
    <t>PPN-52335-DirLocationExclusionAddModaltablefunctionality_02</t>
  </si>
  <si>
    <t>PPN-52335-DirLocationExclusionAddModaltablefunctionality_03</t>
  </si>
  <si>
    <t>PPN-52335-DirLocationExclusionAddModaltablefunctionality_04</t>
  </si>
  <si>
    <t>PPN-52389_CommentsProviderUIIntegrationViewTables_01_TableMode</t>
  </si>
  <si>
    <t>PPN-52389_CommentsProviderUIIntegrationViewTables_02_ViewMode</t>
  </si>
  <si>
    <t>PPN-52454_CommentsProvSaveImplDeleteModal_01</t>
  </si>
  <si>
    <t>PPN-50790_PractitionerPFINExclEditModalFunctionality_01</t>
  </si>
  <si>
    <t>PPN-50836_FacilityProvExclEditFunctionality_01</t>
  </si>
  <si>
    <t>PPN-50836_PractitionerProvExclEditFunctionality_02</t>
  </si>
  <si>
    <t>PPN-52456_CommenScreenSaveImplementationEditModal_TC01</t>
  </si>
  <si>
    <t>PPN-52456_CommenScreenSaveImplementationEditModal_TC02</t>
  </si>
  <si>
    <t>PPN-52463_CommenScreenSaveImplementationAddModal_TC01</t>
  </si>
  <si>
    <t>PPN-52463_CommenScreenSaveImplementationAddModal_TC02</t>
  </si>
  <si>
    <t>PPN-48114_DirLocationFunctionalityEditModal_TC01</t>
  </si>
  <si>
    <t>PPN-48114_DirLocationFunctionalityEditModal_TC02</t>
  </si>
  <si>
    <t>PPN-47705</t>
  </si>
  <si>
    <t>PPN-47716</t>
  </si>
  <si>
    <t>PPN-47718</t>
  </si>
  <si>
    <t>PPN-47719</t>
  </si>
  <si>
    <t>PPN-47720</t>
  </si>
  <si>
    <t>PPN-47722</t>
  </si>
  <si>
    <t>PPN-47721</t>
  </si>
  <si>
    <t>PPN-48352</t>
  </si>
  <si>
    <t>PPN-49337</t>
  </si>
  <si>
    <t>PPN-49338</t>
  </si>
  <si>
    <t>PPN-47708</t>
  </si>
  <si>
    <t>PPN-48052</t>
  </si>
  <si>
    <t>PPN-48111</t>
  </si>
  <si>
    <t>PPN-48112</t>
  </si>
  <si>
    <t>PPN-48133</t>
  </si>
  <si>
    <t>PPN-48138</t>
  </si>
  <si>
    <t>PPN-48142</t>
  </si>
  <si>
    <t>PPN-48353</t>
  </si>
  <si>
    <t>PPN-49339</t>
  </si>
  <si>
    <t>PPN-49341</t>
  </si>
  <si>
    <t>PPN-50791</t>
  </si>
  <si>
    <t>PPN-52336</t>
  </si>
  <si>
    <t>PPN-52337</t>
  </si>
  <si>
    <t>PPN-47243</t>
  </si>
  <si>
    <t>PPN-47929</t>
  </si>
  <si>
    <t>PPN-50792</t>
  </si>
  <si>
    <t>PPN-52442</t>
  </si>
  <si>
    <t>PPN-52443</t>
  </si>
  <si>
    <t>PPN-49365</t>
  </si>
  <si>
    <t>PPN-49394</t>
  </si>
  <si>
    <t>PPN-49364</t>
  </si>
  <si>
    <t>PPN-52332</t>
  </si>
  <si>
    <t>PPN-52333</t>
  </si>
  <si>
    <t>PPN-52334</t>
  </si>
  <si>
    <t>PPN-52335</t>
  </si>
  <si>
    <t>PPN-52389</t>
  </si>
  <si>
    <t>PPN-52454</t>
  </si>
  <si>
    <t>PPN-50790</t>
  </si>
  <si>
    <t>PPN-50836</t>
  </si>
  <si>
    <t>PPN-52456</t>
  </si>
  <si>
    <t>PPN-52463</t>
  </si>
  <si>
    <t>PPN-48114</t>
  </si>
  <si>
    <t>PPN-47716_DirLocExclAddModalSetUp_01_ND_02</t>
  </si>
  <si>
    <t>PPN-47718_FacilityProvExclEditModal_01_ND_02</t>
  </si>
  <si>
    <t>PPN-47720_FacilityProvExclSortingGR_01_ND_02</t>
  </si>
  <si>
    <t>PPN-47720_FacilityProvExclSortingGR_TC03_TC04</t>
  </si>
  <si>
    <t>PPN-47722_ProviderExclusion_AddEditModalDateValidations_TC01_ND_02</t>
  </si>
  <si>
    <t>PPN-47721_FacilityProvExclTabbing_01to_04</t>
  </si>
  <si>
    <t>PPN-47708- Facility_PFINExclusionFormSetupTableMode_01_To_03</t>
  </si>
  <si>
    <t>PPN-48052_Facility_ModalSetUpAddPFINExclusion_01_To_03</t>
  </si>
  <si>
    <t>PPN-48111_Facility_PFINExclusionEditPFINExclusionModal_01_To_03</t>
  </si>
  <si>
    <t>PPN-48138_Facility_PFINExclusionTabbing_01_To_03</t>
  </si>
  <si>
    <t>PPN-48142_FacilityPFINExclusionEffectiveEndDate_TC01_ND_02</t>
  </si>
  <si>
    <t>PPN-48353_FacilityPFINExclusionEditModev1_TC01</t>
  </si>
  <si>
    <t>PPN-50791_Facility_PFINExc_FunctionalityEditModal_TC01</t>
  </si>
  <si>
    <t>PPN-52336_PFINExclSearchDisplayAdd_01_to_03</t>
  </si>
  <si>
    <t>PPN-52337-PractitionerPFINExclAddModalfunctionality_01_To_04</t>
  </si>
  <si>
    <t>PPN-47929-DeleteTaxExclusion_TC01_02</t>
  </si>
  <si>
    <t>PPN-50792-EditTaxExclusion_TC01_02</t>
  </si>
  <si>
    <t>PPN-52442-AddTaxExclusion_Search_TC01_To_03</t>
  </si>
  <si>
    <t>PPN-52443-AddTaxExcl_Table_TC01_To_04</t>
  </si>
  <si>
    <t>PPN-49394-SubspecialtyTable_UI_Integration_TC01_02</t>
  </si>
  <si>
    <t>PPN-52332_PFINExclSearchDisplayAdd_01_to_03</t>
  </si>
  <si>
    <t>PPN-52333-PractitionerPFINExclAddModalfunctionality_01_To_04</t>
  </si>
  <si>
    <t>PPN-52334-DirectoryLocationExclusion_Search_TC01_To_03</t>
  </si>
  <si>
    <t>PPN-48114_DirLocationFunctionalityEditModal_TC01_02</t>
  </si>
  <si>
    <t>PPN-7399_Specialty_And_Type_Table_Section_001_SpecialtyDetailsTableValidations~PPN-7399_Specialty_And_Type_Table_Section_002_SubspecialtyDetailsTableValidations~PPN-7399_Specialty_And_Type_Table_Section_003_ButtonValidations~PPN-34527_Specialty_And_Type_Section_UI_Integration_001_VerifyData~PPN-34527_Specialty_And_Type_Section_UI_Integration_002_VerifyData~PPN-34527_Specialty_And_Type_Section_UI_Integration_003_VerifyData~PPN-34525_Specialty_BoardCodeAndTypesRefCodeRelshp_001_SpecialtyDetailsTableValidations~PPN-34525_Specialty_BoardCodeAndTypesRefCodeRelshp_002_SpecialtyDetailsTableValidations~PPN-34525_Specialty_BoardCodeAndTypesRefCodeRelshp_003_SpecialtyDetailsTableValidations~PPN-49365-SubspecialtyTableMode_TC01</t>
  </si>
  <si>
    <t>PPN-34330_Specialty_AddNewSpecialtyButton_001~PPN-34330_Specialty_AddNewSpecialtyButton_002~PPN-34333_Specialty_AddNewSubspecialtyFormValidations_001~PPN-49365-AddNewSubspecialtyModal_TC02~PPN-49365-AddNewSubspecialtyModal_TC03</t>
  </si>
  <si>
    <t>PPN-33968_Modal_Set_Up_Edit _w/Subspecialty_TC001~PPN-33968_Modal_Set_Up_Edit _w/Subspecialty_TC002~PPN-33635_Modal_Functionality_Edit_With_Subspecialties_TC001~PPN-33635_Modal_Functionality_Edit_With_Subspecialties_TC002~PPN-33635_Modal_Functionality_Edit_With_Subspecialties_TC003~PPN-11105_DateValidationBoardCertificationDateEditSpecialty_TC005~PPN-11105_DateValidationeBoard ExpirationDateEditSpecialty_TC006~PPN-11105_DateValidationSubspecialtyBoardCertificationDateEditSpecialty_TC007~PPN-11105_DateValidationSubspecialtyBoardExpirationDateEditSpecialty_TC008~PPN-49364-EditSpecialtyAndTypeModal_TC01~PPN-49364-EditSpecialtyAndTypeModal_TC02</t>
  </si>
  <si>
    <t>PPN-47716_DirLocExclAddModalSetUp_01~PPN-47716_DirLocExclAddModalSetUp_02</t>
  </si>
  <si>
    <t>PPN-47718_FacilityProvExclEditModal_01~PPN-47718_FacilityProvExclEditModal_02</t>
  </si>
  <si>
    <t>PPN-47720_FacilityProvExclSortingGR_01_DefaultSort~PPN-47720_FacilityProvExclSortingGR_02_SortingGRMoreThan2Records</t>
  </si>
  <si>
    <t>PPN-47720_FacilityProvExclSortingGR_03_SortingGRLessThan2Records~PPN-47720_FacilityProvExclSortingGR_04_SortingGROnly2Records</t>
  </si>
  <si>
    <t>PPN-47722_ProvExclAddModalEffectiveEndDate_TC01~PPN-47722_ProvExclAddModalEffectiveEndDate_TC02</t>
  </si>
  <si>
    <t>PPN-47721_FacilityProvExclTabbing_01_TableMode~PPN-47721_FacilityProvExclTabbing_02_AddModal~PPN-47721_FacilityProvExclTabbing_03_EditModal~PPN-47721_FacilityProvExclTabbing_04_iButtonOnTabbing</t>
  </si>
  <si>
    <t>PPN-47708- Facility_PFINExclusionFormSetupTableMode_01~PPN-47708- Facility_PFINExclusionFormSetupTableMode_02~PPN-47708- Facility_PFINExclusionFormSetupTableMode_03</t>
  </si>
  <si>
    <t>PPN-48052_Facility_ModalSetUpAddPFINExclusion_01~PPN-48052_Facility_ModalSetUpAddPFINExclusion_02~PPN-48052_Facility_ModalSetUpAddPFINExclusion_03</t>
  </si>
  <si>
    <t>PPN-48111_Facility_PFINExclusionEditPFINExclusionModal_01~PPN-48111_Facility_PFINExclusionEditPFINExclusionModal_02~PPN-48111_Facility_PFINExclusionEditPFINExclusionModal_03</t>
  </si>
  <si>
    <t>PPN-48138_Facility_PFINExclusionApplyTabbingGRTableAddEdit_01~PPN-48138_Facility_PFINExclusionApplyTabbingGRTableAddEdit_02~PPN-48138_Facility_PFINExclusionApplyTabbingGRTableAddEdit_03</t>
  </si>
  <si>
    <t>PPN-48142_Facility_PFINExclusion_AddModal_EffectiveAndEndDate_TC01~PPN-48142_Facility_PFINExclusion_AddModal_EffectiveAndEndDate_TC02</t>
  </si>
  <si>
    <t xml:space="preserve"> PPN-50791_Facility_PFINExc_FunctionalityEditModal_TC01~ PPN-50791_Facility_PFINExc_FunctionalityEditModal_TC02</t>
  </si>
  <si>
    <t>PPN-52336_Facility_PFINExclusionSearchFieldDropdownDisplayAddModal_01~PPN-52336_Facility_PFINExclusionSearchFieldDropdownDisplayAddModal_02~PPN-52336_Facility_PFINExclusionSearchFieldDropdownDisplayAddModal_03</t>
  </si>
  <si>
    <t>PPN-52337-Facility_PFINExclusionAddModaltablefunctionality_01~PPN-52337-Facility_PFINExclusionAddModaltablefunctionality_02~PPN-52337-Facility_PFINExclusionAddModaltablefunctionality_03~PPN-52337-Facility_PFINExclusionAddModaltablefunctionality_04~PPN-52337-Facility_PFINExclusionAddModaltablefunctionality_05</t>
  </si>
  <si>
    <t>PPN-47929-DeleteTaxExclusion_TC01~PPN-47929-DeleteTaxExclusion_TC02</t>
  </si>
  <si>
    <t>PPN-50792-EditTaxExclusion_TC01~PPN-50792-EditTaxExclusion_TC02</t>
  </si>
  <si>
    <t>PPN-52442-AddTaxExclusion_Search_TC01~PPN-52442-AddTaxExclusion_Search_TC02~PPN-52442-AddTaxExclusion_Search_TC03</t>
  </si>
  <si>
    <t>PPN-52443-AddTaxExcl_Table_TC01~PPN-52443-AddTaxExcl_Table_TC02~PPN-52443-AddTaxExcl_Table_TC03~PPN-52443-AddTaxExcl_Table_TC04</t>
  </si>
  <si>
    <t>PPN-49394-SubspecialtyTable_UI_Integration_TC01~PPN-49394-SubspecialtyTable_UI_Integration_TC02</t>
  </si>
  <si>
    <t>PPN-52332_PractitionerPFINExclSearchDisplayAdd_01~PPN-52332_PractitionerPFINExclSearchDisplayAdd_02~PPN-52332_PractitionerPFINExclSearchDisplayAdd_03</t>
  </si>
  <si>
    <t>PPN-52333-PractitionerPFINExclAddModalfunctionality_01~PPN-52333-PractitionerPFINExclAddModalfunctionality_02~PPN-52333-PractitionerPFINExclAddModalfunctionality_03~PPN-52333-PractitionerPFINExclAddModalfunctionality_04</t>
  </si>
  <si>
    <t>PPN-52334_DirLocationExclusionSearchFieldDropdownDisplayAddModal_01~PPN-52334_DirLocationExclusionSearchFieldDropdownDisplayAddModal_02~PPN-52334_DirLocationExclusionSearchFieldDropdownDisplayAddModal_03</t>
  </si>
  <si>
    <t>PPN-52335-DirLocationExclusionAddModaltablefunctionality_01~PPN-52335-DirLocationExclusionAddModaltablefunctionality_02~PPN-52335-DirLocationExclusionAddModaltablefunctionality_03~PPN-52335-DirLocationExclusionAddModaltablefunctionality_04</t>
  </si>
  <si>
    <t>PPN-48114_DirLocationFunctionalityEditModal_TC01~PPN-48114_DirLocationFunctionalityEditModal_TC02</t>
  </si>
  <si>
    <t>PPN-41664_PPN-49217_TC01_PPN-41466_PPN-46898_TC02</t>
  </si>
  <si>
    <t>PPN-52335-DirLocationAddModalfunctionality_TC01_04</t>
  </si>
  <si>
    <t>PPN-52454_CommentsProvDeleteFunctionality_01</t>
  </si>
  <si>
    <t>PPN-32880_PPN-49540_License_RoutingSetUp_TC01</t>
  </si>
  <si>
    <t>PPN-47701_PPN-56355_DirLocExcl_TableSetup</t>
  </si>
  <si>
    <t>PPN-52463_PPN-54384_ComntAddModal_Save</t>
  </si>
  <si>
    <t>PPN-52456_PPN-54385_Comment_EditModal_Save</t>
  </si>
  <si>
    <t>PPN-52389_PPN-54386_CommentsIntegrationViewTables</t>
  </si>
  <si>
    <t>PPN-42289_PPN-54387_UIIntegration_AddModal_TC01</t>
  </si>
  <si>
    <t>PPN-42289_PPN-54387_UIIntegration_EditModal_TC02</t>
  </si>
  <si>
    <t>PPN-48060_PPN-56357_EditDirLocExclModalSetup</t>
  </si>
  <si>
    <t>PPN-47765_PPN-47926_PPN-56358_DirLocExclDeleteModal</t>
  </si>
  <si>
    <t>PPN-30378_PPN_47014_PPN-56627</t>
  </si>
  <si>
    <t>PPN-41475_41507_46897_46996_41517_46991_01_46896_03</t>
  </si>
  <si>
    <t>PPN-41475_41507_46897_46996_41517_46991_02</t>
  </si>
  <si>
    <t>Chevron Removed Due To In-Sprint Development, Tabbing Order Failing</t>
  </si>
  <si>
    <t>Sometimes Script fails as 'Save' Button gets disabled after clearing End Date field</t>
  </si>
  <si>
    <t>PPN-48105_PPN-45000_TaxExcl_TableMode_Sorting</t>
  </si>
  <si>
    <t>PPN-30444_01_To_03_41466_46898_01_46896_01_02</t>
  </si>
  <si>
    <t>PPN-10897-TC001_TO_004_PPN-51517_Date_Rules_V4_TC01</t>
  </si>
  <si>
    <t>PPN-48113</t>
  </si>
  <si>
    <t>PPN-48113_PFINExclusionDeletePFINExclusionFunctionality_01</t>
  </si>
  <si>
    <t>PPN-53114</t>
  </si>
  <si>
    <t>PPN-53114_ClassFProvExclAddEffectiveEndDate_TC01_ND_02</t>
  </si>
  <si>
    <t>PPN-53124</t>
  </si>
  <si>
    <t>PPN-53124_DirLocExclAddModalSetUp_01_ND_02</t>
  </si>
  <si>
    <t>PPN-53124_DirLocExclAddModalSetUp_01</t>
  </si>
  <si>
    <t>PPN-53124_DirLocExclAddModalSetUp_02</t>
  </si>
  <si>
    <t>PPN-53134</t>
  </si>
  <si>
    <t>PPN-53134-Provider_Exclusion_DeleteModal_TC01</t>
  </si>
  <si>
    <t>PPN-53136</t>
  </si>
  <si>
    <t>PPN-53136_ClassFProvExclHealthtechEditModal_01</t>
  </si>
  <si>
    <t>PPN-53136_MasterDirectoryExclusionProviderExclusionHealthtechAuditEditModal_01</t>
  </si>
  <si>
    <t>PPN-53140</t>
  </si>
  <si>
    <t>PPN-53140_ClassFProvExclHealthtechDeleteModal_01</t>
  </si>
  <si>
    <t>PPN-53140_MasterDirectoryExclusionProviderExclusionHealthtechAuditDeleteModal_01</t>
  </si>
  <si>
    <t>PPN-53156</t>
  </si>
  <si>
    <t>PPN-53156_AddTaxExclusion_TC01_02</t>
  </si>
  <si>
    <t>PPN-53156_AddTaxExclusion_01</t>
  </si>
  <si>
    <t>PPN-53156_AddTaxExclusion_02</t>
  </si>
  <si>
    <t>PPN-53157</t>
  </si>
  <si>
    <t>PPN-53157-EditTaxExclusion_TC01_02</t>
  </si>
  <si>
    <t>PPN-53157-EditTaxExclusion_TC01</t>
  </si>
  <si>
    <t>PPN-53157-EditTaxExclusion_TC02</t>
  </si>
  <si>
    <t>PPN-54384</t>
  </si>
  <si>
    <t>PPN-54384_CommenScreenSaveImplementationAddModal_TC01</t>
  </si>
  <si>
    <t>PPN-54384_CommenScreenSaveImplementationAddModal_TC02</t>
  </si>
  <si>
    <t>PPN-54384_CommenScreenSaveImplementationAddModal_TC03</t>
  </si>
  <si>
    <t>PPN-54385</t>
  </si>
  <si>
    <t>PPN-54385_CommenScreenSaveImplementationEditModal_TC01</t>
  </si>
  <si>
    <t>PPN-54385_CommenScreenSaveImplementationEditModal_TC02</t>
  </si>
  <si>
    <t>PPN-54386</t>
  </si>
  <si>
    <t>PPN-54386_CommentsProviderUIIntegrationViewTables_01_TableMode</t>
  </si>
  <si>
    <t>PPN-54386_CommentsProviderUIIntegrationViewTables_02_ViewMode</t>
  </si>
  <si>
    <t>PPN-54387</t>
  </si>
  <si>
    <t>PPN-54387-CommentSectionUIIntegration_AddModal_TC01</t>
  </si>
  <si>
    <t>PPN-54387-CommentSectionUIIntegration_EditModal_TC02</t>
  </si>
  <si>
    <t>PPN-54394</t>
  </si>
  <si>
    <t>PPN-54394_CommentsFacilityHealthtechViewModal_01</t>
  </si>
  <si>
    <t>PPN-54395</t>
  </si>
  <si>
    <t>PPN-54395_CommentsSectionProviderMaintenanceGET200_TC01</t>
  </si>
  <si>
    <t>PPN-54395_CommentsSectionProviderMaintenanceGET200_TC02</t>
  </si>
  <si>
    <t>PPN-54396</t>
  </si>
  <si>
    <t>PPN-54396_ CommentSectionPOST_INSERT_200_TC_01</t>
  </si>
  <si>
    <t>PPN-54396_ CommentSectionPOST_UPDATE_200_TC_02</t>
  </si>
  <si>
    <t>PPN-54396_ CommentSectionPOST_DELETE_200_TC_03</t>
  </si>
  <si>
    <t>PPN-49344</t>
  </si>
  <si>
    <t>PPN-49344_MasterDirectoryExclusionTaxExclusionHealthtechAuditEditModal_01</t>
  </si>
  <si>
    <t>PPN-49345</t>
  </si>
  <si>
    <t>PPN-49345_MasterDirectoryExclusionTaxExclusionHealthtechAuditDeleteModal_01</t>
  </si>
  <si>
    <t>PPN-47709</t>
  </si>
  <si>
    <t>PPN-47709-TaxExclusionTableMode_01</t>
  </si>
  <si>
    <t>PPN-48118</t>
  </si>
  <si>
    <t>PPN-48118-AddTaxExclusionModalSetup_TC01</t>
  </si>
  <si>
    <t>PPN-48140</t>
  </si>
  <si>
    <t>PPN-48140_TaxExclusion_TabbingGRTableMode_01</t>
  </si>
  <si>
    <t>PPN-48140_AddTaxExclusionModal_TabbingGR_TC02</t>
  </si>
  <si>
    <t>PPN-48140_EditTaxExclusionModal_TabbingGR_TC03</t>
  </si>
  <si>
    <t>PPN-48120</t>
  </si>
  <si>
    <t>PPN-48120_TaxExclusionEditModalSetup_TC01</t>
  </si>
  <si>
    <t>PPN-48120_TaxExclusionEditModalSetup_TC02</t>
  </si>
  <si>
    <t>PPN-47712</t>
  </si>
  <si>
    <t>PPN-47712_TaxExclusionTaxIDExpandedView_01</t>
  </si>
  <si>
    <t>PPN-48144</t>
  </si>
  <si>
    <t>PPN-48144_TaxExclusion_AddModal_EffectiveAndEndDate_TC01</t>
  </si>
  <si>
    <t>PPN-48144_TaxExclusion_EditModal_EffectiveAndEndDate_TC02</t>
  </si>
  <si>
    <t>PPN-48355</t>
  </si>
  <si>
    <t>PPN-48355_TaxExclusionEditModalV1_TC01</t>
  </si>
  <si>
    <t>PPN-48130</t>
  </si>
  <si>
    <t>PPN-48130_TaxExclusionDeleteTaxExclusionModal_01</t>
  </si>
  <si>
    <t>PPN-48116</t>
  </si>
  <si>
    <t>PPN-48116-DeleteTaxExclusion_TC01</t>
  </si>
  <si>
    <t>PPN-52445</t>
  </si>
  <si>
    <t>PPN-52445-AddTaxExclusion_Search_TC01</t>
  </si>
  <si>
    <t>PPN-52445-AddTaxExclusion_Search_TC02</t>
  </si>
  <si>
    <t>PPN-52445-AddTaxExclusion_Search_TC03</t>
  </si>
  <si>
    <t>PPN-52447</t>
  </si>
  <si>
    <t>PPN-52447-AddTaxExcl_Table_TC01</t>
  </si>
  <si>
    <t>PPN-52447-AddTaxExcl_Table_TC02</t>
  </si>
  <si>
    <t>PPN-52447-AddTaxExcl_Table_TC03</t>
  </si>
  <si>
    <t>PPN-52447-AddTaxExcl_Table_TC04</t>
  </si>
  <si>
    <t>PPN-49343</t>
  </si>
  <si>
    <t>PPN-49343_ FacilityDirLocationExclAuditDeleteModal_01</t>
  </si>
  <si>
    <t>PPN-48014</t>
  </si>
  <si>
    <t>PPN-48014_Directory_Exclusion_SideNavigation_TC01</t>
  </si>
  <si>
    <t>PPN-49342</t>
  </si>
  <si>
    <t>PPN-49342_ DirLocExclAuditEditModal_01</t>
  </si>
  <si>
    <t>PPN-49342_ DirLocationExclusionHealthtechAuditEditModal_01</t>
  </si>
  <si>
    <t>PPN-48115</t>
  </si>
  <si>
    <t>PPN-48115_DeleteDirectoryLocationExclusionModalFunctionality_01</t>
  </si>
  <si>
    <t>PPN-48132</t>
  </si>
  <si>
    <t>PPN-48132_DirLocExclusion_TableMode_Sorting_TC01_ND_02</t>
  </si>
  <si>
    <t>PPN-48132_DirLocExclusion_TableMode_Sorting_TC01</t>
  </si>
  <si>
    <t>PPN-48132_DirLocExclusion_TableMode_Sorting_TC02</t>
  </si>
  <si>
    <t>PPN-48035</t>
  </si>
  <si>
    <t>PPN-48035-Dir_Loc_Exclusion_FormSetupTable_TC01</t>
  </si>
  <si>
    <t>PPN-48129</t>
  </si>
  <si>
    <t>PPN-48129_PractitionerDirectoryLocationExclusionDeleteModal_01</t>
  </si>
  <si>
    <t>PPN-53147</t>
  </si>
  <si>
    <t>PPN-53147_DirectoryLocationExclusionAddModalSetUp_TC01_ND_02</t>
  </si>
  <si>
    <t>PPN-53147_DirectoryLocationExclusionAddModalSetUp_01</t>
  </si>
  <si>
    <t>PPN-53147_DirectoryLocationExclusionAddModalSetUp_02_</t>
  </si>
  <si>
    <t>PPN-48119</t>
  </si>
  <si>
    <t>PPN-48119-Edit DirLocExclusionModalSetup_TC01</t>
  </si>
  <si>
    <t>PPN-48139</t>
  </si>
  <si>
    <t>PPN-48139_AddDirLocExclusionModal_TabbingGR_TC01_ND_03</t>
  </si>
  <si>
    <t>PPN-48139_AddDirLocExclusionModal_TabbingGR_01</t>
  </si>
  <si>
    <t>PPN-48139_AddDirLocExclusionModal_TabbingGR_TC02</t>
  </si>
  <si>
    <t>PPN-48139_AddDirLocExclusionModal_TabbingGR_TC03</t>
  </si>
  <si>
    <t>PPN-48139_AddDirLocExclusionModal_TabbingGR_TC04</t>
  </si>
  <si>
    <t>PPN-49540</t>
  </si>
  <si>
    <t>PPN-49540_Licenses_01</t>
  </si>
  <si>
    <t>PPN-49540_Licenses_02</t>
  </si>
  <si>
    <t>PPN-48105</t>
  </si>
  <si>
    <t>PPN-48105_TaxExclusion_TableMode_Sorting_TC01</t>
  </si>
  <si>
    <t>PPN-48105_TaxExclusion_TableMode_Sorting_TC02</t>
  </si>
  <si>
    <t>PPN-56355</t>
  </si>
  <si>
    <t>PPN-56355_DirLocExcl_AddBillPfin_TC01</t>
  </si>
  <si>
    <t>PPN-56356</t>
  </si>
  <si>
    <t>PPN-56356_AddDirLocExclModal_AddBillPfin_TC01</t>
  </si>
  <si>
    <t>PPN-56356_AddDirLocExclModal_AddBillPfin_TC02</t>
  </si>
  <si>
    <t>PPN-56357</t>
  </si>
  <si>
    <t>PPN-56357_EditDirLocExclModal_AddBillPfin_TC01</t>
  </si>
  <si>
    <t>PPN-56358</t>
  </si>
  <si>
    <t>PPN-56358_DeleteDirLocExclModal_AddBillPfin_TC01</t>
  </si>
  <si>
    <t>PPN-34335</t>
  </si>
  <si>
    <t>PPN-34335_Specialty_Subspecialty_Sorting_TableMode_TC01</t>
  </si>
  <si>
    <t>PPN-34335_Specialty_Subspecialty_Sorting_TableMode_TC02</t>
  </si>
  <si>
    <t>PPN-34335_Specialty_Subspecialty_Sorting_TableMode_TC03</t>
  </si>
  <si>
    <t>PPN-56627</t>
  </si>
  <si>
    <t>PPN-56627_AddEditCommentModal_TabbingGR_TC01</t>
  </si>
  <si>
    <t>PPN-56627_AddEditCommentModal_TabbingGR_TC02</t>
  </si>
  <si>
    <t>PPN-56627_AddEditCommentModal_TabbingGR_TC03</t>
  </si>
  <si>
    <t>PPN-56623</t>
  </si>
  <si>
    <t>PPN-56623_AddTaxExclusionModal_TabbingGR_TC01</t>
  </si>
  <si>
    <t>PPN-56623_AddTaxExclusionModal_TabbingGR_TC02</t>
  </si>
  <si>
    <t>PPN-56623_AddTaxExclusionModal_TabbingGR_TC03</t>
  </si>
  <si>
    <t>PPN-56623_AddTaxExclusionModal_04_ChevronOpn</t>
  </si>
  <si>
    <t>PPN-48134</t>
  </si>
  <si>
    <t>PPN-48134_TaxExclusion_TableMode_Sorting_TC01</t>
  </si>
  <si>
    <t>PPN-48134_TaxExclusion_TableMode_Sorting_TC02</t>
  </si>
  <si>
    <t>PPN-56621</t>
  </si>
  <si>
    <t>PPN-56621_AddDirectoryLocationExclusionModal_TabbingGR_TC01</t>
  </si>
  <si>
    <t>PPN-56621_AddDirectoryLocationExclusionModal_TabbingGR_TC02</t>
  </si>
  <si>
    <t>PPN-56621_AddDirectoryLocationExclusionModal_TabbingGR_TC03</t>
  </si>
  <si>
    <t>PPN-56622</t>
  </si>
  <si>
    <t>PPN-56622_AddPFINExclusionModal_TabbingGR_TC01</t>
  </si>
  <si>
    <t>PPN-56622_AddPFINExclusionModal_TabbingGR_TC02</t>
  </si>
  <si>
    <t>PPN-56622_AddPFINExclusionModal_TabbingGR_TC03</t>
  </si>
  <si>
    <t>PPN-56307</t>
  </si>
  <si>
    <t>PPN-56307_AddPFINExclusionModal_Activation_TC01</t>
  </si>
  <si>
    <t>PPN-56351</t>
  </si>
  <si>
    <t>PPN-56351_AddTaxExclusionModal_Activation_TC01</t>
  </si>
  <si>
    <t>PPN-56353</t>
  </si>
  <si>
    <t>PPN-56353_AddDirectory LocationExclusionModal_Activation_TC01</t>
  </si>
  <si>
    <t>PPN-55575</t>
  </si>
  <si>
    <t>PPN-55575_ProvExclUIIntegrationAddEditDeleteModalTables</t>
  </si>
  <si>
    <t>PPN-55575_ProvExclUIIntegrationAddEditDeleteModalTables_TC01_Table</t>
  </si>
  <si>
    <t>PPN-55575_ProvExclUIIntegrationAddEditDeleteModalTables_TC02_Add</t>
  </si>
  <si>
    <t>PPN-55575_ProvExclUIIntegrationAddEditDeleteModalTables_TC03_Add</t>
  </si>
  <si>
    <t>PPN-55575_ProvExclUIIntegrationAddEditDeleteModalTables_TC04_Edit</t>
  </si>
  <si>
    <t>PPN-55575_ProvExclUIIntegrationAddEditDeleteModalTables_TC05_Edit</t>
  </si>
  <si>
    <t>PPN-34289</t>
  </si>
  <si>
    <t>PPN-34289_AddNewSubspecialty_DisableEnable_AddModal_TC01</t>
  </si>
  <si>
    <t>PPN-34289_AddNewSubspecialty_DisableEnable_AddModal_TC02</t>
  </si>
  <si>
    <t>PPN-34289_AddNewSubspecialty_DisableEnable_EditModal_TC03</t>
  </si>
  <si>
    <t>PPN-34289_AddNewSubspecialty_DisableEnable_EditModal_TC04</t>
  </si>
  <si>
    <t>PPN-51517</t>
  </si>
  <si>
    <t>PPN-51517_Date_Rules_V4_AddSpecialty_Type_TC01</t>
  </si>
  <si>
    <t>PPN-48354</t>
  </si>
  <si>
    <t>PPN-48354_DirLocExclusionEditModalV1_TC01</t>
  </si>
  <si>
    <t>PPN-54395_TC01_02_ND_PPN-54396_ TC01_To_03</t>
  </si>
  <si>
    <t>PPN-49344_ClassFTaxExclAuditEditModal_01</t>
  </si>
  <si>
    <t>PPN-49345_TaxExclAuditDeleteModal_01</t>
  </si>
  <si>
    <t>PPN-48140_TaxExclusion_Tabbing_TC01_To_03</t>
  </si>
  <si>
    <t>PPN-48120_TaxExclusionEditModalSetup_TC01_ND_02</t>
  </si>
  <si>
    <t>PPN-47712_ClassFTaxExclusionTaxIDExpandedView_01</t>
  </si>
  <si>
    <t>PPN-48144_TaxExclusion_EditModal_EffectiveAndEndDate_TC01_ND_02</t>
  </si>
  <si>
    <t>PPN-48130_TaxExclusionDeleteTaxModal_01</t>
  </si>
  <si>
    <t>PPN-52445-AddTaxExclusion_Search_TC01_To_03</t>
  </si>
  <si>
    <t>PPN-52447-AddTaxExcl_Table_TC01_To_04</t>
  </si>
  <si>
    <t>PPN-56356_AddDirLocExclModal_AddBillPfinAndSort</t>
  </si>
  <si>
    <t>PPN-34335_Specialty_Subspecialty_Sorting_TC01_ND_03</t>
  </si>
  <si>
    <t>PPN-34335_Specialty_Subspecialty_Sorting_TC02</t>
  </si>
  <si>
    <t>PPN-56623_AddTaxExclusionModal_TabbingGR</t>
  </si>
  <si>
    <t>PPN-48134_TaxExclusion_TableMode_Sorting_TC01_ND_02</t>
  </si>
  <si>
    <t>PPN-34289_AddNewSubspecialty_DisableEnable_AddModal_TC01_02</t>
  </si>
  <si>
    <t>PPN-34289_AddNewSubspecialty_DisableEnable_EditModal_TC03_04</t>
  </si>
  <si>
    <t>PPN-32880_License_Accordion_Routing_SetUp_TC001~PPN-49540_Licenses_01~PPN-49540_Licenses_02</t>
  </si>
  <si>
    <t>PPN-42289-CommentSectionUIIntegration_AddModal_TC01~PPN-54387-CommentSectionUIIntegration_AddModal_TC01</t>
  </si>
  <si>
    <t>PPN-42289-CommentSectionUIIntegration_EditModal_TC02~PPN-54387-CommentSectionUIIntegration_EditModal_TC02</t>
  </si>
  <si>
    <t>PPN-30378-Comments Section: Provider Maintenance: Apply Tabbing Order GR, Table/Add/Edit/Delete_01
~PPN-30378-Comments Section: Provider Maintenance: Apply Tabbing Order GR, Table/Add/Edit/Delete _02~PPN-30378-Comments Section: Provider Maintenance: Apply Tabbing Order GR, Table/Add/Edit/Delete _03~PPN-30378-Comments Section: Provider Maintenance: Apply Tabbing Order GR, Table/Add/Edit/Delete _04~PPN-47014-CommentsFacilityApplyTabbingOrderGRTableAddEditDelete_01
~PPN-47014-CommentsFacilityApplyTabbingOrderGRTableAddEditDelete_02~PPN-47014-CommentsFacilityApplyTabbingOrderGRTableAddEditDelete_03~PPN-47014-CommentsFacilityApplyTabbingOrderGRTableAddEditDelete_04~PPN-56627_AddEditCommentModal_TabbingGR_TC01~PPN-56627_AddEditCommentModal_TabbingGR_TC02~PPN-56627_AddEditCommentModal_TabbingGR_TC03</t>
  </si>
  <si>
    <t>PPN-45000_MasterDirectoryExclusionTaxExclusionApplySortingGRTableMode_01_DefaultSort~PPN-45000_MasterDirectoryExclusionTaxExclusionApplySortingGRTableMode_02_SortingGRMoreThan2Records~PPN-45000_MasterDirectoryExclusionTaxExclusionApplySortingGRTableMode_03_SortingGRLessThan2Records~PPN-45000_MasterDirectoryExclusionTaxExclusionApplySortingGRTableMode_04_SortingGROnly2Records~PPN-48105_TaxExclusion_TableMode_Sorting_TC01~PPN-48105_TaxExclusion_TableMode_Sorting_TC02</t>
  </si>
  <si>
    <t>PPN-47765_PractitionerDirectoryLocationExclusionDeleteModal_01~PPN-47926_DeleteDirectoryLocationExclusionModalFunctionality_01~PPN-56358_DeleteDirLocExclModal_AddBillPfin_TC01</t>
  </si>
  <si>
    <t>PPN-47701-Dir_Loc_Exclusion_FormSetupTable_TC01~PPN-56355_DirLocExcl_AddBillPfin_TC01</t>
  </si>
  <si>
    <t>PPN-48060-Edit DirLocExclusionModalSetup_TC01~PPN-56357_EditDirLocExclModal_AddBillPfin_TC01</t>
  </si>
  <si>
    <t>PPN-52389_CommentsProviderUIIntegrationViewTables_01_TableMode~PPN-52389_CommentsProviderUIIntegrationViewTables_02_ViewMode~PPN-54386_CommentsProviderUIIntegrationViewTables_01_TableMode~PPN-54386_CommentsProviderUIIntegrationViewTables_02_ViewMode</t>
  </si>
  <si>
    <t>PPN-52456_CommenScreenSaveImplementationEditModal_TC01~PPN-52456_CommenScreenSaveImplementationEditModal_TC02~PPN-54385_CommenScreenSaveImplementationEditModal_TC01~PPN-54385_CommenScreenSaveImplementationEditModal_TC02</t>
  </si>
  <si>
    <t>PPN-52463_CommenScreenSaveImplementationAddModal_TC01~PPN-52463_CommenScreenSaveImplementationAddModal_TC02~PPN-54384_CommenScreenSaveImplementationAddModal_TC01~PPN-54384_CommenScreenSaveImplementationAddModal_TC02~PPN-54384_CommenScreenSaveImplementationAddModal_TC03</t>
  </si>
  <si>
    <t>PPN-53124_DirLocExclAddModalSetUp_01~PPN-53124_DirLocExclAddModalSetUp_02</t>
  </si>
  <si>
    <t>PPN-53156_AddTaxExclusion_01~PPN-53156_AddTaxExclusion_02</t>
  </si>
  <si>
    <t>PPN-53157-EditTaxExclusion_TC01~PPN-53157-EditTaxExclusion_TC02</t>
  </si>
  <si>
    <t>PPN-54395_CommentsSectionProviderMaintenanceGET200_TC01~PPN-54395_CommentsSectionProviderMaintenanceGET200_TC02~PPN-54396_ CommentSectionPOST_INSERT_200_TC_01~PPN-54396_ CommentSectionPOST_UPDATE_200_TC_02~PPN-54396_ CommentSectionPOST_DELETE_200_TC_03</t>
  </si>
  <si>
    <t>PPN-48140_TaxExclusion_TabbingGRTableMode_01~PPN-48140_AddTaxExclusionModal_TabbingGR_TC02~PPN-48140_EditTaxExclusionModal_TabbingGR_TC03</t>
  </si>
  <si>
    <t>PPN-48120_TaxExclusionEditModalSetup_TC01~PPN-48120_TaxExclusionEditModalSetup_TC02</t>
  </si>
  <si>
    <t>PPN-48144_TaxExclusion_AddModal_EffectiveAndEndDate_TC01~PPN-48144_TaxExclusion_EditModal_EffectiveAndEndDate_TC02</t>
  </si>
  <si>
    <t>PPN-52445-AddTaxExclusion_Search_TC01~PPN-52445-AddTaxExclusion_Search_TC02~PPN-52445-AddTaxExclusion_Search_TC03</t>
  </si>
  <si>
    <t>PPN-52447-AddTaxExcl_Table_TC01~PPN-52447-AddTaxExcl_Table_TC02~PPN-52447-AddTaxExcl_Table_TC03~PPN-52447-AddTaxExcl_Table_TC04</t>
  </si>
  <si>
    <t>PPN-48132_DirLocExclusion_TableMode_Sorting_TC01~PPN-48132_DirLocExclusion_TableMode_Sorting_TC02</t>
  </si>
  <si>
    <t>PPN-53147_DirectoryLocationExclusionAddModalSetUp_01~PPN-53147_DirectoryLocationExclusionAddModalSetUp_02_</t>
  </si>
  <si>
    <t>PPN-48139_AddDirLocExclusionModal_TabbingGR_01~PPN-48139_AddDirLocExclusionModal_TabbingGR_TC02~PPN-48139_AddDirLocExclusionModal_TabbingGR_TC03~PPN-48139_AddDirLocExclusionModal_TabbingGR_TC04</t>
  </si>
  <si>
    <t>PPN-56356_AddDirLocExclModal_AddBillPfin_TC01~PPN-56356_AddDirLocExclModal_AddBillPfin_TC02</t>
  </si>
  <si>
    <t>PPN-34335_Specialty_Subspecialty_Sorting_TableMode_TC01~PPN-34335_Specialty_Subspecialty_Sorting_TableMode_TC03</t>
  </si>
  <si>
    <t>PPN-56623_AddTaxExclusionModal_TabbingGR_TC01~PPN-56623_AddTaxExclusionModal_TabbingGR_TC02~PPN-56623_AddTaxExclusionModal_TabbingGR_TC03~PPN-56623_AddTaxExclusionModal_04_ChevronOpn</t>
  </si>
  <si>
    <t>PPN-48134_TaxExclusion_TableMode_Sorting_TC01~PPN-48134_TaxExclusion_TableMode_Sorting_TC02</t>
  </si>
  <si>
    <t>PPN-56621_AddDirectoryLocationExclusionModal_TabbingGR_TC01~PPN-56621_AddDirectoryLocationExclusionModal_TabbingGR_TC02~PPN-56621_AddDirectoryLocationExclusionModal_TabbingGR_TC03</t>
  </si>
  <si>
    <t>PPN-56622_AddPFINExclusionModal_TabbingGR_TC01~PPN-56622_AddPFINExclusionModal_TabbingGR_TC02~PPN-56622_AddPFINExclusionModal_TabbingGR_TC03</t>
  </si>
  <si>
    <t>PPN-55575_ProvExclUIIntegrationAddEditDeleteModalTables_TC01_Table~PPN-55575_ProvExclUIIntegrationAddEditDeleteModalTables_TC02_Add~PPN-55575_ProvExclUIIntegrationAddEditDeleteModalTables_TC03_Add~PPN-55575_ProvExclUIIntegrationAddEditDeleteModalTables_TC04_Edit~PPN-55575_ProvExclUIIntegrationAddEditDeleteModalTables_TC05_Edit</t>
  </si>
  <si>
    <t>PPN-34289_AddNewSubspecialty_DisableEnable_AddModal_TC01~PPN-34289_AddNewSubspecialty_DisableEnable_AddModal_TC02</t>
  </si>
  <si>
    <t>PPN-34289_AddNewSubspecialty_DisableEnable_EditModal_TC03~PPN-34289_AddNewSubspecialty_DisableEnable_EditModal_TC04</t>
  </si>
  <si>
    <t>PPN-10897-SpecialtyTypeSectionMaintenanceModalFunctionalityAddNewSpecialty&amp;Type_001_ModalWindow~PPN-10897-SpecialtyTypeSectionMaintenanceModalFunctionalityAddNewSpecialty&amp;Type_002-ModalFields&amp;Asterisk~PPN-10897-SpecialtyTypeSectionMaintenanceModalFunctionalityAddNewSpecialty&amp;Type_003-ErrorMessage~PPN-10897-SpecialtyTypeSectionMaintenanceModalFunctionalityAddNewSpecialty&amp;Type_004-DateErrorMessage~PPN-51517_Date_Rules_V4_AddSpecialty_Type_TC01</t>
  </si>
  <si>
    <t>PPN-53114_ClassFDirLocExclAddModalEffectiveEndDate_TC01</t>
  </si>
  <si>
    <t>PPN-53114_ClassFDirLocExclAddModalEffectiveEndDate_TC02</t>
  </si>
  <si>
    <t>PPN-53114_ClassFDirLocExclAddModalEffectiveEndDate_TC01~PPN-53114_ClassFDirLocExclAddModalEffectiveEndDate_TC02</t>
  </si>
  <si>
    <t>01-OCT-2019 : Tabbing order failing due to addition of 'i' button in modal</t>
  </si>
  <si>
    <t>PPN-40170-PhyLocHealthtechAuditDeleteModal_01</t>
  </si>
  <si>
    <t>PPN-52338_FacilityDirectoryLocationExclusionSearchFieldDisplayAddModal_01</t>
  </si>
  <si>
    <t>PPN-52338_FacilityDirectoryLocationExclusionSearchFieldDisplayAddModal_02</t>
  </si>
  <si>
    <t>PPN-52338_FacilityDirectoryLocationExclusionSearchFieldDisplayAddModal_03</t>
  </si>
  <si>
    <t>PPN-52339-FacilityDirLocExclAddModaltablefunctionality_01</t>
  </si>
  <si>
    <t>PPN-52339-FacilityDirLocExclAddModaltablefunctionality_02</t>
  </si>
  <si>
    <t>PPN-52339-FacilityDirLocExclAddModaltablefunctionality_03</t>
  </si>
  <si>
    <t>PPN-52339-FacilityDirLocExclAddModaltablefunctionality_04</t>
  </si>
  <si>
    <t>PPN-52339-FacilityDirLocExclAddModaltablefunctionality_05</t>
  </si>
  <si>
    <t>PPN-53151_FacilityEditDirLocExclModal _TC01</t>
  </si>
  <si>
    <t>PPN-53151_FacilityEditDirLocExclModal _TC02</t>
  </si>
  <si>
    <t>PPN-53153_FacilityDeleteDirectoryLocationExclusionModalFunctionality_01</t>
  </si>
  <si>
    <t>PPN-56309_Facility_AddPFINExclusionModal_Activation_TC01</t>
  </si>
  <si>
    <t>PPN-56352_Facility_AddTaxExclusionModal_Activation_TC01</t>
  </si>
  <si>
    <t>PPN-56354_Facility_AddDirectory LocationExclusionModal_Activation_TC01</t>
  </si>
  <si>
    <t>PPN-55655_Facility_ProvExclUIIntegrationAddEditDeleteModalTables_TC01</t>
  </si>
  <si>
    <t>PPN-55655_Facility_ProvExclUIIntegrationAddEditDeleteModalTables_TC02</t>
  </si>
  <si>
    <t>PPN-55655_Facility_ProvExclUIIntegrationAddEditDeleteModalTables_TC03</t>
  </si>
  <si>
    <t>PPN-55655_Facility_ProvExclUIIntegrationAddEditDeleteModalTables_TC04</t>
  </si>
  <si>
    <t>PPN-55655_Facility_ProvExclUIIntegrationAddEditDeleteModalTables_TC05</t>
  </si>
  <si>
    <t>PPN-56624_Facility_AddPFINExclusionModal_TabbingGR_TC01</t>
  </si>
  <si>
    <t>PPN-56624_Facility_AddPFINExclusionModal_TabbingGR_TC02</t>
  </si>
  <si>
    <t>PPN-56624_Facility_AddPFINExclusionModal_TabbingGR_TC03</t>
  </si>
  <si>
    <t>PPN-56625_Facility_AddDirectoryLocationExclusionModal_TabbingGR_TC01</t>
  </si>
  <si>
    <t>PPN-56625_Facility_AddDirectoryLocationExclusionModal_TabbingGR_TC02</t>
  </si>
  <si>
    <t>PPN-56625_Facility_AddDirectoryLocationExclusionModal_TabbingGR_TC03</t>
  </si>
  <si>
    <t>PPN-56626_Facility_AddTaxExclusionModal_TabbingGR_TC01</t>
  </si>
  <si>
    <t>PPN-56626_Facility_AddTaxExclusionModal_TabbingGR_TC02</t>
  </si>
  <si>
    <t>PPN-56626_Facility_AddTaxExclusionModal_TabbingGR_TC03</t>
  </si>
  <si>
    <t>PPN-56626_Facility_AddTaxExclusionModal_TabbingGR_TC04</t>
  </si>
  <si>
    <t>PPN-60811_HealthtechAuditModal_EditSpecialty_TC01</t>
  </si>
  <si>
    <t>PPN-60811_HealthtechAuditModal_EditSpecialty_TC02</t>
  </si>
  <si>
    <t>PPN-60812_HealthtechAuditModal_DeleteSpecialty_TC01</t>
  </si>
  <si>
    <t>PPN-60814_PrimaryRowShiftedtoTopSpecialty_TC01</t>
  </si>
  <si>
    <t>PPN-61042_AddSpecialtyWithoutSubspecialty_01</t>
  </si>
  <si>
    <t>PPN-61042_AddSpecialtyWithSubspecialty_02</t>
  </si>
  <si>
    <t>PPN-61042_EditPrimarySpecialtyWithoutSubspecialty_03</t>
  </si>
  <si>
    <t>PPN-61042_EditMakePrimarySpecialtyWithSubspecialties_04</t>
  </si>
  <si>
    <t>PPN-61049_MakePrimary_Save_UI_Integration_01</t>
  </si>
  <si>
    <t>PPN-61049_Delete_Save_UI_Integration_02</t>
  </si>
  <si>
    <t>PPN-57505_AddNewSpecialtyAndType_01</t>
  </si>
  <si>
    <t>PPN-57505_AddNewSpecialtyAndType_02</t>
  </si>
  <si>
    <t>PPN-57505_AddNewSpecialtyAndType_03</t>
  </si>
  <si>
    <t>PPN-56628_AddEditCommentModal_TabbingGR_TC01</t>
  </si>
  <si>
    <t>PPN-56628_AddEditCommentModal_TabbingGR_TC02</t>
  </si>
  <si>
    <t>PPN-56628_AddEditCommentModal_TabbingGR_TC03</t>
  </si>
  <si>
    <t>PPN-59946_AddSalesforceCaseNumberColumn_TableSetup_TC01</t>
  </si>
  <si>
    <t>PPN-59947_AddSalesforceCaseNumberColumn_ViewModal_TC01</t>
  </si>
  <si>
    <t>PPN-59948__AddSalesforceCaseNumberField_AddModal_TC01</t>
  </si>
  <si>
    <t>PPN-59949__AddSalesforceCaseNumberField_EditModal_TC01</t>
  </si>
  <si>
    <t>PPN-59942_AddSalesforceCaseNumberColumn_TableSetup_TC01</t>
  </si>
  <si>
    <t>PPN-59943_AddSalesforceCaseNumberColumn_ViewModal_TC01</t>
  </si>
  <si>
    <t>PPN-59944__AddSalesforceCaseNumberField_AddModal_TC01</t>
  </si>
  <si>
    <t>PPN-59945__AddSalesforceCaseNumberField_EditModal_TC01</t>
  </si>
  <si>
    <t>PPN-55649_ND_PPN-61098_OOP-NPIStatusReasonCodeRef_TC01</t>
  </si>
  <si>
    <t>PPN-55649_ND_PPN-61098_OOP-NPIStatusReasonCodeRef_TC02</t>
  </si>
  <si>
    <t>PPN-55755_OOP-NPIPractitionerSetUpTableModewithoutNPI _TC01</t>
  </si>
  <si>
    <t>PPN-60981_OOP-NPIPractitionerMaintenanceFormSetUpTableModewithNPI_TC01</t>
  </si>
  <si>
    <t>PPN-60981_OOP-NPIPractitionerMaintenanceFormSetUpTableModewithNPI_TC02</t>
  </si>
  <si>
    <t>PPN-60982_OOP-NPISectionPractitionerMaintenanceApplyTableRowActivationGR_TC01</t>
  </si>
  <si>
    <t>PPN-60982_OOP-NPISectionPractitionerMaintenanceApplyTableRowActivationGR_TC02</t>
  </si>
  <si>
    <t>PPN-55645_OOP-NPIPractitionerMaintenanceTableSetUp_TC01</t>
  </si>
  <si>
    <t>PPN-55645_OOP-NPIPractitionerMaintenanceTableSetUp_TC02</t>
  </si>
  <si>
    <t>PPN-55645_OOP-NPIPractitionerMaintenanceTableSetUp_TC03</t>
  </si>
  <si>
    <t>PPN-60978_OOP-NPIPractitionerMaintenanceModalSetUpEdit_01</t>
  </si>
  <si>
    <t>PPN-61078_OOP-NPIPractitionerMaintenanceModalFunctionalityEdit_01</t>
  </si>
  <si>
    <t>PPN-61078_OOP-NPIPractitionerMaintenanceModalFunctionalityEdit_02</t>
  </si>
  <si>
    <t>PPN-61066_OOP-NPIPractitionerEditModalInvalidatedEdit_01</t>
  </si>
  <si>
    <t>PPN-61066_OOP-NPIPractitionerEditModalInvalidatedEdit_02</t>
  </si>
  <si>
    <t>PPN-55751_EditModal_Status_Validated_To_NotValidated_TC01</t>
  </si>
  <si>
    <t>PPN-55751_EditModal_EndDate_Field_Validation_TC02</t>
  </si>
  <si>
    <t>PPN-60977_EditModal_Status_Validated_To_InValidated_TC01</t>
  </si>
  <si>
    <t>PPN-60977_EditModal_EndDate_Field_Validation_TC02</t>
  </si>
  <si>
    <t>PPN-65016_Make_Primary_TableRowActivation_TC01</t>
  </si>
  <si>
    <t>PPN-52338</t>
  </si>
  <si>
    <t>PPN-53151</t>
  </si>
  <si>
    <t>PPN-53153</t>
  </si>
  <si>
    <t>PPN-56309</t>
  </si>
  <si>
    <t>PPN-56352</t>
  </si>
  <si>
    <t>PPN-56354</t>
  </si>
  <si>
    <t>PPN-55655</t>
  </si>
  <si>
    <t>PPN-56624</t>
  </si>
  <si>
    <t>PPN-56625</t>
  </si>
  <si>
    <t>PPN-56626</t>
  </si>
  <si>
    <t>PPN-60811</t>
  </si>
  <si>
    <t>PPN-60812</t>
  </si>
  <si>
    <t>PPN-60814</t>
  </si>
  <si>
    <t>PPN-61042</t>
  </si>
  <si>
    <t>PPN-61049</t>
  </si>
  <si>
    <t>PPN-57505</t>
  </si>
  <si>
    <t>PPN-56628</t>
  </si>
  <si>
    <t>PPN-59946</t>
  </si>
  <si>
    <t>PPN-59947</t>
  </si>
  <si>
    <t>PPN-59948</t>
  </si>
  <si>
    <t>PPN-59949</t>
  </si>
  <si>
    <t>PPN-59942</t>
  </si>
  <si>
    <t>PPN-59943</t>
  </si>
  <si>
    <t>PPN-59944</t>
  </si>
  <si>
    <t>PPN-59945</t>
  </si>
  <si>
    <t>PPN-55649</t>
  </si>
  <si>
    <t>PPN-55755</t>
  </si>
  <si>
    <t>PPN-60981</t>
  </si>
  <si>
    <t>PPN-60982</t>
  </si>
  <si>
    <t>PPN-55645</t>
  </si>
  <si>
    <t>PPN-60978</t>
  </si>
  <si>
    <t>PPN-61078</t>
  </si>
  <si>
    <t>PPN-61066</t>
  </si>
  <si>
    <t>PPN-55751</t>
  </si>
  <si>
    <t>PPN-60977</t>
  </si>
  <si>
    <t>PPN-65016</t>
  </si>
  <si>
    <t>PPN-52339</t>
  </si>
  <si>
    <t>PPN-55755_TC01_ND_PPN-55645_TC01ND02</t>
  </si>
  <si>
    <t>OOP NPI</t>
  </si>
  <si>
    <t>PPN-60981_OOP-NPIChevron_01_PPN-55645_03</t>
  </si>
  <si>
    <t>PPN-60981_OOP-NPINoTaxonomyDetails_TC02</t>
  </si>
  <si>
    <t>PPN-60982_OOP-NPISectionClassPTableRowActivationGR</t>
  </si>
  <si>
    <t>PPN-55649_ND_PPN-61098_OOP-NPIStatRsnCodeRef_TC01</t>
  </si>
  <si>
    <t>PPN-52338-DirectoryLocationExclusion_Search_TC01_To_03</t>
  </si>
  <si>
    <t>PPN-53151_FacilityEditDirLocExclModal _TC01_02</t>
  </si>
  <si>
    <t>PPN-53153_FacilityDeleteDirectoryLocationExclusionModalFunctionality_TC01</t>
  </si>
  <si>
    <t>PPN-55655_Facility_ProvExclUIIntegrationAddEditDeleteModalTables_TC01_05</t>
  </si>
  <si>
    <t>PPN-56624_Facility_AddPFINExclusionModal_TabbingGR_TC01_03</t>
  </si>
  <si>
    <t>PPN-56626_Facility_AddTaxExclusionModal_TabbingGR_TC01_04</t>
  </si>
  <si>
    <t>PPN-56625_FacilityDirLocExclTabbingGR_TC01_03</t>
  </si>
  <si>
    <t>PPN-59944_PPN-59948_CommentsAddModalCopyPaste</t>
  </si>
  <si>
    <t>PPN-59945_PPN-59949_CommentsEditModalCopyPaste</t>
  </si>
  <si>
    <t>PPN-56628_ClassF_TabbingGRComments</t>
  </si>
  <si>
    <t>PPN-60811_HealthtechAuditModal_EditSpecialty_TC01_TC02</t>
  </si>
  <si>
    <t>PPN-61042_TC_01_04</t>
  </si>
  <si>
    <t>PPN-30372_PPN-46893_ND_PPN-48999_PPN-59942_PPN-59946_TC01</t>
  </si>
  <si>
    <t>PPN-30395_PPN-46895_ND_PPN-49217_PPN-59943_PPN-59947_TC02</t>
  </si>
  <si>
    <t>PPN-33651_PPN-61049_01_PPN-33653_PPN-60814_PPN-65016_01_02</t>
  </si>
  <si>
    <t>PPN-33651-SpecialtyTypeSectionMaintenanceModalSetUpMakePrimary_001_ModalWindow~PPN-33653-SpecialtyTypeSectionMaintenanceModalFunctionalityMakePrimary_001_YesButtonFunctionality~PPN-33653-SpecialtyTypeSectionMaintenanceModalFunctionalityMakePrimary_002_NoButtonFunctionality~PPN-60814_PrimaryRowShiftedtoTopSpecialty_TC01~PPN-61049_MakePrimary_Save_UI_Integration_01~PPN-65016_Make_Primary_TableRowActivation_TC01</t>
  </si>
  <si>
    <t>PPN-52338_FacilityDirectoryLocationExclusionSearchFieldDisplayAddModal_01~PPN-52338_FacilityDirectoryLocationExclusionSearchFieldDisplayAddModal_02~PPN-52338_FacilityDirectoryLocationExclusionSearchFieldDisplayAddModal_03</t>
  </si>
  <si>
    <t>PPN-52339-FacilityDirLocExclAddModaltablefunctionality_01~PPN-52339-FacilityDirLocExclAddModaltablefunctionality_02~PPN-52339-FacilityDirLocExclAddModaltablefunctionality_03~PPN-52339-FacilityDirLocExclAddModaltablefunctionality_04~PPN-52339-FacilityDirLocExclAddModaltablefunctionality_05</t>
  </si>
  <si>
    <t>PPN-53151_FacilityEditDirLocExclModal _TC01~PPN-53151_FacilityEditDirLocExclModal _TC02</t>
  </si>
  <si>
    <t>PPN-55655_Facility_ProvExclUIIntegrationAddEditDeleteModalTables_TC01~PPN-55655_Facility_ProvExclUIIntegrationAddEditDeleteModalTables_TC02~PPN-55655_Facility_ProvExclUIIntegrationAddEditDeleteModalTables_TC03~PPN-55655_Facility_ProvExclUIIntegrationAddEditDeleteModalTables_TC04~PPN-55655_Facility_ProvExclUIIntegrationAddEditDeleteModalTables_TC05</t>
  </si>
  <si>
    <t>PPN-56624_Facility_AddPFINExclusionModal_TabbingGR_TC01~PPN-56624_Facility_AddPFINExclusionModal_TabbingGR_TC02~PPN-56624_Facility_AddPFINExclusionModal_TabbingGR_TC03</t>
  </si>
  <si>
    <t>PPN-56625_Facility_AddDirectoryLocationExclusionModal_TabbingGR_TC01~PPN-56625_Facility_AddDirectoryLocationExclusionModal_TabbingGR_TC02~PPN-56625_Facility_AddDirectoryLocationExclusionModal_TabbingGR_TC03</t>
  </si>
  <si>
    <t>PPN-56626_Facility_AddTaxExclusionModal_TabbingGR_TC01~PPN-56626_Facility_AddTaxExclusionModal_TabbingGR_TC02~PPN-56626_Facility_AddTaxExclusionModal_TabbingGR_TC03~PPN-56626_Facility_AddTaxExclusionModal_TabbingGR_TC04</t>
  </si>
  <si>
    <t>PPN-60811_HealthtechAuditModal_EditSpecialty_TC01~PPN-60811_HealthtechAuditModal_EditSpecialty_TC02</t>
  </si>
  <si>
    <t>PPN-61042_AddSpecialtyWithoutSubspecialty_01~PPN-61042_AddSpecialtyWithSubspecialty_02~PPN-61042_EditPrimarySpecialtyWithoutSubspecialty_03~PPN-61042_EditMakePrimarySpecialtyWithSubspecialties_04</t>
  </si>
  <si>
    <t>PPN-56628_AddEditCommentModal_TabbingGR_TC01~PPN-56628_AddEditCommentModal_TabbingGR_TC02~PPN-56628_AddEditCommentModal_TabbingGR_TC03</t>
  </si>
  <si>
    <t>PPN-59948__AddSalesforceCaseNumberField_AddModal_TC01~PPN-59944__AddSalesforceCaseNumberField_AddModal_TC01</t>
  </si>
  <si>
    <t>PPN-60982_OOP-NPISectionPractitionerMaintenanceApplyTableRowActivationGR_TC01~PPN-60982_OOP-NPISectionPractitionerMaintenanceApplyTableRowActivationGR_TC02</t>
  </si>
  <si>
    <t>PPN-30372-CommentsSectionFormSetUpTableMode_01~PPN-30372-CommentsSectionFormSetUpTableMode_02~PPN-30372-CommentsSectionFormSetUpTableMode_03~PPN-46893-CommentsFacilityFormSetUpTableMode_01~PPN-46893-CommentsFacilityFormSetUpTableMode_02~PPN-46893-CommentsFacilityFormSetUpTableMode_03~PPN-46893-CommentsFacilityFormSetUpTableMode_04~PPN-48999-Comments_Table_RemoveAddedByColumn_TC01~PPN-59946_AddSalesforceCaseNumberColumn_TableSetup_TC01~PPN-59942_AddSalesforceCaseNumberColumn_TableSetup_TC01</t>
  </si>
  <si>
    <t>PPN-30395-CommentsSectionModalSetUpViewModal_01~PPN-46895-CommentsFacilityModalSetUpViewModal_01~PPN-46895-CommentsFacilityModalSetUpViewModal_02~PPN-49217-Comments_ViewModal_RemoveAddedBy_TC02~PPN-59947_AddSalesforceCaseNumberColumn_ViewModal_TC01~PPN-59943_AddSalesforceCaseNumberColumn_ViewModal_TC01</t>
  </si>
  <si>
    <t>New Sort Icon Not Yet Implemented</t>
  </si>
  <si>
    <t>Blocking as entire PFIN Details Functionality will be handed over to Team Starks</t>
  </si>
  <si>
    <t>PPN-52339-FacilityDirLocExclAddModaltablefunctionality_TC01_05</t>
  </si>
  <si>
    <t>New Sort Icons Not Yet Implemented In Comments Screen</t>
  </si>
  <si>
    <t>New Sort Icon Not Implemented In Comments Screen</t>
  </si>
  <si>
    <t>New Sort Icons Not Implemented In Comments Screen</t>
  </si>
  <si>
    <t>New Sort Icons Not Implemented In Specialty Screen</t>
  </si>
  <si>
    <t>PPN-66374 - SP13 - Falcons - Regression - (i) button for Health tech fields not getting clicked in Delete Limitations Modal
Deprecating as this functionality is already being covered by Team Falcons</t>
  </si>
  <si>
    <t>PPN-44135_PPN-47861_PPN-48014_DirExcl_SideNav_TC01</t>
  </si>
  <si>
    <t>PPN-44135_Directory_Exclusion_SideNavigation_TC01~PPN-47861_Directory_Exclusion_SideNavigation_TC01~PPN-48014_Directory_Exclusion_SideNavigation_TC01</t>
  </si>
  <si>
    <t>Delete Functionality In License Deprecated</t>
  </si>
  <si>
    <t>Delete License Functionality Deprecated</t>
  </si>
  <si>
    <t>Add License Exception Logic Will Change</t>
  </si>
  <si>
    <t>PPN-44918_PPN-65337_TaxExclusionTaxIDExpandedView_01</t>
  </si>
  <si>
    <t>PPN-47243_TC01_02_ND_PPN-65337_02_AddTaxExclusion</t>
  </si>
  <si>
    <t>PPN-45002_01_02_ND_PPN-65337_03_TaxExclusionEditModalSetup</t>
  </si>
  <si>
    <t>PPN-61078_PPN-61066_01_PPN-55649_ND_PPN-61098</t>
  </si>
  <si>
    <t>PPN-55649_ND_PPN-61098_OOP-NPIStatusReasonCodeRef_TC02~PPN-61078_OOP-NPIPractitionerMaintenanceModalFunctionalityEdit_01~PPN-61078_OOP-NPIPractitionerMaintenanceModalFunctionalityEdit_02~PPN-61066_OOP-NPIPractitionerEditModalInvalidatedEdit_01~PPN-61066_OOP-NPIPractitionerEditModalInvalidatedEdit_02</t>
  </si>
  <si>
    <t>License Delete Functionality Deprecated</t>
  </si>
  <si>
    <t>Regression Deffect || PPN-71703 || SP15 - Ultrons - Regression - List Screens sorting not working.</t>
  </si>
  <si>
    <t>PPN-66714_OOP_NPI_OptionHeader_01</t>
  </si>
  <si>
    <t>PPN-61099_OOP_NPI_AddNewNPIEffectiveDate_01</t>
  </si>
  <si>
    <t>PPN-61096_OOP_NPI_EditNpi_EndDateFieldValidation_01</t>
  </si>
  <si>
    <t>PPN-66894_OOP_NPI_EDITModal_ChevronData_Setup_01</t>
  </si>
  <si>
    <t>PPN-55754_OOP_NPI_StatusUpdated_EditModal_To_Validated_01</t>
  </si>
  <si>
    <t>PPN-61086_PPN-61069_OOPNPInotinNPPESRegistryEditModal_01</t>
  </si>
  <si>
    <t>PPN-61086_PPN-61069_OOPNPInotinNPPESRegistryEditModal_02</t>
  </si>
  <si>
    <t>PPN-66900_OOPNPISave_CancelPostImplEditModal_01</t>
  </si>
  <si>
    <t>PPN-61077_OOPNPISave_CancelPostImplEditModal_01</t>
  </si>
  <si>
    <t>PPN-61080_PPN-61089_SaveCancelAndExcpetionRow_01</t>
  </si>
  <si>
    <t>PPN-66908_OOPNPIRemoveExceptionButton_01</t>
  </si>
  <si>
    <t>PPN-55650_OOP_NPI_CopyPaste_EditModal_01</t>
  </si>
  <si>
    <t>PPN-55650_OOP_NPI_CopyPaste_RemoveNPIExceptionModal_02</t>
  </si>
  <si>
    <t>PPN-61097_OOP_NPI_Sorting_Remove NPI ExceptionModal_01</t>
  </si>
  <si>
    <t>PPN-61097_OOP_NPI_Sorting_Edit_Modal_02</t>
  </si>
  <si>
    <t>PPN-65337_AddAddrTyp_TaxExcl_01</t>
  </si>
  <si>
    <t>PPN-65337_AddAddrTyp_TaxExcl_02</t>
  </si>
  <si>
    <t>PPN-65337_AddAddrTyp_TaxExcl_03</t>
  </si>
  <si>
    <t>PPN-59912_RemoveDeleteButton_LicensesTableMode_01</t>
  </si>
  <si>
    <t>PPN-60627_LicenseExceptionRemoveEdit_01</t>
  </si>
  <si>
    <t>PPN-60625_RemoveLicExcp_ActiveInactiveStatus_01</t>
  </si>
  <si>
    <t>PPN-49077_RemoveLicExcp_SaveFunctionality_NON_IL_01</t>
  </si>
  <si>
    <t>PPN-49077_RemoveLicExcp_SaveFunctionality_IL_02</t>
  </si>
  <si>
    <t>PPN-47007_LicExcpRowAfterAdding1stLicense_NON_IL_01</t>
  </si>
  <si>
    <t>PPN-47007_LicExcpRowAfterAdding1stLicense_IL_02</t>
  </si>
  <si>
    <t>PPN-59913_ExpirationDateForLicenseException_01</t>
  </si>
  <si>
    <t>PPN-59913_ExpirationDateForLicenseException_02</t>
  </si>
  <si>
    <t>PPN-59913_ExpirationDateForLicenseException_03</t>
  </si>
  <si>
    <t>PPN-59913_ExpirationDateForLicenseException_04</t>
  </si>
  <si>
    <t>PPN-60626_AddLicenseWithActiveLicenseInTable_NON_IL_01</t>
  </si>
  <si>
    <t>PPN-60626_AddLicenseWithActiveLicenseInTable_IL_02</t>
  </si>
  <si>
    <t>PPN-61064_OOP_NPI_RemoveNPIModalFormSetup_01</t>
  </si>
  <si>
    <t>PPN-66893_OOP_NPI_RemoveNPIException_Table</t>
  </si>
  <si>
    <t>PPN-61095_OOP_NPI_RemoveNPIexception_Validations_01</t>
  </si>
  <si>
    <t>PPN-61095_OOP_NPI_RemoveNPIException_Validations_Validations_02</t>
  </si>
  <si>
    <t>PPN-66902_OOP_NPI_AddNPIException_Save_Cancel_button</t>
  </si>
  <si>
    <t>PPN-61091_RemoveNPIExcep_NPINotFound_01</t>
  </si>
  <si>
    <t>PPN-59923_LicenseSection_RemoveLicenseExcep_NoLicense01</t>
  </si>
  <si>
    <t>PPN-59923_LicenseSection_AddLicenseExcep_02</t>
  </si>
  <si>
    <t>PPN-59923_LicenseSection_RemoveLicenseExcep_03</t>
  </si>
  <si>
    <t>PPN-61153_LicenseSection_RemoveLicenseExp_SameIssueDate_01</t>
  </si>
  <si>
    <t>PPN-61153_LicenseSection_RemoveLicenseExp_DiffIssueDate_02</t>
  </si>
  <si>
    <t>PPN-61153_LicenseSection_RemoveLicenseExp_SameIssueDate_03</t>
  </si>
  <si>
    <t>PPN-61153_LicenseSection_RemoveLicenseExp_DiffIssueDate_04</t>
  </si>
  <si>
    <t>PPN-61076_OOPProviderNPI_AddNPIExcepPopup_01</t>
  </si>
  <si>
    <t>PPN-61076_OOPProviderNPI_AddNPIExcepPopup_NPIEndDate_02</t>
  </si>
  <si>
    <t>PPN-61076_OOPProviderNPI_AddNPIExcepPopup_Save_03</t>
  </si>
  <si>
    <t>PPN-61092_OOPProviderNPI_AddNPIExcepPopup_NPIEndDate_01</t>
  </si>
  <si>
    <t>PPN-67254_PFCActivation_LicenseAccordianSetup_01</t>
  </si>
  <si>
    <t>PPN-67255_PFCActivation_LincenseAccordianAfterSave_01</t>
  </si>
  <si>
    <t>PPN-66899_RemoveNPIExcep_SaveAndCancel_01</t>
  </si>
  <si>
    <t>PPN-61068_RemoveNPIExcep_ActiveNPIStatus_Reason_01</t>
  </si>
  <si>
    <t>PPN-61068_RemoveNPIExcep_EndDateForExcepRow_02</t>
  </si>
  <si>
    <t>PPN-59919_Edits_License_Where_IssueDate_Before_Exception ExpirationDate_01</t>
  </si>
  <si>
    <t>PPN-59919_Edits_License_Where_IssueDate_After_Exception ExpirationDate_02</t>
  </si>
  <si>
    <t>PPN-59919_Edits_License_Where_ExpirationDate_After_Exception IssueDate_03</t>
  </si>
  <si>
    <t>PPN-59919_Edits_License_Where_ExpirationDate_Before_Exception IssueDate_04</t>
  </si>
  <si>
    <t>PPN-48217_License_Accordion_Routing_SetUp_TC001</t>
  </si>
  <si>
    <t>PPN-47505_License_Details_table_Mode_TC001</t>
  </si>
  <si>
    <t>PPN-47505_License_Details_table_Mode_TC002</t>
  </si>
  <si>
    <t>PPN-66714</t>
  </si>
  <si>
    <t>PPN-61099</t>
  </si>
  <si>
    <t>PPN-61096</t>
  </si>
  <si>
    <t>PPN-66894</t>
  </si>
  <si>
    <t>PPN-55754</t>
  </si>
  <si>
    <t>PPN-66900</t>
  </si>
  <si>
    <t>PPN-61077</t>
  </si>
  <si>
    <t>PPN-66908</t>
  </si>
  <si>
    <t>PPN-55650</t>
  </si>
  <si>
    <t>PPN-61097</t>
  </si>
  <si>
    <t>PPN-65337</t>
  </si>
  <si>
    <t>PPN-59912</t>
  </si>
  <si>
    <t>PPN-60627</t>
  </si>
  <si>
    <t>PPN-60625</t>
  </si>
  <si>
    <t>PPN-49077</t>
  </si>
  <si>
    <t>PPN-47007</t>
  </si>
  <si>
    <t>PPN-59913</t>
  </si>
  <si>
    <t>PPN-60626</t>
  </si>
  <si>
    <t>PPN-61064</t>
  </si>
  <si>
    <t>PPN-66893</t>
  </si>
  <si>
    <t>PPN-61095</t>
  </si>
  <si>
    <t>PPN-66902</t>
  </si>
  <si>
    <t>PPN-61091</t>
  </si>
  <si>
    <t>PPN-59923</t>
  </si>
  <si>
    <t>PPN-61153</t>
  </si>
  <si>
    <t>PPN-61076</t>
  </si>
  <si>
    <t>PPN-61092</t>
  </si>
  <si>
    <t>PPN-67254</t>
  </si>
  <si>
    <t>PPN-67255</t>
  </si>
  <si>
    <t>PPN-66899</t>
  </si>
  <si>
    <t>PPN-61068</t>
  </si>
  <si>
    <t>PPN-59919</t>
  </si>
  <si>
    <t>PPN-48217</t>
  </si>
  <si>
    <t>PPN-47505</t>
  </si>
  <si>
    <t>Activation</t>
  </si>
  <si>
    <t>PPN-49077_47007_59913_RemoveLicExcp_01_02</t>
  </si>
  <si>
    <t>PPN-61097_OOP_NPI_Sorting_Edit_Modal_01_02</t>
  </si>
  <si>
    <t>PPN-61153_RemoveLicenseExp_SameIssueDate_01_03</t>
  </si>
  <si>
    <t>PPN-61153_RemoveLicenseExp_DiffIssueDate_02_04</t>
  </si>
  <si>
    <t>PPN-59919_EditLicense_TC01_To_04</t>
  </si>
  <si>
    <t>PPN-61064_PPN-66893_PPN-61095_PPN-61091_RemoveNPIModal</t>
  </si>
  <si>
    <t>PPN-66899_PPN-60168_tableDataCheck</t>
  </si>
  <si>
    <t>PPN-61076_01_02_PPN-61092_OOPProviderNPI_AddNPIExcepPopup</t>
  </si>
  <si>
    <t>PPN-48217_License_Accordion_RoutingSetUp_01</t>
  </si>
  <si>
    <t>PPN-66900_PPN-55754_OOPNPISave_CancelPostImplEditModal_01</t>
  </si>
  <si>
    <t>61080_61089_66908_SaveCancelAndExcpetionRow_01</t>
  </si>
  <si>
    <t>PPN-45002_TaxExclusionEditModalSetup_TC01~PPN-45002_TaxExclusionEditModalSetup_TC02~PPN-65337_AddAddrTyp_TaxExcl_03</t>
  </si>
  <si>
    <t>PPN-44918_TaxExclusionTaxIDExpandedView_01
~PPN-65337_AddAddrTyp_TaxExcl_01</t>
  </si>
  <si>
    <t>PPN-47243_AddTaxExclusion_01~PPN-47243_AddTaxExclusion_02~PPN-65337_AddAddrTyp_TaxExcl_02</t>
  </si>
  <si>
    <t>PPN-55754_OOP_NPI_StatusUpdated_EditModal_To_Validated_01~PPN-66900_OOPNPISave_CancelPostImplEditModal_01</t>
  </si>
  <si>
    <t>PPN-61080_PPN-61089_SaveCancelAndExcpetionRow_01~PPN-66908_OOPNPIRemoveExceptionButton_01</t>
  </si>
  <si>
    <t>PPN-61097_OOP_NPI_Sorting_Remove NPI ExceptionModal_01~PPN-61097_OOP_NPI_Sorting_Edit_Modal_02</t>
  </si>
  <si>
    <t>PPN-49077_RemoveLicExcp_SaveFunctionality_NON_IL_01~PPN-49077_RemoveLicExcp_SaveFunctionality_IL_02~PPN-47007_LicExcpRowAfterAdding1stLicense_NON_IL_01~PPN-47007_LicExcpRowAfterAdding1stLicense_IL_02~PPN-59913_ExpirationDateForLicenseException_01~PPN-59913_ExpirationDateForLicenseException_02</t>
  </si>
  <si>
    <t>PPN-61064_OOP_NPI_RemoveNPIModalFormSetup_01~PPN-66893_OOP_NPI_RemoveNPIException_Table~PPN-61095_OOP_NPI_RemoveNPIexception_Validations_01~PPN-61095_OOP_NPI_RemoveNPIException_Validations_Validations_02~PPN-61091_RemoveNPIExcep_NPINotFound_01</t>
  </si>
  <si>
    <t>PPN-61153_LicenseSection_RemoveLicenseExp_SameIssueDate_01~PPN-61153_LicenseSection_RemoveLicenseExp_SameIssueDate_03</t>
  </si>
  <si>
    <t>PPN-61153_LicenseSection_RemoveLicenseExp_DiffIssueDate_02~PPN-61153_LicenseSection_RemoveLicenseExp_DiffIssueDate_04</t>
  </si>
  <si>
    <t>PPN-61076_OOPProviderNPI_AddNPIExcepPopup_01~PPN-61076_OOPProviderNPI_AddNPIExcepPopup_NPIEndDate_02~PPN-61092_OOPProviderNPI_AddNPIExcepPopup_NPIEndDate_01</t>
  </si>
  <si>
    <t>PPN-66899_RemoveNPIExcep_SaveAndCancel_01~PPN-61068_RemoveNPIExcep_ActiveNPIStatus_Reason_01~PPN-61068_RemoveNPIExcep_EndDateForExcepRow_02</t>
  </si>
  <si>
    <t>PPN-59919_Edits_License_Where_IssueDate_Before_Exception ExpirationDate_01~PPN-59919_Edits_License_Where_IssueDate_After_Exception ExpirationDate_02~PPN-59919_Edits_License_Where_ExpirationDate_After_Exception IssueDate_03~PPN-59919_Edits_License_Where_ExpirationDate_Before_Exception IssueDate_04</t>
  </si>
  <si>
    <t>PPN-47505_License_Details_table_Mode_TC001~PPN-47505_License_Details_table_Mode_TC002</t>
  </si>
  <si>
    <t>PPN-55751_EditModal_Status_Validated_To_NotValidated_TC01~PPN-55751_EditModal_EndDate_Field_Validation_TC02~PPN-60977_EditModal_Status_Validated_To_InValidated_TC01~PPN-60977_EditModal_EndDate_Field_Validation_TC02~PPN-66714_OOP_NPI_OptionHeader_01~PPN-61099_OOP_NPI_AddNewNPIEffectiveDate_01~PPN-61086_PPN-61069_OOPNPInotinNPPESRegistryEditModal_01~PPN-61086_PPN-61069_OOPNPInotinNPPESRegistryEditModal_02</t>
  </si>
  <si>
    <t>PPN-60978_PPN-66894_OOP-NPModalSetUpEdit_01</t>
  </si>
  <si>
    <t>55751_60977_61099_61069_66714_61086</t>
  </si>
  <si>
    <t>PPN-61086, PPN-61069</t>
  </si>
  <si>
    <t>PPN-61080, PPN-61089</t>
  </si>
  <si>
    <t>PPN-60978_OOP-NPIPractitionerMaintenanceModalSetUpEdit_01~PPN-66894_OOP_NPI_EDITModal_ChevronData_Setup_01</t>
  </si>
  <si>
    <t>PPN-61076_03_PPN-66902_OOPProviderNPI_AddNPISave</t>
  </si>
  <si>
    <t>PPN-66902_OOP_NPI_AddNPIException_Save_Cancel_button~PPN-61076_OOPProviderNPI_AddNPIExcepPopup_Save_03</t>
  </si>
  <si>
    <t>PPN-70802_ClassF_OOP_NPI_Sorting_TableMode_01</t>
  </si>
  <si>
    <t>PPN-70802_ClassF_OOP_NPI_Sorting_TableMode_02</t>
  </si>
  <si>
    <t>PPN-70801_ClassF_OOPNPInotinNPPESRegistryEditModal_01</t>
  </si>
  <si>
    <t>PPN-70801_ClassF_OOPNPInotinNPPESRegistryEditModal_02</t>
  </si>
  <si>
    <t>PPN-70807_ClassF_OOP-NPIStatusReasonCodeRef_TC01</t>
  </si>
  <si>
    <t>PPN-70807_ClassF_OOP-NPIStatusReasonCodeRef_TC02</t>
  </si>
  <si>
    <t>PPN-60980_OOP_NPI_Sorting_TableMode_01</t>
  </si>
  <si>
    <t>PPN-60980_OOP_NPI_Sorting_TableMode_02</t>
  </si>
  <si>
    <t>PPN-70810_ClassF_OOP-NPIModalFunctionalityEdit_01</t>
  </si>
  <si>
    <t>PPN-70810_ClassF_OOP-NPIModalFunctionalityEdit_02</t>
  </si>
  <si>
    <t>PPN-70780_ClassF_OOPNPIEDITModalChevronDataSetup_01</t>
  </si>
  <si>
    <t>PPN-70778_ClassF_OOPNPISaveCancelPostImplEditModal_01</t>
  </si>
  <si>
    <t>PPN-70803_ClassF_RemoveNPIExcepSaveAndCancel_01</t>
  </si>
  <si>
    <t>PPN-47507_Add_new_License_Details_modal_TC001</t>
  </si>
  <si>
    <t>PPN-47506_LicenseSectionMaintenanceModalSet UpEdit_FieldsValidation</t>
  </si>
  <si>
    <t>PPN-47506_LicenseSectionMaintenanceModalSet UpEdit_PrepopulatedData</t>
  </si>
  <si>
    <t>PPN-47665_License_Screen_With_Exception_Indicator_001</t>
  </si>
  <si>
    <t>PPN-47669_ClassFRemoveLicenseExceptionModalSetUp_001</t>
  </si>
  <si>
    <t>PPN-47669_ClassFRemoveLicenseExceptionModalSetUp_002</t>
  </si>
  <si>
    <t>PPN-70757_OOP-NPIPractitionerMaintenanceTableSetUp_TC01</t>
  </si>
  <si>
    <t>PPN-70757_OOP-NPIPractitionerMaintenanceTableSetUp_TC02</t>
  </si>
  <si>
    <t>PPN-70757_OOP-NPIPractitionerMaintenanceTableSetUp_TC03</t>
  </si>
  <si>
    <t>PPN-70752_OOP-NPIPractitionerSetUpTableModewithoutNPI _TC01</t>
  </si>
  <si>
    <t>PPN-70773_OOPNPIRemoveExceptionButton_01</t>
  </si>
  <si>
    <t>PPN-60741_LicExcpRowAfterAdding1stLicense_NON_IL_01</t>
  </si>
  <si>
    <t>PPN-60741_LicExcpRowAfterAdding1stLicense_IL_02</t>
  </si>
  <si>
    <t>PPN-60756_ExpirationDateForLicenseException_01</t>
  </si>
  <si>
    <t>PPN-60756_ExpirationDateForLicenseException_02</t>
  </si>
  <si>
    <t>PPN-60756_ExpirationDateForLicenseException_03</t>
  </si>
  <si>
    <t>PPN-60756_ExpirationDateForLicenseException_04</t>
  </si>
  <si>
    <t>PPN-70762_OOP_NPI_RemoveNPIModalFormSetup_01</t>
  </si>
  <si>
    <t>PPN-70770_OOP_NPI_RemoveNPIexception_Validations_01</t>
  </si>
  <si>
    <t>PPN-70770_OOP_NPI_RemoveNPIException_Validations_Validations_02</t>
  </si>
  <si>
    <t>PPN-70777_OOP_NPI_AddNPIException_Save_Cancel_button</t>
  </si>
  <si>
    <t>PPN-70756_EditModal_Status_Validated_To_NotValidated_TC01</t>
  </si>
  <si>
    <t>PPN-70756_EditModal_EndDate_Field_Validation_TC02</t>
  </si>
  <si>
    <t>PPN-49432_LicenseClassFHealthtechAuditModalFieldsEditModal_01</t>
  </si>
  <si>
    <t>PPN-67256_Activation_PlanPrePopulatinginStateDropdown_01</t>
  </si>
  <si>
    <t>PPN-67257_Activation_SelectingAddExceptionButtonWithSavedLicenseData_01</t>
  </si>
  <si>
    <t>PPN-67257_Activation_SelectingAddExceptionButtonWithSavedLicenseData_02</t>
  </si>
  <si>
    <t>PPN-67259_InPlanActivation_LicenseEditModalSetUp_01</t>
  </si>
  <si>
    <t>PPN-67259_InPlanActivation_LicenseEditModalSetUp_02</t>
  </si>
  <si>
    <t>PPN-67259_InPlanActivation_LicenseEditModalSetUp_03</t>
  </si>
  <si>
    <t>PPN-67260_InPlanActivation_LicenseDeleteModalSetUpFunctionality_01</t>
  </si>
  <si>
    <t>PPN-67260_InPlanActivation_LicenseDeleteModalSetUpFunctionality_02</t>
  </si>
  <si>
    <t>PPN-67260_InPlanActivation_LicenseDeleteModalSetUpFunctionality_03</t>
  </si>
  <si>
    <t>PPN-67260_InPlanActivation_LicenseDeleteModalSetUpFunctionality_04</t>
  </si>
  <si>
    <t>PPN-67261_InPlanActivation_AddNewLicenseModalSetUpFunctionality_01</t>
  </si>
  <si>
    <t>PPN-67261_InPlanActivation_AddNewLicenseModalSetUpFunctionality_02</t>
  </si>
  <si>
    <t>PPN-67261_InPlanActivation_AddNewLicenseModalSetUpFunctionality_03</t>
  </si>
  <si>
    <t>PPN-67261_InPlanActivation_AddNewLicenseModalSetUpFunctionality_04</t>
  </si>
  <si>
    <t>PPN-67261_InPlanActivation_AddNewLicenseModalSetUpFunctionality_05</t>
  </si>
  <si>
    <t>PPN-67261_InPlanActivation_AddNewLicenseModalSetUpFunctionality_06</t>
  </si>
  <si>
    <t>PPN-67262_InPlanActivation_LicenseEditModalFunctionality_01</t>
  </si>
  <si>
    <t>PPN-67262_InPlanActivation_LicenseEditModalFunctionality_02</t>
  </si>
  <si>
    <t>PPN-67262_InPlanActivation_LicenseEditModalFunctionality_03</t>
  </si>
  <si>
    <t>PPN-67262_InPlanActivation_LicenseEditModalFunctionality_04</t>
  </si>
  <si>
    <t>PPN-67262_InPlanActivation_LicenseEditModalFunctionality_05</t>
  </si>
  <si>
    <t>PPN-67262_InPlanActivation_LicenseEditModalFunctionality_06</t>
  </si>
  <si>
    <t>PPN-67262_InPlanActivation_LicenseEditModalFunctionality_07</t>
  </si>
  <si>
    <t>PPN-71026_InPlanActivation_LicenseAccordionValidation_01</t>
  </si>
  <si>
    <t>PPN-71026_InPlanActivation_LicenseAccordionValidation_02</t>
  </si>
  <si>
    <t>PPN-71026_InPlanActivation_LicenseAccordionValidation_03</t>
  </si>
  <si>
    <t>PPN-71026_InPlanActivation_LicenseAccordionValidation_04</t>
  </si>
  <si>
    <t>PPN-71026_InPlanActivation_LicenseAccordionValidation_05</t>
  </si>
  <si>
    <t>PPN-71026_InPlanActivation_LicenseAccordionValidation_06</t>
  </si>
  <si>
    <t>PPN-71625_Activation_DefaultAddLicenseNumberRadioButton_01</t>
  </si>
  <si>
    <t>PPN-66845_Activation_Comments_FormSetup_01</t>
  </si>
  <si>
    <t>PPN-66851_Activation_Comments_SelectingTypeOrReset_01</t>
  </si>
  <si>
    <t>PPN-66851_Activation_Comments_ErrorMessageValidation_02</t>
  </si>
  <si>
    <t>PPN-71310_Activation_Comments_SaveFunctionalityAndTableSetup_01</t>
  </si>
  <si>
    <t>PPN-71310_Activation_Comments_SaveFunctionalityAndTableSetup_02</t>
  </si>
  <si>
    <t>PPN-60805_Add_License_Exception_Save_01</t>
  </si>
  <si>
    <t>PPN-60805_Add_License_Exception_Save_02</t>
  </si>
  <si>
    <t>PPN-71312_Activation_Comments_EditModalSetup_01</t>
  </si>
  <si>
    <t>PPN-71312_Activation_Comments_EditModalSetup_02</t>
  </si>
  <si>
    <t>PPN-71036_EndDatingLastActiveLicense_01</t>
  </si>
  <si>
    <t>PPN-71036_EndDatingLastActiveLicense_02</t>
  </si>
  <si>
    <t>PPN-71036_EndDatingLastActiveLicense_03</t>
  </si>
  <si>
    <t>PPN-71101_EndDatingLastActiveLicSaveFunc_01</t>
  </si>
  <si>
    <t>PPN-71101_EndDatingLastActiveLicSaveFunc_02</t>
  </si>
  <si>
    <t>PPN-71101_EndDatingLastActiveLicCancelFunc_03</t>
  </si>
  <si>
    <t xml:space="preserve"> PPN-71102_License_StateAndLicBodyFunc_01</t>
  </si>
  <si>
    <t xml:space="preserve"> PPN-71102_License_StateAndLicBodyFunc_02</t>
  </si>
  <si>
    <t xml:space="preserve"> PPN-71102_License_StateAndLicBodyFunc_03</t>
  </si>
  <si>
    <t xml:space="preserve"> PPN-71102_License_StateAndLicBodyFunc_04</t>
  </si>
  <si>
    <t xml:space="preserve"> PPN-71102_License_StateAndLicBodyFunc_05</t>
  </si>
  <si>
    <t xml:space="preserve"> PPN-71102_License_StateAndLicBodyFunc_06</t>
  </si>
  <si>
    <t>PPN-71281_NPI_EditModal_StatusChange_01</t>
  </si>
  <si>
    <t>PPN-71281_NPI_EditModal_StatusChange_02</t>
  </si>
  <si>
    <t>PPN-61081_OOP_NPI_table_TabbingGR_TC01</t>
  </si>
  <si>
    <t>PPN-61081_OOP_NPI_EditModal_TabbingGR_TC02</t>
  </si>
  <si>
    <t>PPN-61081_OOP_NPI_EditModal_TabbingGR_TC03</t>
  </si>
  <si>
    <t>PPN-61081_OOP_NPI_RemoveExceptionModal_TabbingGR_TC04</t>
  </si>
  <si>
    <t>PPN-61081_OOP_NPI_RemoveExceptionModal_TabbingGR_TC05</t>
  </si>
  <si>
    <t>PPN-61081_OOP_NPI_AddExceptionModal_TabbingGR_TC06</t>
  </si>
  <si>
    <t>PPN-70802</t>
  </si>
  <si>
    <t>PPN-70801</t>
  </si>
  <si>
    <t>PPN-70807</t>
  </si>
  <si>
    <t>PPN-60980</t>
  </si>
  <si>
    <t>PPN-70810</t>
  </si>
  <si>
    <t>PPN-70780</t>
  </si>
  <si>
    <t>PPN-70778</t>
  </si>
  <si>
    <t>PPN-70803</t>
  </si>
  <si>
    <t>PPN-47507</t>
  </si>
  <si>
    <t>PPN-47506</t>
  </si>
  <si>
    <t>PPN-47665</t>
  </si>
  <si>
    <t>PPN-47669</t>
  </si>
  <si>
    <t>PPN-70757</t>
  </si>
  <si>
    <t>PPN-70752</t>
  </si>
  <si>
    <t>PPN-70773</t>
  </si>
  <si>
    <t>PPN-60741</t>
  </si>
  <si>
    <t>PPN-60756</t>
  </si>
  <si>
    <t>PPN-70762</t>
  </si>
  <si>
    <t>PPN-70770</t>
  </si>
  <si>
    <t>PPN-70777</t>
  </si>
  <si>
    <t>PPN-70756</t>
  </si>
  <si>
    <t>PPN-49432</t>
  </si>
  <si>
    <t>PPN-67256</t>
  </si>
  <si>
    <t>PPN-67257</t>
  </si>
  <si>
    <t>PPN-67259</t>
  </si>
  <si>
    <t>PPN-67260</t>
  </si>
  <si>
    <t>PPN-67261</t>
  </si>
  <si>
    <t>PPN-67262</t>
  </si>
  <si>
    <t>PPN-71026</t>
  </si>
  <si>
    <t>PPN-71625</t>
  </si>
  <si>
    <t>PPN-66845</t>
  </si>
  <si>
    <t>PPN-66851</t>
  </si>
  <si>
    <t>PPN-71310</t>
  </si>
  <si>
    <t>PPN-60805</t>
  </si>
  <si>
    <t>PPN-71312</t>
  </si>
  <si>
    <t>PPN-71036</t>
  </si>
  <si>
    <t>PPN-71101</t>
  </si>
  <si>
    <t>PPN-71281</t>
  </si>
  <si>
    <t>PPN-61081</t>
  </si>
  <si>
    <t>PPN-71102</t>
  </si>
  <si>
    <t>PPN-71036_EndDatingLastActiveLicense_02_03</t>
  </si>
  <si>
    <t>PPN-60805_Add_License_Exception_Save_01_02</t>
  </si>
  <si>
    <t>PPN-60805_Add_License_Exception_Save_01~PPN-60805_Add_License_Exception_Save_02</t>
  </si>
  <si>
    <t>PPN-71036_EndDatingLastActiveLicense_02~PPN-71036_EndDatingLastActiveLicense_03</t>
  </si>
  <si>
    <t>PPN-71102_Lic_StateLicBodyFunc_01_To_06</t>
  </si>
  <si>
    <t>PPN-66845_PPN_66851_Activation_Comments_FormSetup_01</t>
  </si>
  <si>
    <t>PPN-60980_OOP_NPI_Sorting_TableMode_01_02</t>
  </si>
  <si>
    <t>PPN-61081_OOP_NPI_TabbingGR_TC01_06</t>
  </si>
  <si>
    <t>PPN-71281_EditNPI_StatusChange_01</t>
  </si>
  <si>
    <t>PPN-70807_ClassF_OOP-NPIStatusReasonCodeRef</t>
  </si>
  <si>
    <t>PPN-70810_ClassF_OOP-NPIModalFunctionalityEdit</t>
  </si>
  <si>
    <t>PPN-70757_OOP-NPIPractitionerMaintenanceTableSetUp_TC01_02</t>
  </si>
  <si>
    <t>PPN-70757_OOP-NPIPractitionerMaintenanceTableSetUp_03</t>
  </si>
  <si>
    <t>PPN-70770_OOP_NPI_RemoveNPIException_Validations_01_02</t>
  </si>
  <si>
    <t>PPN-70777_ClassF_OOPProviderNPI_AddNPISave</t>
  </si>
  <si>
    <t>PPN-47507_AddNewLicense_Details_modal_TC01</t>
  </si>
  <si>
    <t>PPN-47506_LicenseMaintenanceSet UpEdit_01_02</t>
  </si>
  <si>
    <t>PPN-47665_License_Screen_With_Exc_Indicator_01_02</t>
  </si>
  <si>
    <t>PPN-47669_Remove_LicenseException_Modal_SetUp_001to002</t>
  </si>
  <si>
    <t>PPN-60756_PPN-60741_LicenseException</t>
  </si>
  <si>
    <t>PPN-67256_PPN-71625_ActivationStateNDDefaultSelection</t>
  </si>
  <si>
    <t>PPN-67257_Activation_SelectingAddExceptionButton</t>
  </si>
  <si>
    <t>PPN-67259_InPlanActivation_LicenseEditModalSetUp</t>
  </si>
  <si>
    <t>PPN-67260_InPlanActivation_LicenseDeleteModalSetUpFunctionality</t>
  </si>
  <si>
    <t>PPN-67262_InPlanActivation_LicenseEditModalFunctionality</t>
  </si>
  <si>
    <t>Error Messages Are Not Displayed For Date Fields In 'Add License Exception' Modal:</t>
  </si>
  <si>
    <t>PPN-70802_ClassF_OOP_NPI_Sorting_TableMode_01~PPN-70802_ClassF_OOP_NPI_Sorting_TableMode_02</t>
  </si>
  <si>
    <t>PPN-70807_ClassF_OOP-NPIStatusReasonCodeRef_TC01~PPN-70807_ClassF_OOP-NPIStatusReasonCodeRef_TC02</t>
  </si>
  <si>
    <t>PPN-60980_OOP_NPI_Sorting_TableMode_01~PPN-60980_OOP_NPI_Sorting_TableMode_02</t>
  </si>
  <si>
    <t>PPN-70810_ClassF_OOP-NPIModalFunctionalityEdit_01~PPN-70810_ClassF_OOP-NPIModalFunctionalityEdit_02</t>
  </si>
  <si>
    <t>PPN-47506_LicenseSectionMaintenanceModalSet UpEdit_FieldsValidation~PPN-47506_LicenseSectionMaintenanceModalSet UpEdit_PrepopulatedData</t>
  </si>
  <si>
    <t>PPN-47669_ClassFRemoveLicenseExceptionModalSetUp_001~PPN-47669_ClassFRemoveLicenseExceptionModalSetUp_002</t>
  </si>
  <si>
    <t>PPN-70757_OOP-NPIPractitionerMaintenanceTableSetUp_TC01~PPN-70757_OOP-NPIPractitionerMaintenanceTableSetUp_TC02</t>
  </si>
  <si>
    <t>PPN-60741_LicExcpRowAfterAdding1stLicense_NON_IL_01~PPN-60741_LicExcpRowAfterAdding1stLicense_IL_02~PPN-60756_ExpirationDateForLicenseException_01~PPN-60756_ExpirationDateForLicenseException_02~PPN-60756_ExpirationDateForLicenseException_03~PPN-60756_ExpirationDateForLicenseException_04</t>
  </si>
  <si>
    <t>PPN-70770_OOP_NPI_RemoveNPIexception_Validations_01~PPN-70770_OOP_NPI_RemoveNPIException_Validations_Validations_02</t>
  </si>
  <si>
    <t>PPN-67257_Activation_SelectingAddExceptionButtonWithSavedLicenseData_01~PPN-67257_Activation_SelectingAddExceptionButtonWithSavedLicenseData_02</t>
  </si>
  <si>
    <t>PPN-67259_InPlanActivation_LicenseEditModalSetUp_01~PPN-67259_InPlanActivation_LicenseEditModalSetUp_02~PPN-67259_InPlanActivation_LicenseEditModalSetUp_03</t>
  </si>
  <si>
    <t>PPN-67260_InPlanActivation_LicenseDeleteModalSetUpFunctionality_01~PPN-67260_InPlanActivation_LicenseDeleteModalSetUpFunctionality_02~PPN-67260_InPlanActivation_LicenseDeleteModalSetUpFunctionality_03~PPN-67260_InPlanActivation_LicenseDeleteModalSetUpFunctionality_04</t>
  </si>
  <si>
    <t>PPN-67262_InPlanActivation_LicenseEditModalFunctionality_01~PPN-67262_InPlanActivation_LicenseEditModalFunctionality_02~PPN-67262_InPlanActivation_LicenseEditModalFunctionality_03~PPN-67262_InPlanActivation_LicenseEditModalFunctionality_04~PPN-67262_InPlanActivation_LicenseEditModalFunctionality_05~PPN-67262_InPlanActivation_LicenseEditModalFunctionality_07</t>
  </si>
  <si>
    <t>PPN-66845_Activation_Comments_FormSetup_01~PPN-66851_Activation_Comments_SelectingTypeOrReset_01~PPN-66851_Activation_Comments_ErrorMessageValidation_02</t>
  </si>
  <si>
    <t xml:space="preserve"> PPN-71102_License_StateAndLicBodyFunc_01~ PPN-71102_License_StateAndLicBodyFunc_02~ PPN-71102_License_StateAndLicBodyFunc_03~ PPN-71102_License_StateAndLicBodyFunc_04~ PPN-71102_License_StateAndLicBodyFunc_05~ PPN-71102_License_StateAndLicBodyFunc_06</t>
  </si>
  <si>
    <t>PPN-71281_NPI_EditModal_StatusChange_01~PPN-71281_NPI_EditModal_StatusChange_02</t>
  </si>
  <si>
    <t>PPN-61081_OOP_NPI_table_TabbingGR_TC01~PPN-61081_OOP_NPI_EditModal_TabbingGR_TC02~PPN-61081_OOP_NPI_EditModal_TabbingGR_TC03~PPN-61081_OOP_NPI_RemoveExceptionModal_TabbingGR_TC04~PPN-61081_OOP_NPI_RemoveExceptionModal_TabbingGR_TC05~PPN-61081_OOP_NPI_AddExceptionModal_TabbingGR_TC06</t>
  </si>
  <si>
    <t>PPN-67261_Activation_AddNewLicSetUpFunct01_02_04_05</t>
  </si>
  <si>
    <t>PPN-67261_Activation_AddNewLicSetUpFunct_03</t>
  </si>
  <si>
    <t>PPN-67261_Activation_AddNewLicSetUpFunct_06</t>
  </si>
  <si>
    <t>PPN-71026_Activation_LicAccValidation01_02_04_05</t>
  </si>
  <si>
    <t>PPN-71026_Activation_LicenseAccordionValidation_03</t>
  </si>
  <si>
    <t>PPN-67256_Activation_PlanPrePopulatinginStateDropdown_01~PPN-71625_Activation_DefaultAddLicenseNumberRadioButton_01</t>
  </si>
  <si>
    <t>PPN-67261_InPlanActivation_AddNewLicenseModalSetUpFunctionality_01~PPN-67261_InPlanActivation_AddNewLicenseModalSetUpFunctionality_02~PPN-67261_InPlanActivation_AddNewLicenseModalSetUpFunctionality_04~PPN-67261_InPlanActivation_AddNewLicenseModalSetUpFunctionality_05</t>
  </si>
  <si>
    <t>PPN-71026_InPlanActivation_LicenseAccordionValidation_01~PPN-71026_InPlanActivation_LicenseAccordionValidation_02~PPN-71026_InPlanActivation_LicenseAccordionValidation_04~PPN-71026_InPlanActivation_LicenseAccordionValidation_05</t>
  </si>
  <si>
    <t>PPN-59949__AddSalesforceCaseNumberField_EditModal_TC01~PPN-59945__AddSalesforceCaseNumberField_EditModal_TC01</t>
  </si>
  <si>
    <t>PPN-55755_OOP-NPIPractitionerSetUpTableModewithoutNPI _TC01~PPN-55645_OOP-NPIPractitionerMaintenanceTableSetUp_TC01~PPN-55645_OOP-NPIPractitionerMaintenanceTableSetUp_TC02</t>
  </si>
  <si>
    <t>PPN-60981_OOP-NPIPractitionerMaintenanceFormSetUpTableModewithNPI_TC01~PPN-55645_OOP-NPIPractitionerMaintenanceTableSetUp_TC03</t>
  </si>
  <si>
    <t>PPN-60627_PPN-59912_PPN-74236_RemoveEditAndDeleteLinks_01</t>
  </si>
  <si>
    <t>PPN-59913_03_04_ND_PPN-59923_PPN-74239_RemoveLicExcp</t>
  </si>
  <si>
    <t>PPN-70821_ClassFOOP_NPI_OptionHeader_01</t>
  </si>
  <si>
    <t>PPN-70820_ClassF_OOP_NPI_RemoveNPIException_Table</t>
  </si>
  <si>
    <t>PPN-70819_ClassF_OOPProviderNPI_AddNPIExcepPopup_01</t>
  </si>
  <si>
    <t>PPN-70819_ClassF_OOPProviderNPI_AddNPIExcepPopup_NPIEndDate_02</t>
  </si>
  <si>
    <t>PPN-70819_ClassF_OOPProviderNPI_AddNPIExcepPopup_Save_03</t>
  </si>
  <si>
    <t>PPN-70818_ClassF_OOPProviderNPI_AddNPIExcepPopup_NPIEndDate_01</t>
  </si>
  <si>
    <t>PPN-70817_ClassF_OOP-NPIStatusReasonCodeRef_TC01</t>
  </si>
  <si>
    <t>PPN-70817_ClassF_OOP-NPIStatusReasonCodeRef_TC02</t>
  </si>
  <si>
    <t>PPN-71101_EndDatingLastActiveLicSaveFunc_04</t>
  </si>
  <si>
    <t>PPN-70816_ClassF_EditModal_Status_Validated_To_InValidated_TC01</t>
  </si>
  <si>
    <t>PPN-70816_ClassF_EditModal_EndDate_Field_Validation_TC02</t>
  </si>
  <si>
    <t>PPN-74236_ClassF_LicenseExceptionRemoveEdit_01</t>
  </si>
  <si>
    <t>PPN-74237_ClassF_AddLicenseWithActiveLicenseInTable_NON_IL_01</t>
  </si>
  <si>
    <t>PPN-74237_ClassF_AddLicenseWithActiveLicenseInTable_IL_02</t>
  </si>
  <si>
    <t>PPN-74238_ClassF_RemoveLicExcp_ActiveInactiveStatus_01</t>
  </si>
  <si>
    <t>PPN-74239_ClassF_LicenseSection_RemoveLicenseExcep_NoLicense01</t>
  </si>
  <si>
    <t>PPN-74239_ClassF_LicenseSection_AddLicenseExcep_02</t>
  </si>
  <si>
    <t>PPN-74239_ClassF_LicenseSection_RemoveLicenseExcep_03</t>
  </si>
  <si>
    <t>PPN-74240_ClassF_Edits_License_Where_IssueDate_Before_Exception ExpirationDate_01</t>
  </si>
  <si>
    <t>PPN-74240_ClassF_Edits_License_Where_IssueDate_After_Exception ExpirationDate_02</t>
  </si>
  <si>
    <t>PPN-74240_ClassF_Edits_License_Where_ExpirationDate_After_Exception IssueDate_03</t>
  </si>
  <si>
    <t>PPN-74240_ClassF_Edits_License_Where_ExpirationDate_Before_Exception IssueDate_04</t>
  </si>
  <si>
    <t>PPN-74243_ClassF_RemoveLicExcp_SaveFunctionality_NON_IL_01</t>
  </si>
  <si>
    <t>PPN-74243_ClassF_RemoveLicExcp_SaveFunctionality_IL_02</t>
  </si>
  <si>
    <t>PPN-70812_ClassF_OOP-NPIPractitionerEditModalInvalidatedEdit_01</t>
  </si>
  <si>
    <t>PPN-70812_ClassF_OOP-NPIPractitionerEditModalInvalidatedEdit_02</t>
  </si>
  <si>
    <t>PPN-70813_ClassF_OOP-NPISectionPractitionerMaintenanceApplyTableRowActivationGR_TC01</t>
  </si>
  <si>
    <t>PPN-70813_ClassF_OOP-NPISectionPractitionerMaintenanceApplyTableRowActivationGR_TC02</t>
  </si>
  <si>
    <t>PPN-70814_ClassF_OOP-NPIPractitionerMaintenanceFormSetUpTableModewithNPI_TC01</t>
  </si>
  <si>
    <t>PPN-70814_ClassF_OOP-NPIPractitionerMaintenanceFormSetUpTableModewithNPI_TC02</t>
  </si>
  <si>
    <t>PPN-70815_ClassF_OOP-NPIPractitionerMaintenanceModalSetUpEdit_01</t>
  </si>
  <si>
    <t>PPN-70824_ClassF_OOP_NPI_AddNewNPIEffectiveDate_01</t>
  </si>
  <si>
    <t>PPN-70822_ClassF_OOP_NPI_AddNPIException_Save_Cancel_button</t>
  </si>
  <si>
    <t>PPN-70821</t>
  </si>
  <si>
    <t>PPN-70820</t>
  </si>
  <si>
    <t>PPN-70819</t>
  </si>
  <si>
    <t>PPN-70818</t>
  </si>
  <si>
    <t>PPN-70817</t>
  </si>
  <si>
    <t>PPN-70816</t>
  </si>
  <si>
    <t>PPN-74236</t>
  </si>
  <si>
    <t>PPN-74237</t>
  </si>
  <si>
    <t>PPN-74238</t>
  </si>
  <si>
    <t>PPN-74239</t>
  </si>
  <si>
    <t>PPN-74240</t>
  </si>
  <si>
    <t>PPN-74243</t>
  </si>
  <si>
    <t>PPN-70812</t>
  </si>
  <si>
    <t>PPN-70813</t>
  </si>
  <si>
    <t>PPN-70814</t>
  </si>
  <si>
    <t>PPN-70815</t>
  </si>
  <si>
    <t>PPN-70824</t>
  </si>
  <si>
    <t>PPN-70822</t>
  </si>
  <si>
    <t>PPN-60625_PPN-74238_RemoveLicExcp_ActiveInactiveStatus_01</t>
  </si>
  <si>
    <t>PPN-59912_RemoveDeleteButton_LicensesTableMode_01~PPN-60627_LicenseExceptionRemoveEdit_01~PPN-74236_ClassF_LicenseExceptionRemoveEdit_01</t>
  </si>
  <si>
    <t>PPN-74240_ClassF_Edits_License_Where_IssueDate_Before_Exception ExpirationDate_01~PPN-74240_ClassF_Edits_License_Where_IssueDate_After_Exception ExpirationDate_02~PPN-74240_ClassF_Edits_License_Where_ExpirationDate_After_Exception IssueDate_03~PPN-74240_ClassF_Edits_License_Where_ExpirationDate_Before_Exception IssueDate_04</t>
  </si>
  <si>
    <t>PPN-71101_EndDatingLastActiveLicSaveFunc_01_To_04</t>
  </si>
  <si>
    <t>PPN-60626_74237_AddLicWithActiveLicInTable_01</t>
  </si>
  <si>
    <t>PPN-60626_74237_AddLicWithActiveLicInTable_02</t>
  </si>
  <si>
    <t>PPN-74668_License_Edit_ExpandedModal_01</t>
  </si>
  <si>
    <t>PPN-74668_License_Edit_ExpandedModal_LicenseNumber_Validations_02</t>
  </si>
  <si>
    <t>PPN-74668_License_Edit_ExpandedModal_LicenseBody_Validations_03</t>
  </si>
  <si>
    <t>PPN-74668_License_Edit_ExpandedModal_LicenseStatus_Validations_04</t>
  </si>
  <si>
    <t>PPN-74668_License_Edit_ExpandedModal_IssueDate_Validations_05</t>
  </si>
  <si>
    <t>PPN-74668_License_Edit_ExpandedModal_ExpDate_Validations_06</t>
  </si>
  <si>
    <t>PPN-74775_Activation_Comments_Tabbing_01</t>
  </si>
  <si>
    <t>PPN-74775_Activation_Comments_Tabbing_02</t>
  </si>
  <si>
    <t>PPN-74775_Activation_Comments_Tabbing_Edit_03</t>
  </si>
  <si>
    <t>PPN-74775_Activation_Comments_Tabbing_Delete_04</t>
  </si>
  <si>
    <t>PPN-67293_Activation_License_Tabbing_01</t>
  </si>
  <si>
    <t>PPN-67293_Activation_LicenseTable_Tabbing_02</t>
  </si>
  <si>
    <t>PPN-67293_Activation_License_AddLicense_Tabbing_03</t>
  </si>
  <si>
    <t>PPN-67293_Activation_License_Edit_Tabbing_04</t>
  </si>
  <si>
    <t>PPN-67293_Activation_License_Delete_Tabbing_05</t>
  </si>
  <si>
    <t xml:space="preserve"> _x000D_
PPN-74772_CommentsActivation_EditModal_x000D_
</t>
  </si>
  <si>
    <t>PPN-74773_CommentsActivation_DeleteModal</t>
  </si>
  <si>
    <t>PPN-74668</t>
  </si>
  <si>
    <t>PPN-74775</t>
  </si>
  <si>
    <t>PPN-67293</t>
  </si>
  <si>
    <t>PPN-74773</t>
  </si>
  <si>
    <t>PPN-74772</t>
  </si>
  <si>
    <t>PPN-74775_Activation_Comments_Tabbing_01_To_04</t>
  </si>
  <si>
    <t>PPN-71036_01_PPN-74668_EndDatingLastActiveLicense</t>
  </si>
  <si>
    <t>PPN-74243_ClassF_RemoveLicExcp_01_02</t>
  </si>
  <si>
    <t>PPN-74773_Activation_DeleteCommentModal</t>
  </si>
  <si>
    <t>PPN-71310_71312_74772_Activation_Comnts_01_02</t>
  </si>
  <si>
    <t>PPN-70816_PPN-70821_ClassF_EditModal</t>
  </si>
  <si>
    <t>PPN-70817_ClassF_OOP-NPIStatusReasonCodeRef</t>
  </si>
  <si>
    <t>PPN-70818_PPN-70819_ClassF_AddNPIExcepPopup</t>
  </si>
  <si>
    <t>PPN-70812_ClassF_EditNPI_StatusChange_01</t>
  </si>
  <si>
    <t>PPN-70813_ClassFOOP-NPITableRowActivationGR</t>
  </si>
  <si>
    <t>PPN-70814_ClassFOOP-NPIChevron_01</t>
  </si>
  <si>
    <t>PPN-70814_ClassFOOP-NPINoTaxonomyDetails_TC02</t>
  </si>
  <si>
    <t>PPN-70815_ClassF_OOP-NPModalSetUpEdit_01</t>
  </si>
  <si>
    <t>PPN-70824_EditModal_AddNPIEffectiveDate</t>
  </si>
  <si>
    <t>PPN-70822_OOPProviderNPI_AddNPISave</t>
  </si>
  <si>
    <t>PPN-67293_Activation_LicenseTable_Tabbing_02_03</t>
  </si>
  <si>
    <t>PPN-60625_RemoveLicExcp_ActiveInactiveStatus_01~PPN-74238_ClassF_RemoveLicExcp_ActiveInactiveStatus_01</t>
  </si>
  <si>
    <t>PPN-59913_ExpirationDateForLicenseException_03~PPN-59913_ExpirationDateForLicenseException_04~PPN-59923_LicenseSection_RemoveLicenseExcep_NoLicense01~PPN-59923_LicenseSection_AddLicenseExcep_02~PPN-59923_LicenseSection_RemoveLicenseExcep_03~PPN-74239_ClassF_LicenseSection_RemoveLicenseExcep_NoLicense01~PPN-74239_ClassF_LicenseSection_AddLicenseExcep_02~PPN-74239_ClassF_LicenseSection_RemoveLicenseExcep_03</t>
  </si>
  <si>
    <t>PPN-60626_AddLicenseWithActiveLicenseInTable_NON_IL_01~PPN-74237_ClassF_AddLicenseWithActiveLicenseInTable_NON_IL_01</t>
  </si>
  <si>
    <t>PPN-60626_AddLicenseWithActiveLicenseInTable_IL_02~PPN-74237_ClassF_AddLicenseWithActiveLicenseInTable_IL_02</t>
  </si>
  <si>
    <t xml:space="preserve">PPN-71310_Activation_Comments_SaveFunctionalityAndTableSetup_01~PPN-71310_Activation_Comments_SaveFunctionalityAndTableSetup_02~PPN-71312_Activation_Comments_EditModalSetup_01~PPN-71312_Activation_Comments_EditModalSetup_02~ _x000D_
PPN-74772_CommentsActivation_EditModal_x000D_
</t>
  </si>
  <si>
    <t>PPN-70821_ClassFOOP_NPI_OptionHeader_01~PPN-70816_ClassF_EditModal_Status_Validated_To_InValidated_TC01~PPN-70816_ClassF_EditModal_EndDate_Field_Validation_TC02</t>
  </si>
  <si>
    <t>PPN-70819_ClassF_OOPProviderNPI_AddNPIExcepPopup_01~PPN-70819_ClassF_OOPProviderNPI_AddNPIExcepPopup_NPIEndDate_02~PPN-70819_ClassF_OOPProviderNPI_AddNPIExcepPopup_Save_03~PPN-70818_ClassF_OOPProviderNPI_AddNPIExcepPopup_NPIEndDate_01</t>
  </si>
  <si>
    <t>PPN-70817_ClassF_OOP-NPIStatusReasonCodeRef_TC01~PPN-70817_ClassF_OOP-NPIStatusReasonCodeRef_TC02</t>
  </si>
  <si>
    <t>PPN-71101_EndDatingLastActiveLicSaveFunc_01~PPN-71101_EndDatingLastActiveLicSaveFunc_02~PPN-71101_EndDatingLastActiveLicCancelFunc_03~PPN-71101_EndDatingLastActiveLicSaveFunc_04</t>
  </si>
  <si>
    <t>PPN-74243_ClassF_RemoveLicExcp_SaveFunctionality_NON_IL_01~PPN-74243_ClassF_RemoveLicExcp_SaveFunctionality_IL_02</t>
  </si>
  <si>
    <t>PPN-70812_ClassF_OOP-NPIPractitionerEditModalInvalidatedEdit_01~PPN-70812_ClassF_OOP-NPIPractitionerEditModalInvalidatedEdit_02</t>
  </si>
  <si>
    <t>PPN-70813_ClassF_OOP-NPISectionPractitionerMaintenanceApplyTableRowActivationGR_TC01~PPN-70813_ClassF_OOP-NPISectionPractitionerMaintenanceApplyTableRowActivationGR_TC02</t>
  </si>
  <si>
    <t>PPN-74775_Activation_Comments_Tabbing_01~PPN-74775_Activation_Comments_Tabbing_02~PPN-74775_Activation_Comments_Tabbing_Edit_03~PPN-74775_Activation_Comments_Tabbing_Delete_04</t>
  </si>
  <si>
    <t>PPN-67293_Activation_LicenseTable_Tabbing_02~PPN-67293_Activation_License_AddLicense_Tabbing_03</t>
  </si>
  <si>
    <t>PPN-71036_EndDatingLastActiveLicense_01~PPN-74668_License_Edit_ExpandedModal_01~PPN-74668_License_Edit_ExpandedModal_LicenseNumber_Validations_02~PPN-74668_License_Edit_ExpandedModal_LicenseBody_Validations_03~PPN-74668_License_Edit_ExpandedModal_LicenseStatus_Validations_04~PPN-74668_License_Edit_ExpandedModal_IssueDate_Validations_05~PPN-74668_License_Edit_ExpandedModal_ExpDate_Validations_06</t>
  </si>
  <si>
    <t>PPN-74240_EditLicense_F_And_C_Class_TC01_To_04</t>
  </si>
  <si>
    <t>PPN-77460_ClassF_RemoveNPIExcep_NPINotFound_01</t>
  </si>
  <si>
    <t>PPN-77459_PPN-77457_ClassF_SaveCancelAndExcpetionRow_01</t>
  </si>
  <si>
    <t>PPN-77456_ClassF_RemoveNPIExcep_ActiveNPIStatus_Reason_01</t>
  </si>
  <si>
    <t>PPN-77456_ClassF_RemoveNPIExcep_ActiveNPIStatus_Reason_02</t>
  </si>
  <si>
    <t>PPN-77454_ClassF_OOP_NPI_CopyPaste_EditModal_01</t>
  </si>
  <si>
    <t>PPN-77454_ClassF_OOP_NPI_CopyPaste_EditModal_02</t>
  </si>
  <si>
    <t>PPN-70831_ClassF_OOP_NPI_StatusUpdated_EditModal_To_Validated_01</t>
  </si>
  <si>
    <t>PPN-70829_ClassF_OOPNPInotinNPPESRegistryEditModal_01</t>
  </si>
  <si>
    <t>PPN-70829_ClassF_OOPNPInotinNPPESRegistryEditModal_02</t>
  </si>
  <si>
    <t>PPN-70828_ClassF_OOPNPISave_CancelPostImplEditModal_01</t>
  </si>
  <si>
    <t>PPN-70827_ClassF_OOP_NPI_EditNpi_EndDateFieldValidation_01</t>
  </si>
  <si>
    <t>PPN-70825_ClassF_OOP_NPI_Sorting_Remove NPI ExceptionModal_01</t>
  </si>
  <si>
    <t>PPN-70825_ClassF_OOP_NPI_Sorting_Edit_Modal_02</t>
  </si>
  <si>
    <t>PPN-77458_ClassF_OOP_NPI_table_TabbingGR_TC01</t>
  </si>
  <si>
    <t>PPN-77458_ClassF_OOP_NPI_table_TabbingGR_TC02</t>
  </si>
  <si>
    <t>PPN-77458_ClassF_OOP_NPI_table_TabbingGR_TC03</t>
  </si>
  <si>
    <t>PPN-77458_ClassF_OOP_NPI_RemoveExceptionModal_TabbingGR_TC04</t>
  </si>
  <si>
    <t>PPN-77458_ClassF_OOP_NPI_RemoveExceptionModal_TabbingGR_TC05</t>
  </si>
  <si>
    <t>PPN-77458_ClassF_OOP_NPI_AddExceptionModal_TabbingGR_TC06</t>
  </si>
  <si>
    <t>PPN-70830_ClassF_OOP_NPI_Sorting_TableMode_01</t>
  </si>
  <si>
    <t>PPN-70830_ClassF_OOP_NPI_Sorting_TableMode_02</t>
  </si>
  <si>
    <t>PPN-47499_ClassFState_defaulted_Activation_AddnewLicense_Modal_TC001</t>
  </si>
  <si>
    <t>PPN-47499_ClassFState_defaulted_Activation_AddnewLicense_Modal_TC002</t>
  </si>
  <si>
    <t>PPN-47509_PPN-47510_ClassFLicenseEditModal_01</t>
  </si>
  <si>
    <t>PPN-47509_PPN-47510_ClassFLicenseEditModal_02</t>
  </si>
  <si>
    <t>PPN-47509_PPN-47510_ClassFLicenseEditModal_03</t>
  </si>
  <si>
    <t>PPN-47509_PPN-47510_ClassFLicenseEditModal_04</t>
  </si>
  <si>
    <t>PPN-47509_PPN-47510_ClassFLicenseEditModal_05</t>
  </si>
  <si>
    <t>PPN-47663_PPN-47662_ClassFLicenseModalAddNew_1</t>
  </si>
  <si>
    <t>PPN-47663_PPN-47662_ClassFLicenseModalAddNew_2</t>
  </si>
  <si>
    <t>PPN-47663_PPN-47662_ClassFLicenseModalAddNew_3</t>
  </si>
  <si>
    <t>PPN-47663_PPN-47662_ClassFLicenseModalAddNew_4</t>
  </si>
  <si>
    <t>PPN-47663_PPN-47662_ClassFLicenseModalAddNew_5</t>
  </si>
  <si>
    <t>PPN-47664_ClassFLicenseMaintenanceLicenseCertificationNumberValidations_001</t>
  </si>
  <si>
    <t>PPN-47664_ClassFLicenseMaintenanceLicenseCertificationNumberValidations_002</t>
  </si>
  <si>
    <t>PPN-47664_ClassFLicenseMaintenanceLicenseCertificationNumberValidations_003</t>
  </si>
  <si>
    <t>PPN-47664_ClassFLicenseMaintenanceLicenseCertificationNumberValidations_004</t>
  </si>
  <si>
    <t>PPN-74671_ClassFLicense_Edit_ExpandedModal_01</t>
  </si>
  <si>
    <t>PPN-74671_ClassFLicense_Edit_ExpandedModal_LicenseNumber_Validations_02</t>
  </si>
  <si>
    <t>PPN-74671_ClassFLicense_Edit_ExpandedModal_LicenseBody_Validations_03</t>
  </si>
  <si>
    <t>PPN-74671_ClassFLicense_Edit_ExpandedModal_LicenseStatus_Validations_04</t>
  </si>
  <si>
    <t>PPN-74671_ClassFLicense_Edit_ExpandedModal_IssueDate_Validations_05</t>
  </si>
  <si>
    <t>PPN-74671_ClassFLicense_Edit_ExpandedModal_ExpDate_Validations_06</t>
  </si>
  <si>
    <t>PPN-47529_ClassFAddLicenseExceptionModal_DateValidation_001</t>
  </si>
  <si>
    <t>PPN-47529_ClassFRemoveLicenseExceptionModal_DateValidation_002</t>
  </si>
  <si>
    <t>PPN-47531_ClassFAdd LicenseExceptionWithMultipleActiveLicenses_TC01</t>
  </si>
  <si>
    <t>PPN-47531_ClassFAdd LicenseExceptionWithSingleActiveLicense_TC02</t>
  </si>
  <si>
    <t>PPN-47531_ClassFAdd LicenseExceptionWithoutActiveLicense_TC03</t>
  </si>
  <si>
    <t>PPN-47500_ClassFDateValidation_AddNew_Modal_License_TC001</t>
  </si>
  <si>
    <t>PPN-47500_ClassFDateValidation_AddNew_Modal_License_Section_TC002</t>
  </si>
  <si>
    <t>PPN-47500_ClassFDateValidation_Edit_Modal_License_Section_TC003</t>
  </si>
  <si>
    <t>PPN-47500_ClassFDateValidation_Edit_Modal_License_Section_TC004</t>
  </si>
  <si>
    <t>PPN-47670_ClassFLicenseAddNewAfterRemovingException_01</t>
  </si>
  <si>
    <t>PPN-47670_ClassFLicenseAddNewAfterRemovingException_02</t>
  </si>
  <si>
    <t>PPN-47670_ClassFLicenseAddNewAfterRemovingException_03</t>
  </si>
  <si>
    <t>PPN-47670_ClassFLicenseAddNewAfterRemovingException_04</t>
  </si>
  <si>
    <t>PPN-47676_ClassFLicense_Maintenance_Apply_TableRowActivation_GR_001</t>
  </si>
  <si>
    <t>PPN-47501_ClassFLicense_Section_Maintenance_Apply_Edit_Mode_V1_001</t>
  </si>
  <si>
    <t>PPN-47501_ClassFLicenseMaintenance_Apply_Edit_Mode_V1_002</t>
  </si>
  <si>
    <t>PPN-65400_ClassFAddAddrTyp_TaxExcl_01</t>
  </si>
  <si>
    <t>PPN-65402_ClassFAddAddrTyp_TaxExcl_01</t>
  </si>
  <si>
    <t>PPN-65402_ClassFAddAddrTyp_TaxExcl_02</t>
  </si>
  <si>
    <t>PPN-67291_ActivationLicenseAccordionGreenCheckMarkGR_01</t>
  </si>
  <si>
    <t>PPN-67291_ActivationLicenseAccordionGreenCheckMarkGR_02</t>
  </si>
  <si>
    <t>PPN-67291_ActivationLicenseAccordionGreenCheckMarkGR_03</t>
  </si>
  <si>
    <t>PPN-67292_ActivationLicenseAccordionRedExclamationMarkGR_01</t>
  </si>
  <si>
    <t>PPN-67292_ActivationLicenseAccordionRedExclamationMarkGR_02</t>
  </si>
  <si>
    <t>PPN-76835_ActivationFacilityServiceRatesandBedCapacityAccSetUp_01</t>
  </si>
  <si>
    <t>PPN-77570_ActiFacilityServiceRatesBedCapacityAccoFormSetup_01</t>
  </si>
  <si>
    <t>PPN-77570_ActiFacilityServiceRatesBedCapacityAccoFormSetup_02</t>
  </si>
  <si>
    <t>PPN-77570_ActiFacilityServiceRatesBedCapacityAccoFormSetup_03</t>
  </si>
  <si>
    <t>PPN-76837_ActiFacilityServiceRatesTableSetup_01</t>
  </si>
  <si>
    <t>PPN-77420_ActiFacilityBedCapacityTableSetup_01</t>
  </si>
  <si>
    <t>PPN-77420_ActiFacilityBedCapacityTableSetup_02</t>
  </si>
  <si>
    <t>PPN-76212_ActiFacilityServiceRatesDeleteModal_01</t>
  </si>
  <si>
    <t>PPN-76212_ActiFacilityServiceRatesDeleteModal_02</t>
  </si>
  <si>
    <t>PPN-77428_ActiFacilityBedCapacityDeleteModal_01</t>
  </si>
  <si>
    <t>PPN-77428_ActiFacilityBedCapacityDeleteModal_02</t>
  </si>
  <si>
    <t>PPN-77634_ActiFacilityBedCapacityDeletingTableRows_01</t>
  </si>
  <si>
    <t>PPN-77634_ActiFacilityBedCapacityDeletingTableRows_02</t>
  </si>
  <si>
    <t>PPN-77634_ActiFacilityBedCapacityDeletingTableRows_03</t>
  </si>
  <si>
    <t>PPN-76839_ActiServiceRatesNDBedCapacityGreenCheck_01</t>
  </si>
  <si>
    <t>PPN-76839_ActiServiceRatesNDBedCapacityGreenCheck_02</t>
  </si>
  <si>
    <t>PPN-76206_ServiceRatesActivation_AddNewServiceRatesModal_01</t>
  </si>
  <si>
    <t>PPN-76206_ServiceRatesActivation_AddNewServiceRatesModal_02</t>
  </si>
  <si>
    <t>PPN-76206_ServiceRatesActivation_AddNewServiceRatesModal_03</t>
  </si>
  <si>
    <t>PPN-76840_ServiceRatesActivation_EditServiceRatesModal</t>
  </si>
  <si>
    <t>PPN-77422_BedCapacityActivation_AddNewBedTypeandCountModal</t>
  </si>
  <si>
    <t>PPN-77422_BedCapacityActivation_AddNewBedTypeandCountModal_02</t>
  </si>
  <si>
    <t>PPN-77439_BedCapacityActivation_EditBedCapacityModal</t>
  </si>
  <si>
    <t>PPN-77434_PPN-76852_Activation_ServiceRatesAndBedCapacity_Accordian_Tabbing_01</t>
  </si>
  <si>
    <t>PPN-77434_Activation_AddBedTypeModal_Tabbing_02</t>
  </si>
  <si>
    <t>PPN-77434_Activation_EditBedCapacityModal_Tabbing_03</t>
  </si>
  <si>
    <t>PPN-76852_Activation_AddNewServiceRatesModal_Tabbing_02</t>
  </si>
  <si>
    <t>PPN-76852_Activation_EditServiceRatesModal_Tabbing_03</t>
  </si>
  <si>
    <t>PPN-76865_Unit_Charged_Table_mode_Service_Rates_01</t>
  </si>
  <si>
    <t>PPN-76865_Unit_Charged_Add_Modal_Service_Rates_02</t>
  </si>
  <si>
    <t>PPN-76865_Unit_Charged_Edit_Modal_Service_Rates_03</t>
  </si>
  <si>
    <t>PPN-77433_Upper_Case_Table_mode_Bed_Capacity_01</t>
  </si>
  <si>
    <t>PPN-77430_Sorting_Table_mode_Bed_Capacity_01</t>
  </si>
  <si>
    <t>PPN-76830_Sorting_Table_mode_Service_Rates_01</t>
  </si>
  <si>
    <t>PPN-76863_Program_Code_Table_mode_Service_Rates_01</t>
  </si>
  <si>
    <t>PPN-76863_Program_Code_Add_Modal_Service_Rates_02</t>
  </si>
  <si>
    <t>PPN-76849_Bill_Code_Table_mode_Service_Rates_01</t>
  </si>
  <si>
    <t>PPN-76849_Bill_Code_Add_Modal_Service_Rates_02</t>
  </si>
  <si>
    <t>PPN-76864_Bill_Rate_Table_mode_Service_Rates_01</t>
  </si>
  <si>
    <t>PPN-76864_Bill_Rate_Table_mode_Service_Rates_02</t>
  </si>
  <si>
    <t>PPN-76864_Bill_Rate_Table_mode_Service_Rates_03</t>
  </si>
  <si>
    <t>PPN-77421_Bed_Type_Table_mode_Bed_Capacity_01</t>
  </si>
  <si>
    <t>PPN-77421_Bed_Type_Add_Modal_Bed_Capacity_02</t>
  </si>
  <si>
    <t>PPN-77423_Bed_Count_Table_mode_Bed_Capacity_01</t>
  </si>
  <si>
    <t>PPN-77423_Bed_Count_Add_modal_Bed_Capacity_02</t>
  </si>
  <si>
    <t>PPN-77423_Bed_Count_Edit_modal_Bed_Capacity_03</t>
  </si>
  <si>
    <t>PPN-76853_Upper_Case_Table_mode_Service Rate_01</t>
  </si>
  <si>
    <t>PPN-77460</t>
  </si>
  <si>
    <t>PPN-77456</t>
  </si>
  <si>
    <t>PPN-77454</t>
  </si>
  <si>
    <t>PPN-70831</t>
  </si>
  <si>
    <t>PPN-70829</t>
  </si>
  <si>
    <t>PPN-70828</t>
  </si>
  <si>
    <t>PPN-70827</t>
  </si>
  <si>
    <t>PPN-70825</t>
  </si>
  <si>
    <t>PPN-77458</t>
  </si>
  <si>
    <t>PPN-70830</t>
  </si>
  <si>
    <t>PPN-47499</t>
  </si>
  <si>
    <t>PPN-47664</t>
  </si>
  <si>
    <t>PPN-74671</t>
  </si>
  <si>
    <t>PPN-47529</t>
  </si>
  <si>
    <t>PPN-47531</t>
  </si>
  <si>
    <t>PPN-47500</t>
  </si>
  <si>
    <t>PPN-47670</t>
  </si>
  <si>
    <t>PPN-47676</t>
  </si>
  <si>
    <t>PPN-47501</t>
  </si>
  <si>
    <t>PPN-65400</t>
  </si>
  <si>
    <t>PPN-65402</t>
  </si>
  <si>
    <t>PPN-67291</t>
  </si>
  <si>
    <t>PPN-67292</t>
  </si>
  <si>
    <t>PPN-76835</t>
  </si>
  <si>
    <t>PPN-77570</t>
  </si>
  <si>
    <t>PPN-76837</t>
  </si>
  <si>
    <t>PPN-77420</t>
  </si>
  <si>
    <t>PPN-76212</t>
  </si>
  <si>
    <t>PPN-77428</t>
  </si>
  <si>
    <t>PPN-77634</t>
  </si>
  <si>
    <t>PPN-76839</t>
  </si>
  <si>
    <t>PPN-76206</t>
  </si>
  <si>
    <t>PPN-76840</t>
  </si>
  <si>
    <t>PPN-77422</t>
  </si>
  <si>
    <t>PPN-77439</t>
  </si>
  <si>
    <t>PPN-77434</t>
  </si>
  <si>
    <t>PPN-76852</t>
  </si>
  <si>
    <t>PPN-76865</t>
  </si>
  <si>
    <t>PPN-77433</t>
  </si>
  <si>
    <t>PPN-77430</t>
  </si>
  <si>
    <t>PPN-76830</t>
  </si>
  <si>
    <t>PPN-76863</t>
  </si>
  <si>
    <t>PPN-76849</t>
  </si>
  <si>
    <t>PPN-76864</t>
  </si>
  <si>
    <t>PPN-77421</t>
  </si>
  <si>
    <t>PPN-77423</t>
  </si>
  <si>
    <t>PPN-76853</t>
  </si>
  <si>
    <t>PPN-77459, PPN-77457</t>
  </si>
  <si>
    <t>PPN-47509, PPN-47510</t>
  </si>
  <si>
    <t>PPN-47663, PPN-47662</t>
  </si>
  <si>
    <t>PPN-77434, PPN-76852</t>
  </si>
  <si>
    <t>PPN-70756_PPN-70801_PPN-70829_ClassF</t>
  </si>
  <si>
    <t>PPN-70762_PPN-77460_OOPRemoveNPIModal_01</t>
  </si>
  <si>
    <t>70773_77459_77457_OOPNPIRemoveExceptionButton_01</t>
  </si>
  <si>
    <t>PPN-70778_PPN-70831_ClassF_OOPNPISave_CancelPostImplEdit_01</t>
  </si>
  <si>
    <t>PPN-70825_ClassF_OOP_NPI_Sorting_Edit_Modal_01_02</t>
  </si>
  <si>
    <t>PPN-70830_ClassF_OOP_NPI_Sorting_TableMode_01_02</t>
  </si>
  <si>
    <t>PPN-47499_ClassFStateActivation_AddnewLic_Modal_01</t>
  </si>
  <si>
    <t>PPN-47499_ClassFStateActivation_AddnewLic_Modal_02</t>
  </si>
  <si>
    <t>PPN-47509_PPN-47510_EditLic_TC01_To_TC05</t>
  </si>
  <si>
    <t>PPN-47663_PPN-47662_ClassFAddNewLic_01_05</t>
  </si>
  <si>
    <t>PPN-47664_ClassFLicCertiNumValidation_01_04</t>
  </si>
  <si>
    <t>PPN-74671_ClassF_EndDatingLastActiveLicense</t>
  </si>
  <si>
    <t>PPN-47670_TC04_PPN-47529_TC01_ClassF</t>
  </si>
  <si>
    <t>PPN-47529_ClassFAddLicExc_DateValidation_02</t>
  </si>
  <si>
    <t>PPN-47531_ClassFAddLicExc_TC01</t>
  </si>
  <si>
    <t>PPN-47531_ClassFAddLicExc_TC02_ND_03</t>
  </si>
  <si>
    <t>PPN-47500_ClassFAddLicense_DateValidation_TC01_02</t>
  </si>
  <si>
    <t>PPN-47500_ClassFEditLicense_DateValidation_TC03_04</t>
  </si>
  <si>
    <t>PPN-47670_ClassFLicAddNewAfterRemovExc_01</t>
  </si>
  <si>
    <t>PPN-47670_ClassFLicAddNewAfterRemovExc_02</t>
  </si>
  <si>
    <t>PPN-47670_ClassFLicAddNewAfterRemovExc_03</t>
  </si>
  <si>
    <t>PPN-47676_ClassFLic_MaintTableRowAct_01</t>
  </si>
  <si>
    <t>PPN-47501_License_SaveFunctionality_01_02</t>
  </si>
  <si>
    <t>PPN-65400_ClassFTaxExclusionTaxIDExpandedView_01</t>
  </si>
  <si>
    <t>PPN-65402_ClassF_AddTaxExclusion</t>
  </si>
  <si>
    <t>PPN-65402_ClassF_TaxExclusionEditModalSetup</t>
  </si>
  <si>
    <t>PPN-67291_ActivationLicenseAccordionGreenCheckMarkGR</t>
  </si>
  <si>
    <t>PPN-67292_ActivationLicenseAccordionRedExclamationMarkGR</t>
  </si>
  <si>
    <t>PPN-77570_ActiFacilityServiceRatesBedCapacityAccoFormSetup</t>
  </si>
  <si>
    <t>PPN-76837_ActiFacilityServiceRatesTableSetup</t>
  </si>
  <si>
    <t>PPN-76212_ActiFacilityServiceRatesDeleteModal</t>
  </si>
  <si>
    <t>PPN-77428_ActiFacilityBedCapacityDeleteModal</t>
  </si>
  <si>
    <t>PPN-77634_ActiFacilityBedCapacityDeletingTableRows</t>
  </si>
  <si>
    <t>PPN-76839_ActiServiceRatesNDBedCapacityGreenCheck</t>
  </si>
  <si>
    <t>PPN-76206_AddNewServiceRatesModal</t>
  </si>
  <si>
    <t>PPN-76865_UnitsChargedFieldValidations_01_To_03</t>
  </si>
  <si>
    <t>PPN-76853_PPN-77433_PPN-77430_PPN-76830</t>
  </si>
  <si>
    <t>PPN-76863_ActiFacilityServiceRateProgramCodeDropDown</t>
  </si>
  <si>
    <t>PPN-76849_ActiFacilityServiceRateBillCodeDropDown</t>
  </si>
  <si>
    <t>PPN-76864_ActiFacilityServiceRateBillRateDropDown</t>
  </si>
  <si>
    <t>PPN-77421_PPN-77423_BedTypeAndCountFieldValidations</t>
  </si>
  <si>
    <t>PPN-70801_ClassF_OOPNPInotinNPPESRegistryEditModal_01~PPN-70801_ClassF_OOPNPInotinNPPESRegistryEditModal_02~PPN-70756_EditModal_Status_Validated_To_NotValidated_TC01~PPN-70756_EditModal_EndDate_Field_Validation_TC02~PPN-70829_ClassF_OOPNPInotinNPPESRegistryEditModal_01~PPN-70829_ClassF_OOPNPInotinNPPESRegistryEditModal_02</t>
  </si>
  <si>
    <t>PPN-70778_ClassF_OOPNPISaveCancelPostImplEditModal_01~PPN-70831_ClassF_OOP_NPI_StatusUpdated_EditModal_To_Validated_01</t>
  </si>
  <si>
    <t>PPN-70773_OOPNPIRemoveExceptionButton_01~PPN-77459_PPN-77457_ClassF_SaveCancelAndExcpetionRow_01</t>
  </si>
  <si>
    <t>PPN-70762_OOP_NPI_RemoveNPIModalFormSetup_01~PPN-77460_ClassF_RemoveNPIExcep_NPINotFound_01</t>
  </si>
  <si>
    <t>PPN-70825_ClassF_OOP_NPI_Sorting_Remove NPI ExceptionModal_01~PPN-70825_ClassF_OOP_NPI_Sorting_Edit_Modal_02</t>
  </si>
  <si>
    <t>PPN-70830_ClassF_OOP_NPI_Sorting_TableMode_01~PPN-70830_ClassF_OOP_NPI_Sorting_TableMode_02</t>
  </si>
  <si>
    <t>PPN-47509_PPN-47510_ClassFLicenseEditModal_01~PPN-47509_PPN-47510_ClassFLicenseEditModal_02~PPN-47509_PPN-47510_ClassFLicenseEditModal_03~PPN-47509_PPN-47510_ClassFLicenseEditModal_04~PPN-47509_PPN-47510_ClassFLicenseEditModal_05</t>
  </si>
  <si>
    <t>PPN-47663_PPN-47662_ClassFLicenseModalAddNew_1~PPN-47663_PPN-47662_ClassFLicenseModalAddNew_2~PPN-47663_PPN-47662_ClassFLicenseModalAddNew_3~PPN-47663_PPN-47662_ClassFLicenseModalAddNew_4~PPN-47663_PPN-47662_ClassFLicenseModalAddNew_5</t>
  </si>
  <si>
    <t>PPN-47664_ClassFLicenseMaintenanceLicenseCertificationNumberValidations_001~PPN-47664_ClassFLicenseMaintenanceLicenseCertificationNumberValidations_002~PPN-47664_ClassFLicenseMaintenanceLicenseCertificationNumberValidations_003~PPN-47664_ClassFLicenseMaintenanceLicenseCertificationNumberValidations_004</t>
  </si>
  <si>
    <t>PPN-74671_ClassFLicense_Edit_ExpandedModal_01~PPN-74671_ClassFLicense_Edit_ExpandedModal_LicenseNumber_Validations_02~PPN-74671_ClassFLicense_Edit_ExpandedModal_LicenseBody_Validations_03~PPN-74671_ClassFLicense_Edit_ExpandedModal_LicenseStatus_Validations_04~PPN-74671_ClassFLicense_Edit_ExpandedModal_IssueDate_Validations_05~PPN-74671_ClassFLicense_Edit_ExpandedModal_ExpDate_Validations_06</t>
  </si>
  <si>
    <t>PPN-47529_ClassFAddLicenseExceptionModal_DateValidation_001~PPN-47670_ClassFLicenseAddNewAfterRemovingException_04</t>
  </si>
  <si>
    <t>PPN-47531_ClassFAdd LicenseExceptionWithSingleActiveLicense_TC02~PPN-47531_ClassFAdd LicenseExceptionWithoutActiveLicense_TC03</t>
  </si>
  <si>
    <t>PPN-47500_ClassFDateValidation_AddNew_Modal_License_TC001~PPN-47500_ClassFDateValidation_AddNew_Modal_License_Section_TC002</t>
  </si>
  <si>
    <t>PPN-47500_ClassFDateValidation_Edit_Modal_License_Section_TC003~PPN-47500_ClassFDateValidation_Edit_Modal_License_Section_TC004</t>
  </si>
  <si>
    <t>PPN-47501_ClassFLicense_Section_Maintenance_Apply_Edit_Mode_V1_001~PPN-47501_ClassFLicenseMaintenance_Apply_Edit_Mode_V1_002</t>
  </si>
  <si>
    <t>PPN-67291_ActivationLicenseAccordionGreenCheckMarkGR_01~PPN-67291_ActivationLicenseAccordionGreenCheckMarkGR_02~PPN-67291_ActivationLicenseAccordionGreenCheckMarkGR_03</t>
  </si>
  <si>
    <t>PPN-67292_ActivationLicenseAccordionRedExclamationMarkGR_01~PPN-67292_ActivationLicenseAccordionRedExclamationMarkGR_02</t>
  </si>
  <si>
    <t>PPN-77570_ActiFacilityServiceRatesBedCapacityAccoFormSetup_01~PPN-77570_ActiFacilityServiceRatesBedCapacityAccoFormSetup_02~PPN-77570_ActiFacilityServiceRatesBedCapacityAccoFormSetup_03</t>
  </si>
  <si>
    <t>PPN-76212_ActiFacilityServiceRatesDeleteModal_01~PPN-76212_ActiFacilityServiceRatesDeleteModal_02</t>
  </si>
  <si>
    <t>PPN-77428_ActiFacilityBedCapacityDeleteModal_01~PPN-77428_ActiFacilityBedCapacityDeleteModal_02</t>
  </si>
  <si>
    <t>PPN-77634_ActiFacilityBedCapacityDeletingTableRows_01~PPN-77634_ActiFacilityBedCapacityDeletingTableRows_02~PPN-77634_ActiFacilityBedCapacityDeletingTableRows_03</t>
  </si>
  <si>
    <t>PPN-76839_ActiServiceRatesNDBedCapacityGreenCheck_01~PPN-76839_ActiServiceRatesNDBedCapacityGreenCheck_02</t>
  </si>
  <si>
    <t>PPN-76206_ServiceRatesActivation_AddNewServiceRatesModal_01~PPN-76206_ServiceRatesActivation_AddNewServiceRatesModal_02~PPN-76206_ServiceRatesActivation_AddNewServiceRatesModal_03</t>
  </si>
  <si>
    <t>PPN-76865_Unit_Charged_Table_mode_Service_Rates_01~PPN-76865_Unit_Charged_Add_Modal_Service_Rates_02~PPN-76865_Unit_Charged_Edit_Modal_Service_Rates_03</t>
  </si>
  <si>
    <t>PPN-77433_Upper_Case_Table_mode_Bed_Capacity_01~PPN-77430_Sorting_Table_mode_Bed_Capacity_01~PPN-76830_Sorting_Table_mode_Service_Rates_01~PPN-76853_Upper_Case_Table_mode_Service Rate_01</t>
  </si>
  <si>
    <t>PPN-76863_Program_Code_Table_mode_Service_Rates_01~PPN-76863_Program_Code_Add_Modal_Service_Rates_02</t>
  </si>
  <si>
    <t>PPN-76849_Bill_Code_Table_mode_Service_Rates_01~PPN-76849_Bill_Code_Add_Modal_Service_Rates_02</t>
  </si>
  <si>
    <t>PPN-76864_Bill_Rate_Table_mode_Service_Rates_01~PPN-76864_Bill_Rate_Table_mode_Service_Rates_02~PPN-76864_Bill_Rate_Table_mode_Service_Rates_03</t>
  </si>
  <si>
    <t>PPN-77421_Bed_Type_Table_mode_Bed_Capacity_01~PPN-77421_Bed_Type_Add_Modal_Bed_Capacity_02~PPN-77423_Bed_Count_Table_mode_Bed_Capacity_01~PPN-77423_Bed_Count_Add_modal_Bed_Capacity_02~PPN-77423_Bed_Count_Edit_modal_Bed_Capacity_03</t>
  </si>
  <si>
    <t>Regression Defect: PPN-75439 : SP16 - Hulks - V19 Regression - UI Service Integration</t>
  </si>
  <si>
    <r>
      <rPr>
        <b/>
        <sz val="11"/>
        <color theme="1"/>
        <rFont val="Calibri"/>
        <family val="2"/>
        <scheme val="minor"/>
      </rPr>
      <t>21-JAN-2020 :</t>
    </r>
    <r>
      <rPr>
        <sz val="11"/>
        <color theme="1"/>
        <rFont val="Calibri"/>
        <family val="2"/>
        <scheme val="minor"/>
      </rPr>
      <t xml:space="preserve"> Logged Following Regression Defect: PPN-82670 - PPN2020 SP01 - Regression - Team Ultrons - 'License /Certification Body' Field Not Sorted Correctly In Add and Edit License Modal</t>
    </r>
  </si>
  <si>
    <t>21-JAN-2020 : Regression Deffect || PPN-71703 || SP15 - Ultrons - Regression - List Screens sorting not working.</t>
  </si>
  <si>
    <r>
      <rPr>
        <b/>
        <sz val="11"/>
        <color theme="1"/>
        <rFont val="Calibri"/>
        <family val="2"/>
        <scheme val="minor"/>
      </rPr>
      <t xml:space="preserve">21-JAN-2020 : </t>
    </r>
    <r>
      <rPr>
        <sz val="11"/>
        <color theme="1"/>
        <rFont val="Calibri"/>
        <family val="2"/>
        <scheme val="minor"/>
      </rPr>
      <t>PPN-82668 - PPN2020 SP01 - Regression - Ultrons - Sorting functionality is not working correctly for 'Date Added' Column of Comments</t>
    </r>
  </si>
  <si>
    <t>21-JAN-2020 : PPN-75439 - SP16 - Hulks - V19 Regression - UI Service Integration</t>
  </si>
  <si>
    <t>21-JAN-2020 : PPN-82670 - PPN2020 SP01 - Regression - Team Ultrons - 'License /Certification Body' Field Not Sorted Correctly In Add and Edit License Modal</t>
  </si>
  <si>
    <t xml:space="preserve">PPN-48130_TaxExclusionDeleteTaxExclusionModal_01
</t>
  </si>
  <si>
    <t xml:space="preserve">PPN-47712_TaxExclusionTaxIDExpandedView_01
</t>
  </si>
  <si>
    <t>PPN-77422_AddNewBedTypeModal</t>
  </si>
  <si>
    <t>PPN-77434_PPN-76852_TableAndModalTabbing</t>
  </si>
  <si>
    <t>PPN-77434_BedTypeCount_AddEditModalTabbing</t>
  </si>
  <si>
    <t>PPN-76852_ServiceRates_AddEditModalTabbing</t>
  </si>
  <si>
    <t>PPN-77422_BedCapacityActivation_AddNewBedTypeandCountModal~PPN-77422_BedCapacityActivation_AddNewBedTypeandCountModal_02</t>
  </si>
  <si>
    <t>PPN-77434_Activation_AddBedTypeModal_Tabbing_02~PPN-77434_Activation_EditBedCapacityModal_Tabbing_03</t>
  </si>
  <si>
    <t>PPN-76852_Activation_AddNewServiceRatesModal_Tabbing_02~PPN-76852_Activation_EditServiceRatesModal_Tabbing_03</t>
  </si>
  <si>
    <t xml:space="preserve">PPN-77456_ClassF_RemoveNPIExcep_ActiveNPIStatus_Reason_01~PPN-77456_ClassF_RemoveNPIExcep_ActiveNPIStatus_Reason_02~PPN-77458_ClassF_OOP_NPI_table_TabbingGR_TC01~PPN-77458_ClassF_OOP_NPI_table_TabbingGR_TC02~PPN-77458_ClassF_OOP_NPI_table_TabbingGR_TC03~PPN-77458_ClassF_OOP_NPI_RemoveExceptionModal_TabbingGR_TC04~PPN-77458_ClassF_OOP_NPI_RemoveExceptionModal_TabbingGR_TC05~PPN-77458_ClassF_OOP_NPI_AddExceptionModal_TabbingGR_TC06~PPN-48130_TaxExclusionDeleteTaxExclusionModal_01
~PPN-47712_TaxExclusionTaxIDExpandedView_01
</t>
  </si>
  <si>
    <t>Exec_Result_21_JAN_2020</t>
  </si>
</sst>
</file>

<file path=xl/styles.xml><?xml version="1.0" encoding="utf-8"?>
<styleSheet xmlns="http://schemas.openxmlformats.org/spreadsheetml/2006/main" xmlns:mc="http://schemas.openxmlformats.org/markup-compatibility/2006" xmlns:x14ac="http://schemas.microsoft.com/office/spreadsheetml/2009/9/ac" mc:Ignorable="x14ac">
  <fonts count="105"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sz val="11"/>
      <color theme="1"/>
      <name val="Calibri"/>
      <family val="2"/>
    </font>
    <font>
      <sz val="11"/>
      <color theme="1"/>
      <name val="Calibri"/>
      <family val="2"/>
    </font>
    <font>
      <sz val="11"/>
      <color theme="1"/>
      <name val="Calibri"/>
      <family val="2"/>
    </font>
    <font>
      <sz val="10"/>
      <color rgb="FF000000"/>
      <name val="Arial"/>
      <family val="2"/>
    </font>
    <font>
      <b/>
      <sz val="10"/>
      <color theme="0"/>
      <name val="Cambria"/>
      <family val="1"/>
    </font>
    <font>
      <sz val="10"/>
      <color theme="1"/>
      <name val="Cambria"/>
      <family val="1"/>
    </font>
    <font>
      <b/>
      <sz val="10"/>
      <color indexed="81"/>
      <name val="Tahoma"/>
      <family val="2"/>
    </font>
    <font>
      <sz val="8"/>
      <color indexed="81"/>
      <name val="Tahoma"/>
      <family val="2"/>
    </font>
    <font>
      <b/>
      <sz val="8"/>
      <color indexed="81"/>
      <name val="Tahoma"/>
      <family val="2"/>
    </font>
    <font>
      <b/>
      <sz val="9"/>
      <color indexed="81"/>
      <name val="Tahoma"/>
      <family val="2"/>
    </font>
    <font>
      <b/>
      <sz val="9"/>
      <color theme="0"/>
      <name val="Cambria"/>
      <family val="1"/>
      <scheme val="major"/>
    </font>
    <font>
      <sz val="9"/>
      <color theme="1"/>
      <name val="Cambria"/>
      <family val="1"/>
      <scheme val="major"/>
    </font>
    <font>
      <sz val="9"/>
      <color theme="0" tint="-0.499984740745262"/>
      <name val="Cambria"/>
      <family val="1"/>
      <scheme val="major"/>
    </font>
    <font>
      <b/>
      <sz val="9"/>
      <color theme="0" tint="-0.499984740745262"/>
      <name val="Cambria"/>
      <family val="1"/>
      <scheme val="major"/>
    </font>
    <font>
      <b/>
      <sz val="9"/>
      <color theme="1"/>
      <name val="Cambria"/>
      <family val="1"/>
      <scheme val="major"/>
    </font>
    <font>
      <sz val="9"/>
      <color rgb="FF000000"/>
      <name val="Cambria"/>
      <family val="1"/>
      <scheme val="major"/>
    </font>
    <font>
      <b/>
      <sz val="9"/>
      <color rgb="FFFF0000"/>
      <name val="Cambria"/>
      <family val="1"/>
      <scheme val="major"/>
    </font>
    <font>
      <sz val="9"/>
      <color rgb="FF000000"/>
      <name val="Arial"/>
      <family val="2"/>
    </font>
    <font>
      <b/>
      <sz val="11"/>
      <color theme="1"/>
      <name val="Calibri"/>
      <family val="2"/>
      <scheme val="minor"/>
    </font>
    <font>
      <b/>
      <sz val="14"/>
      <color rgb="FFFFFFFF"/>
      <name val="Calibri"/>
      <family val="2"/>
      <scheme val="minor"/>
    </font>
    <font>
      <b/>
      <sz val="14"/>
      <color rgb="FF000000"/>
      <name val="Calibri"/>
      <family val="2"/>
      <scheme val="minor"/>
    </font>
    <font>
      <sz val="14"/>
      <color rgb="FF000000"/>
      <name val="Calibri"/>
      <family val="2"/>
      <scheme val="minor"/>
    </font>
    <font>
      <b/>
      <sz val="12"/>
      <color rgb="FFFFFFFF"/>
      <name val="Calibri"/>
      <family val="2"/>
      <scheme val="minor"/>
    </font>
    <font>
      <sz val="12"/>
      <color rgb="FF000000"/>
      <name val="Calibri"/>
      <family val="2"/>
      <scheme val="minor"/>
    </font>
    <font>
      <b/>
      <sz val="10"/>
      <color rgb="FF000000"/>
      <name val="Arial"/>
      <family val="2"/>
    </font>
    <font>
      <b/>
      <sz val="11"/>
      <color theme="1"/>
      <name val="Calibri"/>
      <family val="2"/>
    </font>
    <font>
      <sz val="11"/>
      <color rgb="FF000000"/>
      <name val="Calibri"/>
      <family val="2"/>
    </font>
    <font>
      <b/>
      <sz val="11"/>
      <color rgb="FF000000"/>
      <name val="Calibri"/>
      <family val="2"/>
    </font>
    <font>
      <b/>
      <u/>
      <sz val="11"/>
      <color rgb="FF000000"/>
      <name val="Cambria"/>
      <family val="1"/>
    </font>
    <font>
      <b/>
      <sz val="11"/>
      <color rgb="FF000000"/>
      <name val="Cambria"/>
      <family val="1"/>
    </font>
    <font>
      <sz val="10"/>
      <color rgb="FF000000"/>
      <name val="Times New Roman"/>
      <family val="1"/>
    </font>
    <font>
      <b/>
      <sz val="11"/>
      <color rgb="FFFFFFFF"/>
      <name val="Calibri"/>
      <family val="2"/>
    </font>
    <font>
      <sz val="11"/>
      <color rgb="FF000000"/>
      <name val="Cambria"/>
      <family val="1"/>
    </font>
    <font>
      <sz val="10"/>
      <color indexed="9"/>
      <name val="Arial"/>
      <family val="2"/>
    </font>
    <font>
      <sz val="9"/>
      <color rgb="FF000000"/>
      <name val="Verdana"/>
      <family val="2"/>
    </font>
    <font>
      <sz val="10"/>
      <color rgb="FF333333"/>
      <name val="Arial"/>
      <family val="2"/>
    </font>
    <font>
      <sz val="11"/>
      <name val="Calibri"/>
      <family val="2"/>
      <scheme val="minor"/>
    </font>
  </fonts>
  <fills count="24">
    <fill>
      <patternFill patternType="none"/>
    </fill>
    <fill>
      <patternFill patternType="gray125"/>
    </fill>
    <fill>
      <patternFill patternType="solid">
        <fgColor theme="2" tint="-0.749992370372631"/>
        <bgColor indexed="64"/>
      </patternFill>
    </fill>
    <fill>
      <patternFill patternType="solid">
        <fgColor theme="3" tint="0.79998168889431442"/>
        <bgColor indexed="64"/>
      </patternFill>
    </fill>
    <fill>
      <patternFill patternType="solid">
        <fgColor rgb="FF215967"/>
        <bgColor indexed="64"/>
      </patternFill>
    </fill>
    <fill>
      <patternFill patternType="solid">
        <fgColor rgb="FF92D050"/>
        <bgColor indexed="64"/>
      </patternFill>
    </fill>
    <fill>
      <patternFill patternType="solid">
        <fgColor rgb="FF0070C0"/>
        <bgColor rgb="FF000000"/>
      </patternFill>
    </fill>
    <fill>
      <patternFill patternType="solid">
        <fgColor theme="0"/>
        <bgColor indexed="64"/>
      </patternFill>
    </fill>
    <fill>
      <patternFill patternType="solid">
        <fgColor rgb="FF4F81BD"/>
        <bgColor indexed="64"/>
      </patternFill>
    </fill>
    <fill>
      <patternFill patternType="solid">
        <fgColor rgb="FFFFFFFF"/>
        <bgColor indexed="64"/>
      </patternFill>
    </fill>
    <fill>
      <patternFill patternType="solid">
        <fgColor theme="7" tint="0.79998168889431442"/>
        <bgColor indexed="64"/>
      </patternFill>
    </fill>
    <fill>
      <patternFill patternType="solid">
        <fgColor rgb="FF71C2FF"/>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rgb="FFFFC000"/>
        <bgColor indexed="64"/>
      </patternFill>
    </fill>
    <fill>
      <patternFill patternType="solid">
        <fgColor theme="3" tint="0.59999389629810485"/>
        <bgColor indexed="64"/>
      </patternFill>
    </fill>
  </fills>
  <borders count="38">
    <border>
      <left/>
      <right/>
      <top/>
      <bottom/>
      <diagonal/>
    </border>
    <border>
      <left style="hair">
        <color auto="1"/>
      </left>
      <right style="hair">
        <color auto="1"/>
      </right>
      <top style="hair">
        <color auto="1"/>
      </top>
      <bottom style="hair">
        <color auto="1"/>
      </bottom>
      <diagonal/>
    </border>
    <border>
      <left style="double">
        <color theme="7" tint="0.39994506668294322"/>
      </left>
      <right style="double">
        <color theme="7" tint="0.39994506668294322"/>
      </right>
      <top style="double">
        <color theme="7" tint="0.39994506668294322"/>
      </top>
      <bottom style="double">
        <color theme="7" tint="0.39994506668294322"/>
      </bottom>
      <diagonal/>
    </border>
    <border>
      <left style="double">
        <color theme="7" tint="0.39991454817346722"/>
      </left>
      <right style="double">
        <color theme="7" tint="0.39991454817346722"/>
      </right>
      <top style="double">
        <color theme="7" tint="0.39991454817346722"/>
      </top>
      <bottom style="double">
        <color theme="7" tint="0.39991454817346722"/>
      </bottom>
      <diagonal/>
    </border>
    <border>
      <left style="double">
        <color theme="7" tint="0.39991454817346722"/>
      </left>
      <right style="double">
        <color theme="7" tint="0.39991454817346722"/>
      </right>
      <top style="double">
        <color theme="7" tint="0.39994506668294322"/>
      </top>
      <bottom style="double">
        <color theme="7" tint="0.39991454817346722"/>
      </bottom>
      <diagonal/>
    </border>
    <border>
      <left style="hair">
        <color auto="1"/>
      </left>
      <right/>
      <top style="hair">
        <color auto="1"/>
      </top>
      <bottom style="hair">
        <color auto="1"/>
      </bottom>
      <diagonal/>
    </border>
    <border>
      <left style="medium">
        <color indexed="64"/>
      </left>
      <right style="hair">
        <color theme="0"/>
      </right>
      <top style="medium">
        <color indexed="64"/>
      </top>
      <bottom style="hair">
        <color theme="0"/>
      </bottom>
      <diagonal/>
    </border>
    <border>
      <left style="hair">
        <color theme="0"/>
      </left>
      <right style="hair">
        <color theme="0"/>
      </right>
      <top style="medium">
        <color indexed="64"/>
      </top>
      <bottom style="hair">
        <color theme="0"/>
      </bottom>
      <diagonal/>
    </border>
    <border>
      <left style="hair">
        <color theme="0"/>
      </left>
      <right style="medium">
        <color indexed="64"/>
      </right>
      <top style="medium">
        <color indexed="64"/>
      </top>
      <bottom style="hair">
        <color theme="0"/>
      </bottom>
      <diagonal/>
    </border>
    <border>
      <left style="medium">
        <color indexed="64"/>
      </left>
      <right style="hair">
        <color theme="0"/>
      </right>
      <top style="hair">
        <color theme="0"/>
      </top>
      <bottom/>
      <diagonal/>
    </border>
    <border>
      <left style="hair">
        <color theme="0"/>
      </left>
      <right style="hair">
        <color theme="0"/>
      </right>
      <top style="hair">
        <color theme="0"/>
      </top>
      <bottom/>
      <diagonal/>
    </border>
    <border>
      <left style="hair">
        <color theme="0"/>
      </left>
      <right style="medium">
        <color indexed="64"/>
      </right>
      <top style="hair">
        <color theme="0"/>
      </top>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theme="0"/>
      </right>
      <top/>
      <bottom style="medium">
        <color indexed="64"/>
      </bottom>
      <diagonal/>
    </border>
    <border>
      <left style="hair">
        <color theme="0"/>
      </left>
      <right style="hair">
        <color theme="0"/>
      </right>
      <top/>
      <bottom style="medium">
        <color indexed="64"/>
      </bottom>
      <diagonal/>
    </border>
    <border>
      <left style="hair">
        <color theme="0"/>
      </left>
      <right style="medium">
        <color indexed="64"/>
      </right>
      <top/>
      <bottom style="medium">
        <color indexed="64"/>
      </bottom>
      <diagonal/>
    </border>
    <border>
      <left style="hair">
        <color theme="0"/>
      </left>
      <right style="hair">
        <color theme="0"/>
      </right>
      <top style="medium">
        <color indexed="64"/>
      </top>
      <bottom/>
      <diagonal/>
    </border>
    <border>
      <left style="hair">
        <color theme="0"/>
      </left>
      <right/>
      <top style="medium">
        <color indexed="64"/>
      </top>
      <bottom style="hair">
        <color theme="0"/>
      </bottom>
      <diagonal/>
    </border>
    <border>
      <left/>
      <right/>
      <top style="medium">
        <color indexed="64"/>
      </top>
      <bottom style="hair">
        <color theme="0"/>
      </bottom>
      <diagonal/>
    </border>
    <border>
      <left/>
      <right style="medium">
        <color indexed="64"/>
      </right>
      <top style="medium">
        <color indexed="64"/>
      </top>
      <bottom style="hair">
        <color theme="0"/>
      </bottom>
      <diagonal/>
    </border>
    <border>
      <left style="hair">
        <color theme="0"/>
      </left>
      <right style="hair">
        <color theme="0"/>
      </right>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hair">
        <color theme="0"/>
      </right>
      <top style="hair">
        <color indexed="64"/>
      </top>
      <bottom style="medium">
        <color indexed="64"/>
      </bottom>
      <diagonal/>
    </border>
    <border>
      <left style="hair">
        <color theme="0"/>
      </left>
      <right/>
      <top style="hair">
        <color indexed="64"/>
      </top>
      <bottom style="medium">
        <color indexed="64"/>
      </bottom>
      <diagonal/>
    </border>
    <border>
      <left/>
      <right style="medium">
        <color indexed="64"/>
      </right>
      <top style="hair">
        <color indexed="64"/>
      </top>
      <bottom style="medium">
        <color indexed="64"/>
      </bottom>
      <diagonal/>
    </border>
    <border>
      <left style="hair">
        <color theme="0"/>
      </left>
      <right/>
      <top style="hair">
        <color theme="0"/>
      </top>
      <bottom/>
      <diagonal/>
    </border>
    <border>
      <left/>
      <right style="hair">
        <color theme="0"/>
      </right>
      <top style="hair">
        <color theme="0"/>
      </top>
      <bottom/>
      <diagonal/>
    </border>
    <border>
      <left/>
      <right style="medium">
        <color indexed="64"/>
      </right>
      <top style="hair">
        <color theme="0"/>
      </top>
      <bottom/>
      <diagonal/>
    </border>
    <border>
      <left style="medium">
        <color indexed="64"/>
      </left>
      <right/>
      <top style="medium">
        <color indexed="64"/>
      </top>
      <bottom style="hair">
        <color theme="0"/>
      </bottom>
      <diagonal/>
    </border>
    <border>
      <left/>
      <right style="hair">
        <color auto="1"/>
      </right>
      <top style="hair">
        <color auto="1"/>
      </top>
      <bottom style="hair">
        <color auto="1"/>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23">
    <xf numFmtId="0" fontId="0" fillId="0" borderId="0"/>
    <xf numFmtId="0" fontId="70" fillId="0" borderId="0"/>
    <xf numFmtId="0" fontId="71" fillId="0" borderId="0"/>
    <xf numFmtId="0" fontId="69" fillId="0" borderId="0"/>
    <xf numFmtId="0" fontId="71" fillId="0" borderId="0"/>
    <xf numFmtId="0" fontId="69" fillId="0" borderId="0"/>
    <xf numFmtId="9" fontId="71" fillId="0" borderId="0" applyFont="0" applyFill="0" applyBorder="0" applyAlignment="0" applyProtection="0"/>
    <xf numFmtId="9" fontId="69" fillId="0" borderId="0" applyFont="0" applyFill="0" applyBorder="0" applyAlignment="0" applyProtection="0"/>
    <xf numFmtId="9" fontId="68" fillId="0" borderId="0" applyFont="0" applyFill="0" applyBorder="0" applyAlignment="0" applyProtection="0"/>
    <xf numFmtId="0" fontId="68" fillId="0" borderId="0"/>
    <xf numFmtId="0" fontId="68" fillId="0" borderId="0"/>
    <xf numFmtId="0" fontId="68" fillId="0" borderId="0"/>
    <xf numFmtId="0" fontId="66" fillId="0" borderId="0"/>
    <xf numFmtId="0" fontId="67" fillId="0" borderId="0"/>
    <xf numFmtId="0" fontId="65" fillId="0" borderId="0"/>
    <xf numFmtId="9" fontId="65" fillId="0" borderId="0" applyFont="0" applyFill="0" applyBorder="0" applyAlignment="0" applyProtection="0"/>
    <xf numFmtId="0" fontId="64" fillId="0" borderId="0"/>
    <xf numFmtId="0" fontId="63" fillId="0" borderId="0"/>
    <xf numFmtId="0" fontId="62" fillId="0" borderId="0"/>
    <xf numFmtId="0" fontId="61" fillId="0" borderId="0"/>
    <xf numFmtId="0" fontId="60" fillId="0" borderId="0"/>
    <xf numFmtId="0" fontId="59" fillId="0" borderId="0"/>
    <xf numFmtId="0" fontId="48" fillId="0" borderId="0"/>
  </cellStyleXfs>
  <cellXfs count="356">
    <xf numFmtId="0" fontId="0" fillId="0" borderId="0" xfId="0" applyFont="1" applyAlignment="1"/>
    <xf numFmtId="0" fontId="72" fillId="2" borderId="2" xfId="2" applyFont="1" applyFill="1" applyBorder="1" applyAlignment="1">
      <alignment horizontal="center" vertical="center" wrapText="1"/>
    </xf>
    <xf numFmtId="0" fontId="73" fillId="0" borderId="2" xfId="5" applyFont="1" applyBorder="1" applyAlignment="1">
      <alignment horizontal="center" vertical="center" wrapText="1"/>
    </xf>
    <xf numFmtId="0" fontId="69" fillId="0" borderId="0" xfId="5"/>
    <xf numFmtId="0" fontId="69" fillId="3" borderId="1" xfId="5" applyFill="1" applyBorder="1"/>
    <xf numFmtId="0" fontId="73" fillId="0" borderId="2" xfId="5" applyFont="1" applyFill="1" applyBorder="1" applyAlignment="1">
      <alignment horizontal="center" vertical="center" wrapText="1"/>
    </xf>
    <xf numFmtId="0" fontId="71" fillId="0" borderId="0" xfId="2" applyFont="1" applyAlignment="1"/>
    <xf numFmtId="0" fontId="78" fillId="2" borderId="4" xfId="2" applyFont="1" applyFill="1" applyBorder="1" applyAlignment="1">
      <alignment horizontal="center" vertical="center" wrapText="1"/>
    </xf>
    <xf numFmtId="0" fontId="79" fillId="0" borderId="3" xfId="5" applyFont="1" applyFill="1" applyBorder="1" applyAlignment="1">
      <alignment horizontal="left" vertical="top" wrapText="1"/>
    </xf>
    <xf numFmtId="0" fontId="79" fillId="0" borderId="3" xfId="5" applyFont="1" applyFill="1" applyBorder="1" applyAlignment="1">
      <alignment horizontal="center" vertical="center" wrapText="1"/>
    </xf>
    <xf numFmtId="0" fontId="72" fillId="2" borderId="2" xfId="2" applyFont="1" applyFill="1" applyBorder="1" applyAlignment="1">
      <alignment horizontal="left" vertical="top" wrapText="1"/>
    </xf>
    <xf numFmtId="0" fontId="71" fillId="0" borderId="0" xfId="2" applyFont="1" applyAlignment="1">
      <alignment horizontal="center" vertical="center"/>
    </xf>
    <xf numFmtId="0" fontId="71" fillId="0" borderId="5" xfId="0" applyFont="1" applyBorder="1" applyAlignment="1">
      <alignment horizontal="left"/>
    </xf>
    <xf numFmtId="0" fontId="0" fillId="5" borderId="5" xfId="0" applyFont="1" applyFill="1" applyBorder="1" applyAlignment="1">
      <alignment horizontal="left"/>
    </xf>
    <xf numFmtId="0" fontId="71" fillId="5" borderId="5" xfId="0" applyFont="1" applyFill="1" applyBorder="1" applyAlignment="1">
      <alignment horizontal="left"/>
    </xf>
    <xf numFmtId="0" fontId="71" fillId="0" borderId="0" xfId="2" applyFont="1" applyAlignment="1">
      <alignment horizontal="center"/>
    </xf>
    <xf numFmtId="0" fontId="79" fillId="0" borderId="3" xfId="13" applyFont="1" applyFill="1" applyBorder="1" applyAlignment="1">
      <alignment horizontal="center" vertical="center" wrapText="1"/>
    </xf>
    <xf numFmtId="0" fontId="79" fillId="0" borderId="3" xfId="13" applyFont="1" applyFill="1" applyBorder="1" applyAlignment="1">
      <alignment horizontal="left" vertical="top" wrapText="1"/>
    </xf>
    <xf numFmtId="0" fontId="81" fillId="0" borderId="3" xfId="13" applyFont="1" applyFill="1" applyBorder="1" applyAlignment="1">
      <alignment horizontal="left" vertical="top" wrapText="1"/>
    </xf>
    <xf numFmtId="0" fontId="82" fillId="0" borderId="3" xfId="13" applyFont="1" applyFill="1" applyBorder="1" applyAlignment="1">
      <alignment horizontal="left" vertical="top" wrapText="1"/>
    </xf>
    <xf numFmtId="0" fontId="80" fillId="0" borderId="3" xfId="13" applyFont="1" applyFill="1" applyBorder="1" applyAlignment="1">
      <alignment horizontal="left" vertical="top" wrapText="1"/>
    </xf>
    <xf numFmtId="0" fontId="85" fillId="0" borderId="3" xfId="2" applyFont="1" applyBorder="1" applyAlignment="1"/>
    <xf numFmtId="0" fontId="71" fillId="0" borderId="3" xfId="2" applyFont="1" applyBorder="1" applyAlignment="1"/>
    <xf numFmtId="0" fontId="79" fillId="0" borderId="3" xfId="2" applyFont="1" applyFill="1" applyBorder="1" applyAlignment="1">
      <alignment horizontal="center" vertical="top" wrapText="1"/>
    </xf>
    <xf numFmtId="0" fontId="79" fillId="0" borderId="3" xfId="2" applyFont="1" applyFill="1" applyBorder="1" applyAlignment="1">
      <alignment horizontal="left" vertical="top" wrapText="1"/>
    </xf>
    <xf numFmtId="0" fontId="83" fillId="0" borderId="3" xfId="2" applyFont="1" applyFill="1" applyBorder="1" applyAlignment="1">
      <alignment vertical="top"/>
    </xf>
    <xf numFmtId="0" fontId="83" fillId="0" borderId="3" xfId="2" applyFont="1" applyFill="1" applyBorder="1" applyAlignment="1">
      <alignment vertical="top" wrapText="1"/>
    </xf>
    <xf numFmtId="0" fontId="85" fillId="0" borderId="3" xfId="2" applyFont="1" applyFill="1" applyBorder="1" applyAlignment="1">
      <alignment vertical="top"/>
    </xf>
    <xf numFmtId="0" fontId="85" fillId="0" borderId="3" xfId="2" applyFont="1" applyFill="1" applyBorder="1" applyAlignment="1">
      <alignment vertical="top" wrapText="1"/>
    </xf>
    <xf numFmtId="0" fontId="84" fillId="0" borderId="3" xfId="13" applyFont="1" applyFill="1" applyBorder="1" applyAlignment="1">
      <alignment horizontal="left" vertical="top" wrapText="1"/>
    </xf>
    <xf numFmtId="0" fontId="80" fillId="0" borderId="0" xfId="13" applyFont="1" applyFill="1" applyBorder="1" applyAlignment="1">
      <alignment horizontal="left" vertical="top" wrapText="1"/>
    </xf>
    <xf numFmtId="0" fontId="79" fillId="0" borderId="0" xfId="13" applyFont="1" applyFill="1" applyBorder="1" applyAlignment="1">
      <alignment horizontal="left" vertical="top" wrapText="1"/>
    </xf>
    <xf numFmtId="0" fontId="84" fillId="0" borderId="0" xfId="13" applyFont="1" applyFill="1" applyBorder="1" applyAlignment="1">
      <alignment horizontal="left" vertical="top" wrapText="1"/>
    </xf>
    <xf numFmtId="0" fontId="82" fillId="0" borderId="0" xfId="13" applyFont="1" applyFill="1" applyBorder="1" applyAlignment="1">
      <alignment horizontal="left" vertical="top" wrapText="1"/>
    </xf>
    <xf numFmtId="0" fontId="71" fillId="0" borderId="0" xfId="2" applyFont="1" applyAlignment="1">
      <alignment horizontal="left" vertical="center"/>
    </xf>
    <xf numFmtId="0" fontId="71" fillId="0" borderId="0" xfId="2" applyFont="1" applyAlignment="1">
      <alignment horizontal="left"/>
    </xf>
    <xf numFmtId="0" fontId="65" fillId="0" borderId="0" xfId="14"/>
    <xf numFmtId="0" fontId="87" fillId="6" borderId="11" xfId="14" applyFont="1" applyFill="1" applyBorder="1" applyAlignment="1">
      <alignment horizontal="center" vertical="center" wrapText="1" readingOrder="1"/>
    </xf>
    <xf numFmtId="0" fontId="88" fillId="0" borderId="12" xfId="14" applyFont="1" applyBorder="1" applyAlignment="1">
      <alignment horizontal="center" vertical="center" wrapText="1"/>
    </xf>
    <xf numFmtId="0" fontId="88" fillId="0" borderId="1" xfId="14" applyFont="1" applyBorder="1" applyAlignment="1">
      <alignment horizontal="center" vertical="center" wrapText="1"/>
    </xf>
    <xf numFmtId="0" fontId="89" fillId="0" borderId="1" xfId="14" applyFont="1" applyFill="1" applyBorder="1" applyAlignment="1">
      <alignment horizontal="center" vertical="center" wrapText="1"/>
    </xf>
    <xf numFmtId="0" fontId="89" fillId="7" borderId="1" xfId="14" applyFont="1" applyFill="1" applyBorder="1" applyAlignment="1">
      <alignment horizontal="center" vertical="center" wrapText="1"/>
    </xf>
    <xf numFmtId="9" fontId="89" fillId="7" borderId="1" xfId="15" applyNumberFormat="1" applyFont="1" applyFill="1" applyBorder="1" applyAlignment="1">
      <alignment horizontal="center" vertical="center" wrapText="1"/>
    </xf>
    <xf numFmtId="9" fontId="89" fillId="7" borderId="13" xfId="15" applyNumberFormat="1" applyFont="1" applyFill="1" applyBorder="1" applyAlignment="1">
      <alignment horizontal="center" vertical="center" wrapText="1"/>
    </xf>
    <xf numFmtId="0" fontId="87" fillId="6" borderId="15" xfId="14" applyFont="1" applyFill="1" applyBorder="1" applyAlignment="1">
      <alignment horizontal="center" vertical="center" wrapText="1" readingOrder="1"/>
    </xf>
    <xf numFmtId="9" fontId="87" fillId="6" borderId="15" xfId="14" applyNumberFormat="1" applyFont="1" applyFill="1" applyBorder="1" applyAlignment="1">
      <alignment horizontal="center" vertical="center" wrapText="1" readingOrder="1"/>
    </xf>
    <xf numFmtId="9" fontId="87" fillId="6" borderId="16" xfId="14" applyNumberFormat="1" applyFont="1" applyFill="1" applyBorder="1" applyAlignment="1">
      <alignment horizontal="center" vertical="center" wrapText="1" readingOrder="1"/>
    </xf>
    <xf numFmtId="0" fontId="65" fillId="7" borderId="0" xfId="14" applyFill="1"/>
    <xf numFmtId="0" fontId="90" fillId="6" borderId="11" xfId="14" applyFont="1" applyFill="1" applyBorder="1" applyAlignment="1">
      <alignment horizontal="center" vertical="center" wrapText="1" readingOrder="1"/>
    </xf>
    <xf numFmtId="0" fontId="91" fillId="0" borderId="12" xfId="14" applyFont="1" applyBorder="1" applyAlignment="1">
      <alignment horizontal="center" vertical="center" wrapText="1"/>
    </xf>
    <xf numFmtId="0" fontId="91" fillId="0" borderId="1" xfId="14" applyFont="1" applyBorder="1" applyAlignment="1">
      <alignment horizontal="center" vertical="center" wrapText="1"/>
    </xf>
    <xf numFmtId="0" fontId="91" fillId="0" borderId="1" xfId="14" applyFont="1" applyFill="1" applyBorder="1" applyAlignment="1">
      <alignment horizontal="center" vertical="center" wrapText="1"/>
    </xf>
    <xf numFmtId="9" fontId="91" fillId="7" borderId="1" xfId="15" applyNumberFormat="1" applyFont="1" applyFill="1" applyBorder="1" applyAlignment="1">
      <alignment horizontal="center" vertical="center" wrapText="1"/>
    </xf>
    <xf numFmtId="9" fontId="91" fillId="7" borderId="13" xfId="15" applyNumberFormat="1" applyFont="1" applyFill="1" applyBorder="1" applyAlignment="1">
      <alignment horizontal="center" vertical="center" wrapText="1"/>
    </xf>
    <xf numFmtId="0" fontId="90" fillId="6" borderId="15" xfId="14" applyFont="1" applyFill="1" applyBorder="1" applyAlignment="1">
      <alignment horizontal="center" vertical="center" wrapText="1" readingOrder="1"/>
    </xf>
    <xf numFmtId="0" fontId="91" fillId="7" borderId="1" xfId="14" applyFont="1" applyFill="1" applyBorder="1" applyAlignment="1">
      <alignment horizontal="center" vertical="center" wrapText="1"/>
    </xf>
    <xf numFmtId="0" fontId="92" fillId="0" borderId="1" xfId="0" applyFont="1" applyBorder="1" applyAlignment="1"/>
    <xf numFmtId="0" fontId="67" fillId="0" borderId="1" xfId="5" applyFont="1" applyBorder="1"/>
    <xf numFmtId="0" fontId="67" fillId="3" borderId="5" xfId="5" applyFont="1" applyFill="1" applyBorder="1"/>
    <xf numFmtId="0" fontId="67" fillId="3" borderId="1" xfId="5" applyFont="1" applyFill="1" applyBorder="1"/>
    <xf numFmtId="0" fontId="71" fillId="0" borderId="0" xfId="0" applyFont="1" applyAlignment="1"/>
    <xf numFmtId="9" fontId="89" fillId="7" borderId="1" xfId="14" applyNumberFormat="1" applyFont="1" applyFill="1" applyBorder="1" applyAlignment="1">
      <alignment horizontal="center" vertical="center" wrapText="1"/>
    </xf>
    <xf numFmtId="0" fontId="93" fillId="7" borderId="1" xfId="5" applyFont="1" applyFill="1" applyBorder="1"/>
    <xf numFmtId="0" fontId="67" fillId="7" borderId="1" xfId="5" applyFont="1" applyFill="1" applyBorder="1" applyAlignment="1">
      <alignment horizontal="left" vertical="center"/>
    </xf>
    <xf numFmtId="0" fontId="96" fillId="0" borderId="0" xfId="0" applyFont="1" applyAlignment="1">
      <alignment vertical="center"/>
    </xf>
    <xf numFmtId="0" fontId="94" fillId="0" borderId="0" xfId="0" applyFont="1" applyAlignment="1">
      <alignment vertical="center"/>
    </xf>
    <xf numFmtId="0" fontId="97" fillId="0" borderId="0" xfId="0" applyFont="1" applyAlignment="1">
      <alignment vertical="center"/>
    </xf>
    <xf numFmtId="0" fontId="94" fillId="0" borderId="32" xfId="0" applyFont="1" applyBorder="1" applyAlignment="1">
      <alignment horizontal="center" vertical="center"/>
    </xf>
    <xf numFmtId="0" fontId="98" fillId="0" borderId="0" xfId="0" applyFont="1" applyAlignment="1"/>
    <xf numFmtId="0" fontId="95" fillId="0" borderId="0" xfId="0" applyFont="1" applyAlignment="1">
      <alignment vertical="center"/>
    </xf>
    <xf numFmtId="0" fontId="98" fillId="0" borderId="32" xfId="0" applyFont="1" applyBorder="1" applyAlignment="1">
      <alignment horizontal="center" vertical="center"/>
    </xf>
    <xf numFmtId="0" fontId="98" fillId="0" borderId="33" xfId="0" applyFont="1" applyBorder="1" applyAlignment="1">
      <alignment vertical="top"/>
    </xf>
    <xf numFmtId="16" fontId="94" fillId="0" borderId="33" xfId="0" applyNumberFormat="1" applyFont="1" applyBorder="1" applyAlignment="1">
      <alignment horizontal="center" vertical="center"/>
    </xf>
    <xf numFmtId="0" fontId="98" fillId="0" borderId="33" xfId="0" applyFont="1" applyBorder="1" applyAlignment="1">
      <alignment horizontal="center" vertical="center"/>
    </xf>
    <xf numFmtId="0" fontId="94" fillId="9" borderId="33" xfId="0" applyFont="1" applyFill="1" applyBorder="1" applyAlignment="1">
      <alignment horizontal="center" vertical="center"/>
    </xf>
    <xf numFmtId="0" fontId="95" fillId="0" borderId="33" xfId="0" applyFont="1" applyBorder="1" applyAlignment="1">
      <alignment horizontal="center" vertical="center"/>
    </xf>
    <xf numFmtId="0" fontId="99" fillId="8" borderId="33" xfId="0" applyFont="1" applyFill="1" applyBorder="1" applyAlignment="1">
      <alignment horizontal="center" vertical="center" wrapText="1"/>
    </xf>
    <xf numFmtId="0" fontId="101" fillId="4" borderId="0" xfId="0" applyFont="1" applyFill="1" applyAlignment="1">
      <alignment horizontal="center"/>
    </xf>
    <xf numFmtId="0" fontId="86" fillId="10" borderId="34" xfId="14" applyFont="1" applyFill="1" applyBorder="1" applyAlignment="1">
      <alignment horizontal="center" vertical="center" wrapText="1"/>
    </xf>
    <xf numFmtId="0" fontId="86" fillId="11" borderId="1" xfId="21" applyFont="1" applyFill="1" applyBorder="1" applyAlignment="1">
      <alignment horizontal="center" vertical="center" wrapText="1"/>
    </xf>
    <xf numFmtId="0" fontId="86" fillId="0" borderId="0" xfId="21" applyFont="1" applyAlignment="1">
      <alignment horizontal="center" vertical="center"/>
    </xf>
    <xf numFmtId="0" fontId="59" fillId="0" borderId="1" xfId="21" applyFill="1" applyBorder="1" applyAlignment="1">
      <alignment horizontal="center" vertical="center" wrapText="1"/>
    </xf>
    <xf numFmtId="0" fontId="59" fillId="0" borderId="1" xfId="21" applyBorder="1" applyAlignment="1">
      <alignment horizontal="center" vertical="center"/>
    </xf>
    <xf numFmtId="0" fontId="59" fillId="0" borderId="0" xfId="21" applyAlignment="1">
      <alignment horizontal="left" vertical="center"/>
    </xf>
    <xf numFmtId="0" fontId="59" fillId="0" borderId="1" xfId="21" applyBorder="1" applyAlignment="1">
      <alignment horizontal="center" vertical="center" wrapText="1"/>
    </xf>
    <xf numFmtId="0" fontId="59" fillId="0" borderId="0" xfId="21" applyAlignment="1">
      <alignment horizontal="left" vertical="center" wrapText="1"/>
    </xf>
    <xf numFmtId="0" fontId="59" fillId="0" borderId="0" xfId="21" applyAlignment="1">
      <alignment horizontal="center" vertical="center" wrapText="1"/>
    </xf>
    <xf numFmtId="0" fontId="59" fillId="0" borderId="0" xfId="21" applyAlignment="1">
      <alignment horizontal="center" vertical="center"/>
    </xf>
    <xf numFmtId="0" fontId="71" fillId="0" borderId="1" xfId="2" applyBorder="1" applyAlignment="1">
      <alignment horizontal="left" vertical="center"/>
    </xf>
    <xf numFmtId="0" fontId="0" fillId="0" borderId="1" xfId="0" applyBorder="1" applyAlignment="1">
      <alignment horizontal="left" vertical="center" wrapText="1"/>
    </xf>
    <xf numFmtId="0" fontId="0" fillId="0" borderId="1" xfId="0" applyBorder="1" applyAlignment="1">
      <alignment horizontal="left" vertical="center"/>
    </xf>
    <xf numFmtId="0" fontId="0" fillId="13" borderId="1" xfId="0" applyFill="1" applyBorder="1" applyAlignment="1">
      <alignment horizontal="left" vertical="center"/>
    </xf>
    <xf numFmtId="0" fontId="67" fillId="0" borderId="1" xfId="13" applyFont="1" applyBorder="1" applyAlignment="1">
      <alignment horizontal="left" vertical="center"/>
    </xf>
    <xf numFmtId="0" fontId="69" fillId="0" borderId="1" xfId="5" applyBorder="1" applyAlignment="1">
      <alignment horizontal="left" vertical="center"/>
    </xf>
    <xf numFmtId="0" fontId="59" fillId="15" borderId="1" xfId="21" applyFill="1" applyBorder="1" applyAlignment="1">
      <alignment horizontal="left" vertical="center" wrapText="1"/>
    </xf>
    <xf numFmtId="0" fontId="0" fillId="5" borderId="1" xfId="0" applyNumberFormat="1" applyFont="1" applyFill="1" applyBorder="1" applyAlignment="1">
      <alignment horizontal="left" vertical="center" wrapText="1"/>
    </xf>
    <xf numFmtId="0" fontId="58" fillId="0" borderId="1" xfId="21" applyFont="1" applyBorder="1" applyAlignment="1">
      <alignment horizontal="center" vertical="center"/>
    </xf>
    <xf numFmtId="0" fontId="58" fillId="7" borderId="34" xfId="14" applyFont="1" applyFill="1" applyBorder="1" applyAlignment="1">
      <alignment horizontal="center" vertical="center"/>
    </xf>
    <xf numFmtId="0" fontId="58" fillId="0" borderId="1" xfId="21" applyNumberFormat="1" applyFont="1" applyFill="1" applyBorder="1" applyAlignment="1">
      <alignment horizontal="left" vertical="center" wrapText="1"/>
    </xf>
    <xf numFmtId="0" fontId="58" fillId="0" borderId="1" xfId="21" applyFont="1" applyBorder="1" applyAlignment="1">
      <alignment horizontal="center" vertical="center" wrapText="1"/>
    </xf>
    <xf numFmtId="0" fontId="58" fillId="15" borderId="1" xfId="21" applyNumberFormat="1" applyFont="1" applyFill="1" applyBorder="1" applyAlignment="1">
      <alignment horizontal="left" vertical="center" wrapText="1"/>
    </xf>
    <xf numFmtId="0" fontId="69" fillId="3" borderId="33" xfId="5" applyFill="1" applyBorder="1"/>
    <xf numFmtId="0" fontId="67" fillId="3" borderId="33" xfId="13" applyFont="1" applyFill="1" applyBorder="1"/>
    <xf numFmtId="0" fontId="67" fillId="3" borderId="33" xfId="5" applyFont="1" applyFill="1" applyBorder="1" applyAlignment="1">
      <alignment wrapText="1"/>
    </xf>
    <xf numFmtId="0" fontId="67" fillId="3" borderId="33" xfId="13" applyFill="1" applyBorder="1"/>
    <xf numFmtId="0" fontId="58" fillId="0" borderId="34" xfId="14" applyFont="1" applyBorder="1" applyAlignment="1">
      <alignment horizontal="left" vertical="center" wrapText="1"/>
    </xf>
    <xf numFmtId="0" fontId="87" fillId="6" borderId="10" xfId="14" applyFont="1" applyFill="1" applyBorder="1" applyAlignment="1">
      <alignment horizontal="center" vertical="center" wrapText="1" readingOrder="1"/>
    </xf>
    <xf numFmtId="0" fontId="90" fillId="6" borderId="10" xfId="14" applyFont="1" applyFill="1" applyBorder="1" applyAlignment="1">
      <alignment horizontal="center" vertical="center" wrapText="1" readingOrder="1"/>
    </xf>
    <xf numFmtId="0" fontId="99" fillId="8" borderId="33" xfId="0" applyFont="1" applyFill="1" applyBorder="1" applyAlignment="1">
      <alignment horizontal="center" vertical="center"/>
    </xf>
    <xf numFmtId="0" fontId="94" fillId="0" borderId="33" xfId="0" applyFont="1" applyBorder="1" applyAlignment="1">
      <alignment horizontal="center" vertical="center"/>
    </xf>
    <xf numFmtId="0" fontId="57" fillId="0" borderId="1" xfId="21" applyNumberFormat="1" applyFont="1" applyFill="1" applyBorder="1" applyAlignment="1">
      <alignment horizontal="left" vertical="center" wrapText="1"/>
    </xf>
    <xf numFmtId="0" fontId="71" fillId="0" borderId="1" xfId="0" applyFont="1" applyBorder="1" applyAlignment="1">
      <alignment horizontal="left" vertical="center"/>
    </xf>
    <xf numFmtId="0" fontId="71" fillId="17" borderId="1" xfId="0" applyFont="1" applyFill="1" applyBorder="1" applyAlignment="1">
      <alignment horizontal="left" vertical="center"/>
    </xf>
    <xf numFmtId="0" fontId="0" fillId="17" borderId="1" xfId="0" applyFill="1" applyBorder="1" applyAlignment="1">
      <alignment horizontal="left" vertical="center"/>
    </xf>
    <xf numFmtId="0" fontId="0" fillId="18" borderId="1" xfId="0" applyFill="1" applyBorder="1" applyAlignment="1">
      <alignment horizontal="left" vertical="center" wrapText="1"/>
    </xf>
    <xf numFmtId="0" fontId="55" fillId="0" borderId="1" xfId="21" applyNumberFormat="1" applyFont="1" applyFill="1" applyBorder="1" applyAlignment="1">
      <alignment horizontal="left" vertical="center" wrapText="1"/>
    </xf>
    <xf numFmtId="0" fontId="54" fillId="0" borderId="1" xfId="21" applyNumberFormat="1" applyFont="1" applyFill="1" applyBorder="1" applyAlignment="1">
      <alignment horizontal="left" vertical="center" wrapText="1"/>
    </xf>
    <xf numFmtId="0" fontId="0" fillId="0" borderId="1" xfId="0" applyBorder="1" applyAlignment="1">
      <alignment vertical="center" wrapText="1"/>
    </xf>
    <xf numFmtId="0" fontId="0" fillId="0" borderId="0" xfId="0" applyFont="1" applyAlignment="1">
      <alignment horizontal="center" vertical="center"/>
    </xf>
    <xf numFmtId="0" fontId="0" fillId="20" borderId="1" xfId="0" applyFill="1" applyBorder="1" applyAlignment="1">
      <alignment horizontal="left" vertical="center"/>
    </xf>
    <xf numFmtId="0" fontId="71" fillId="14" borderId="1" xfId="0" applyFont="1" applyFill="1" applyBorder="1" applyAlignment="1">
      <alignment horizontal="left" vertical="center" wrapText="1"/>
    </xf>
    <xf numFmtId="0" fontId="71" fillId="14" borderId="1" xfId="0" applyFont="1" applyFill="1" applyBorder="1" applyAlignment="1">
      <alignment horizontal="left" vertical="center"/>
    </xf>
    <xf numFmtId="0" fontId="71" fillId="18" borderId="1" xfId="0" applyFont="1" applyFill="1" applyBorder="1" applyAlignment="1">
      <alignment horizontal="left" vertical="center"/>
    </xf>
    <xf numFmtId="0" fontId="50" fillId="0" borderId="1" xfId="21" applyNumberFormat="1" applyFont="1" applyFill="1" applyBorder="1" applyAlignment="1">
      <alignment horizontal="left" vertical="center" wrapText="1"/>
    </xf>
    <xf numFmtId="0" fontId="49" fillId="0" borderId="1" xfId="21" applyNumberFormat="1" applyFont="1" applyFill="1" applyBorder="1" applyAlignment="1">
      <alignment horizontal="left" vertical="center" wrapText="1"/>
    </xf>
    <xf numFmtId="0" fontId="49" fillId="15" borderId="1" xfId="21" applyNumberFormat="1" applyFont="1" applyFill="1" applyBorder="1" applyAlignment="1">
      <alignment horizontal="left" vertical="center" wrapText="1"/>
    </xf>
    <xf numFmtId="0" fontId="95" fillId="0" borderId="33" xfId="22" applyFont="1" applyBorder="1" applyAlignment="1">
      <alignment horizontal="center" vertical="center"/>
    </xf>
    <xf numFmtId="0" fontId="95" fillId="0" borderId="33" xfId="22" applyFont="1" applyBorder="1" applyAlignment="1">
      <alignment horizontal="center" vertical="center" wrapText="1"/>
    </xf>
    <xf numFmtId="0" fontId="48" fillId="0" borderId="0" xfId="22"/>
    <xf numFmtId="0" fontId="94" fillId="0" borderId="33" xfId="22" applyFont="1" applyBorder="1" applyAlignment="1">
      <alignment horizontal="left" vertical="center"/>
    </xf>
    <xf numFmtId="0" fontId="94" fillId="0" borderId="33" xfId="22" applyFont="1" applyBorder="1" applyAlignment="1">
      <alignment horizontal="center" vertical="center"/>
    </xf>
    <xf numFmtId="0" fontId="48" fillId="0" borderId="35" xfId="22" applyBorder="1" applyAlignment="1">
      <alignment horizontal="center" vertical="center"/>
    </xf>
    <xf numFmtId="0" fontId="48" fillId="0" borderId="33" xfId="22" applyBorder="1" applyAlignment="1">
      <alignment horizontal="center" vertical="center"/>
    </xf>
    <xf numFmtId="0" fontId="95" fillId="0" borderId="33" xfId="22" applyFont="1" applyBorder="1" applyAlignment="1">
      <alignment horizontal="left" vertical="center"/>
    </xf>
    <xf numFmtId="0" fontId="86" fillId="0" borderId="0" xfId="22" applyFont="1" applyBorder="1" applyAlignment="1">
      <alignment horizontal="center" vertical="center"/>
    </xf>
    <xf numFmtId="0" fontId="86" fillId="0" borderId="0" xfId="22" applyFont="1" applyBorder="1" applyAlignment="1">
      <alignment horizontal="left" vertical="center"/>
    </xf>
    <xf numFmtId="0" fontId="95" fillId="0" borderId="33" xfId="22" applyFont="1" applyBorder="1" applyAlignment="1">
      <alignment vertical="center"/>
    </xf>
    <xf numFmtId="0" fontId="95" fillId="0" borderId="0" xfId="22" applyFont="1" applyBorder="1" applyAlignment="1">
      <alignment horizontal="center" vertical="center"/>
    </xf>
    <xf numFmtId="0" fontId="94" fillId="0" borderId="33" xfId="22" applyFont="1" applyBorder="1" applyAlignment="1">
      <alignment horizontal="left" vertical="center" wrapText="1"/>
    </xf>
    <xf numFmtId="0" fontId="94" fillId="0" borderId="0" xfId="22" applyFont="1" applyBorder="1" applyAlignment="1">
      <alignment horizontal="left" vertical="center" wrapText="1"/>
    </xf>
    <xf numFmtId="0" fontId="94" fillId="0" borderId="0" xfId="22" applyFont="1" applyBorder="1" applyAlignment="1">
      <alignment horizontal="center" vertical="center"/>
    </xf>
    <xf numFmtId="0" fontId="86" fillId="0" borderId="0" xfId="22" applyFont="1" applyBorder="1" applyAlignment="1">
      <alignment vertical="center"/>
    </xf>
    <xf numFmtId="0" fontId="48" fillId="0" borderId="35" xfId="22" applyBorder="1" applyAlignment="1">
      <alignment horizontal="center"/>
    </xf>
    <xf numFmtId="0" fontId="94" fillId="0" borderId="0" xfId="22" applyFont="1" applyBorder="1" applyAlignment="1">
      <alignment vertical="center"/>
    </xf>
    <xf numFmtId="0" fontId="48" fillId="0" borderId="33" xfId="22" applyBorder="1" applyAlignment="1">
      <alignment horizontal="center"/>
    </xf>
    <xf numFmtId="0" fontId="95" fillId="0" borderId="0" xfId="22" applyFont="1" applyBorder="1" applyAlignment="1">
      <alignment vertical="center"/>
    </xf>
    <xf numFmtId="0" fontId="48" fillId="0" borderId="0" xfId="22" applyAlignment="1">
      <alignment horizontal="center"/>
    </xf>
    <xf numFmtId="0" fontId="47" fillId="15" borderId="1" xfId="21" applyNumberFormat="1" applyFont="1" applyFill="1" applyBorder="1" applyAlignment="1">
      <alignment horizontal="left" vertical="center" wrapText="1"/>
    </xf>
    <xf numFmtId="0" fontId="47" fillId="0" borderId="1" xfId="21" applyNumberFormat="1" applyFont="1" applyFill="1" applyBorder="1" applyAlignment="1">
      <alignment horizontal="left" vertical="center" wrapText="1"/>
    </xf>
    <xf numFmtId="0" fontId="46" fillId="0" borderId="1" xfId="21" applyNumberFormat="1" applyFont="1" applyFill="1" applyBorder="1" applyAlignment="1">
      <alignment horizontal="left" vertical="center" wrapText="1"/>
    </xf>
    <xf numFmtId="0" fontId="0" fillId="14" borderId="1" xfId="0" applyFill="1" applyBorder="1" applyAlignment="1">
      <alignment horizontal="left" vertical="center" wrapText="1"/>
    </xf>
    <xf numFmtId="0" fontId="71" fillId="18" borderId="1" xfId="0" quotePrefix="1" applyFont="1" applyFill="1" applyBorder="1" applyAlignment="1">
      <alignment horizontal="left" vertical="center" wrapText="1"/>
    </xf>
    <xf numFmtId="0" fontId="42" fillId="0" borderId="1" xfId="21" applyNumberFormat="1" applyFont="1" applyFill="1" applyBorder="1" applyAlignment="1">
      <alignment horizontal="left" vertical="center" wrapText="1"/>
    </xf>
    <xf numFmtId="0" fontId="71" fillId="0" borderId="1" xfId="0" applyFont="1" applyBorder="1" applyAlignment="1">
      <alignment horizontal="left" vertical="center" wrapText="1"/>
    </xf>
    <xf numFmtId="0" fontId="38" fillId="0" borderId="1" xfId="21" applyNumberFormat="1" applyFont="1" applyFill="1" applyBorder="1" applyAlignment="1">
      <alignment horizontal="left" vertical="center" wrapText="1"/>
    </xf>
    <xf numFmtId="0" fontId="0" fillId="21" borderId="1" xfId="0" applyFont="1" applyFill="1" applyBorder="1" applyAlignment="1">
      <alignment horizontal="left" vertical="center" wrapText="1"/>
    </xf>
    <xf numFmtId="0" fontId="35" fillId="0" borderId="1" xfId="21" applyFont="1" applyFill="1" applyBorder="1" applyAlignment="1">
      <alignment horizontal="center" vertical="center" wrapText="1"/>
    </xf>
    <xf numFmtId="0" fontId="0" fillId="7" borderId="1" xfId="0" applyNumberFormat="1" applyFont="1" applyFill="1" applyBorder="1" applyAlignment="1">
      <alignment horizontal="left" vertical="center" wrapText="1"/>
    </xf>
    <xf numFmtId="0" fontId="67" fillId="0" borderId="1" xfId="5" applyFont="1" applyBorder="1" applyAlignment="1">
      <alignment horizontal="left" vertical="center"/>
    </xf>
    <xf numFmtId="0" fontId="0" fillId="7" borderId="1" xfId="0" applyFont="1" applyFill="1" applyBorder="1" applyAlignment="1">
      <alignment horizontal="left" vertical="center" wrapText="1"/>
    </xf>
    <xf numFmtId="0" fontId="71" fillId="7" borderId="1" xfId="0" applyNumberFormat="1" applyFont="1" applyFill="1" applyBorder="1" applyAlignment="1">
      <alignment horizontal="left" vertical="center" wrapText="1"/>
    </xf>
    <xf numFmtId="0" fontId="33" fillId="7" borderId="0" xfId="14" applyFont="1" applyFill="1"/>
    <xf numFmtId="0" fontId="71" fillId="7" borderId="1" xfId="0" applyFont="1" applyFill="1" applyBorder="1" applyAlignment="1">
      <alignment horizontal="left" vertical="center" wrapText="1"/>
    </xf>
    <xf numFmtId="0" fontId="30" fillId="0" borderId="1" xfId="21" applyNumberFormat="1" applyFont="1" applyFill="1" applyBorder="1" applyAlignment="1">
      <alignment horizontal="left" vertical="center" wrapText="1"/>
    </xf>
    <xf numFmtId="0" fontId="29" fillId="0" borderId="1" xfId="21" applyNumberFormat="1" applyFont="1" applyFill="1" applyBorder="1" applyAlignment="1">
      <alignment horizontal="left" vertical="center" wrapText="1"/>
    </xf>
    <xf numFmtId="0" fontId="28" fillId="0" borderId="1" xfId="21" applyNumberFormat="1" applyFont="1" applyFill="1" applyBorder="1" applyAlignment="1">
      <alignment horizontal="left" vertical="center" wrapText="1"/>
    </xf>
    <xf numFmtId="0" fontId="0" fillId="0" borderId="0" xfId="0" applyFill="1" applyAlignment="1">
      <alignment horizontal="left" vertical="center"/>
    </xf>
    <xf numFmtId="0" fontId="27" fillId="0" borderId="1" xfId="21" applyNumberFormat="1" applyFont="1" applyFill="1" applyBorder="1" applyAlignment="1">
      <alignment horizontal="left" vertical="center" wrapText="1"/>
    </xf>
    <xf numFmtId="0" fontId="58" fillId="22" borderId="1" xfId="21" applyNumberFormat="1" applyFont="1" applyFill="1" applyBorder="1" applyAlignment="1">
      <alignment horizontal="left" vertical="center" wrapText="1"/>
    </xf>
    <xf numFmtId="0" fontId="25" fillId="0" borderId="1" xfId="21" applyNumberFormat="1" applyFont="1" applyFill="1" applyBorder="1" applyAlignment="1">
      <alignment horizontal="left" vertical="center" wrapText="1"/>
    </xf>
    <xf numFmtId="0" fontId="0" fillId="0" borderId="1" xfId="0" applyFont="1" applyBorder="1" applyAlignment="1">
      <alignment horizontal="center" vertical="center"/>
    </xf>
    <xf numFmtId="0" fontId="59" fillId="0" borderId="1" xfId="21" applyBorder="1" applyAlignment="1">
      <alignment horizontal="left" vertical="center" wrapText="1"/>
    </xf>
    <xf numFmtId="0" fontId="59" fillId="0" borderId="1" xfId="21" applyBorder="1" applyAlignment="1">
      <alignment horizontal="left" vertical="center"/>
    </xf>
    <xf numFmtId="0" fontId="0" fillId="0" borderId="1" xfId="0" applyBorder="1" applyAlignment="1">
      <alignment horizontal="center" vertical="center" wrapText="1"/>
    </xf>
    <xf numFmtId="0" fontId="41" fillId="0" borderId="1" xfId="21" applyNumberFormat="1" applyFont="1" applyFill="1" applyBorder="1" applyAlignment="1">
      <alignment horizontal="left" vertical="center" wrapText="1"/>
    </xf>
    <xf numFmtId="0" fontId="32" fillId="0" borderId="1" xfId="21" applyFont="1" applyBorder="1" applyAlignment="1">
      <alignment horizontal="center" vertical="center" wrapText="1"/>
    </xf>
    <xf numFmtId="0" fontId="24" fillId="0" borderId="1" xfId="21" applyFont="1" applyBorder="1" applyAlignment="1">
      <alignment horizontal="center" vertical="center" wrapText="1"/>
    </xf>
    <xf numFmtId="0" fontId="0" fillId="22" borderId="1" xfId="0" applyFont="1" applyFill="1" applyBorder="1" applyAlignment="1">
      <alignment horizontal="center" vertical="center"/>
    </xf>
    <xf numFmtId="0" fontId="25" fillId="22" borderId="1" xfId="21" applyNumberFormat="1" applyFont="1" applyFill="1" applyBorder="1" applyAlignment="1">
      <alignment horizontal="left" vertical="center" wrapText="1"/>
    </xf>
    <xf numFmtId="0" fontId="27" fillId="0" borderId="1" xfId="21" applyFont="1" applyBorder="1" applyAlignment="1">
      <alignment horizontal="center" vertical="center" wrapText="1"/>
    </xf>
    <xf numFmtId="0" fontId="25" fillId="0" borderId="1" xfId="21" applyFont="1" applyBorder="1" applyAlignment="1">
      <alignment horizontal="center" vertical="center" wrapText="1"/>
    </xf>
    <xf numFmtId="0" fontId="58" fillId="0" borderId="1" xfId="21" applyFont="1" applyBorder="1" applyAlignment="1">
      <alignment horizontal="left" vertical="center" wrapText="1"/>
    </xf>
    <xf numFmtId="0" fontId="71" fillId="0" borderId="1" xfId="2" applyBorder="1" applyAlignment="1">
      <alignment horizontal="left" vertical="center" wrapText="1"/>
    </xf>
    <xf numFmtId="0" fontId="58" fillId="14" borderId="1" xfId="21" applyFont="1" applyFill="1" applyBorder="1" applyAlignment="1">
      <alignment horizontal="left" vertical="center" wrapText="1"/>
    </xf>
    <xf numFmtId="0" fontId="71" fillId="12" borderId="1" xfId="2" applyFill="1" applyBorder="1" applyAlignment="1">
      <alignment horizontal="left" vertical="center" wrapText="1"/>
    </xf>
    <xf numFmtId="0" fontId="49" fillId="14" borderId="1" xfId="21" applyFont="1" applyFill="1" applyBorder="1" applyAlignment="1">
      <alignment horizontal="left" vertical="center" wrapText="1"/>
    </xf>
    <xf numFmtId="0" fontId="25" fillId="22" borderId="1" xfId="21" applyFont="1" applyFill="1" applyBorder="1" applyAlignment="1">
      <alignment horizontal="left" vertical="center" wrapText="1"/>
    </xf>
    <xf numFmtId="0" fontId="58" fillId="22" borderId="1" xfId="21" applyFont="1" applyFill="1" applyBorder="1" applyAlignment="1">
      <alignment horizontal="left" vertical="center" wrapText="1"/>
    </xf>
    <xf numFmtId="0" fontId="25" fillId="22" borderId="1" xfId="21" applyFont="1" applyFill="1" applyBorder="1" applyAlignment="1">
      <alignment horizontal="left" vertical="center"/>
    </xf>
    <xf numFmtId="0" fontId="36" fillId="0" borderId="1" xfId="21" applyFont="1" applyBorder="1" applyAlignment="1">
      <alignment horizontal="left" vertical="center" wrapText="1"/>
    </xf>
    <xf numFmtId="0" fontId="36" fillId="0" borderId="1" xfId="21" applyFont="1" applyBorder="1" applyAlignment="1">
      <alignment horizontal="center" vertical="center" wrapText="1"/>
    </xf>
    <xf numFmtId="0" fontId="58" fillId="12" borderId="1" xfId="21" applyFont="1" applyFill="1" applyBorder="1" applyAlignment="1">
      <alignment horizontal="left" vertical="center" wrapText="1"/>
    </xf>
    <xf numFmtId="0" fontId="34" fillId="0" borderId="1" xfId="21" applyFont="1" applyBorder="1" applyAlignment="1">
      <alignment horizontal="left" vertical="center" wrapText="1"/>
    </xf>
    <xf numFmtId="0" fontId="32" fillId="0" borderId="1" xfId="21" applyFont="1" applyBorder="1" applyAlignment="1">
      <alignment horizontal="left" vertical="center" wrapText="1"/>
    </xf>
    <xf numFmtId="0" fontId="56" fillId="17" borderId="1" xfId="21" applyFont="1" applyFill="1" applyBorder="1" applyAlignment="1">
      <alignment horizontal="left" vertical="center" wrapText="1"/>
    </xf>
    <xf numFmtId="0" fontId="31" fillId="0" borderId="1" xfId="21" applyFont="1" applyBorder="1" applyAlignment="1">
      <alignment horizontal="left" vertical="center" wrapText="1"/>
    </xf>
    <xf numFmtId="0" fontId="0" fillId="18" borderId="1" xfId="0" applyFill="1" applyBorder="1" applyAlignment="1">
      <alignment horizontal="left" vertical="center"/>
    </xf>
    <xf numFmtId="0" fontId="35" fillId="0" borderId="1" xfId="21" applyFont="1" applyBorder="1" applyAlignment="1">
      <alignment horizontal="center" vertical="center"/>
    </xf>
    <xf numFmtId="0" fontId="28" fillId="0" borderId="1" xfId="21" applyFont="1" applyBorder="1" applyAlignment="1">
      <alignment horizontal="left" vertical="center" wrapText="1"/>
    </xf>
    <xf numFmtId="0" fontId="53" fillId="0" borderId="1" xfId="21" applyFont="1" applyBorder="1" applyAlignment="1">
      <alignment horizontal="left" vertical="center" wrapText="1"/>
    </xf>
    <xf numFmtId="0" fontId="49" fillId="0" borderId="1" xfId="21" applyFont="1" applyFill="1" applyBorder="1" applyAlignment="1">
      <alignment horizontal="center" vertical="center" wrapText="1"/>
    </xf>
    <xf numFmtId="0" fontId="26" fillId="0" borderId="1" xfId="21" applyFont="1" applyFill="1" applyBorder="1" applyAlignment="1">
      <alignment horizontal="left" vertical="center" wrapText="1"/>
    </xf>
    <xf numFmtId="0" fontId="49" fillId="0" borderId="1" xfId="21" applyFont="1" applyFill="1" applyBorder="1" applyAlignment="1">
      <alignment horizontal="left" vertical="center" wrapText="1"/>
    </xf>
    <xf numFmtId="0" fontId="59" fillId="0" borderId="1" xfId="21" applyFill="1" applyBorder="1" applyAlignment="1">
      <alignment horizontal="left" vertical="center" wrapText="1"/>
    </xf>
    <xf numFmtId="0" fontId="71" fillId="0" borderId="1" xfId="0" applyFont="1" applyFill="1" applyBorder="1" applyAlignment="1">
      <alignment horizontal="center" vertical="center"/>
    </xf>
    <xf numFmtId="0" fontId="71" fillId="0" borderId="1" xfId="0" applyFont="1" applyFill="1" applyBorder="1" applyAlignment="1">
      <alignment horizontal="left" vertical="center"/>
    </xf>
    <xf numFmtId="0" fontId="0" fillId="0" borderId="1" xfId="0" applyFill="1" applyBorder="1" applyAlignment="1">
      <alignment horizontal="center" vertical="center"/>
    </xf>
    <xf numFmtId="0" fontId="0" fillId="0" borderId="1" xfId="0" applyFill="1" applyBorder="1" applyAlignment="1">
      <alignment horizontal="left" vertical="center"/>
    </xf>
    <xf numFmtId="0" fontId="58" fillId="5" borderId="1" xfId="21" applyFont="1" applyFill="1" applyBorder="1" applyAlignment="1">
      <alignment horizontal="center" vertical="center"/>
    </xf>
    <xf numFmtId="0" fontId="71" fillId="5" borderId="1" xfId="0" applyFont="1" applyFill="1" applyBorder="1" applyAlignment="1">
      <alignment horizontal="left" vertical="center" wrapText="1"/>
    </xf>
    <xf numFmtId="0" fontId="45" fillId="0" borderId="1" xfId="21" applyFont="1" applyBorder="1" applyAlignment="1">
      <alignment horizontal="left" vertical="center" wrapText="1"/>
    </xf>
    <xf numFmtId="0" fontId="52" fillId="0" borderId="1" xfId="21" applyFont="1" applyFill="1" applyBorder="1" applyAlignment="1">
      <alignment horizontal="center" vertical="center"/>
    </xf>
    <xf numFmtId="0" fontId="28" fillId="16" borderId="1" xfId="21" applyFont="1" applyFill="1" applyBorder="1" applyAlignment="1">
      <alignment horizontal="left" vertical="center"/>
    </xf>
    <xf numFmtId="0" fontId="52" fillId="0" borderId="1" xfId="21" applyFont="1" applyFill="1" applyBorder="1" applyAlignment="1">
      <alignment horizontal="left" vertical="center"/>
    </xf>
    <xf numFmtId="0" fontId="0" fillId="5" borderId="1" xfId="0" applyFill="1" applyBorder="1" applyAlignment="1">
      <alignment horizontal="center" vertical="center"/>
    </xf>
    <xf numFmtId="0" fontId="58" fillId="0" borderId="1" xfId="21" applyFont="1" applyFill="1" applyBorder="1" applyAlignment="1">
      <alignment horizontal="center" vertical="center"/>
    </xf>
    <xf numFmtId="0" fontId="24" fillId="0" borderId="1" xfId="21" applyFont="1" applyFill="1" applyBorder="1" applyAlignment="1">
      <alignment horizontal="left" vertical="center"/>
    </xf>
    <xf numFmtId="0" fontId="27" fillId="0" borderId="1" xfId="21" applyFont="1" applyBorder="1" applyAlignment="1">
      <alignment horizontal="left" vertical="center" wrapText="1"/>
    </xf>
    <xf numFmtId="0" fontId="71" fillId="0" borderId="1" xfId="0" applyFont="1" applyBorder="1" applyAlignment="1">
      <alignment horizontal="center" vertical="center"/>
    </xf>
    <xf numFmtId="0" fontId="52" fillId="0" borderId="1" xfId="21" applyFont="1" applyBorder="1" applyAlignment="1">
      <alignment horizontal="center" vertical="center"/>
    </xf>
    <xf numFmtId="0" fontId="52" fillId="0" borderId="1" xfId="21" applyFont="1" applyBorder="1" applyAlignment="1">
      <alignment horizontal="left" vertical="center" wrapText="1"/>
    </xf>
    <xf numFmtId="0" fontId="40" fillId="0" borderId="1" xfId="21" applyFont="1" applyBorder="1" applyAlignment="1">
      <alignment horizontal="left" vertical="center" wrapText="1"/>
    </xf>
    <xf numFmtId="0" fontId="43" fillId="14" borderId="1" xfId="21" applyFont="1" applyFill="1" applyBorder="1" applyAlignment="1">
      <alignment horizontal="left" vertical="center" wrapText="1"/>
    </xf>
    <xf numFmtId="0" fontId="52" fillId="14" borderId="1" xfId="21" applyFont="1" applyFill="1" applyBorder="1" applyAlignment="1">
      <alignment horizontal="left" vertical="center" wrapText="1"/>
    </xf>
    <xf numFmtId="0" fontId="43" fillId="0" borderId="1" xfId="21" applyFont="1" applyBorder="1" applyAlignment="1">
      <alignment horizontal="left" vertical="center" wrapText="1"/>
    </xf>
    <xf numFmtId="0" fontId="52" fillId="19" borderId="1" xfId="21" applyFont="1" applyFill="1" applyBorder="1" applyAlignment="1">
      <alignment horizontal="center" vertical="center"/>
    </xf>
    <xf numFmtId="0" fontId="0" fillId="19" borderId="1" xfId="0" applyFont="1" applyFill="1" applyBorder="1" applyAlignment="1">
      <alignment horizontal="center" vertical="center"/>
    </xf>
    <xf numFmtId="0" fontId="51" fillId="19" borderId="1" xfId="21" applyFont="1" applyFill="1" applyBorder="1" applyAlignment="1">
      <alignment horizontal="left" vertical="center" wrapText="1"/>
    </xf>
    <xf numFmtId="0" fontId="40" fillId="0" borderId="1" xfId="21" applyFont="1" applyBorder="1" applyAlignment="1">
      <alignment horizontal="center" vertical="center" wrapText="1"/>
    </xf>
    <xf numFmtId="0" fontId="59" fillId="19" borderId="1" xfId="21" applyFill="1" applyBorder="1" applyAlignment="1">
      <alignment horizontal="center" vertical="center"/>
    </xf>
    <xf numFmtId="0" fontId="0" fillId="20" borderId="1" xfId="0" applyFill="1" applyBorder="1" applyAlignment="1">
      <alignment horizontal="left" vertical="center" wrapText="1"/>
    </xf>
    <xf numFmtId="0" fontId="71" fillId="20" borderId="1" xfId="0" applyFont="1" applyFill="1" applyBorder="1" applyAlignment="1">
      <alignment horizontal="left" vertical="center"/>
    </xf>
    <xf numFmtId="0" fontId="0" fillId="15" borderId="1" xfId="0" applyFill="1" applyBorder="1" applyAlignment="1">
      <alignment horizontal="left" vertical="center"/>
    </xf>
    <xf numFmtId="0" fontId="71" fillId="15" borderId="1" xfId="0" applyFont="1" applyFill="1" applyBorder="1" applyAlignment="1">
      <alignment horizontal="left" vertical="center"/>
    </xf>
    <xf numFmtId="0" fontId="44" fillId="0" borderId="1" xfId="21" applyFont="1" applyBorder="1" applyAlignment="1">
      <alignment horizontal="center" vertical="center" wrapText="1"/>
    </xf>
    <xf numFmtId="0" fontId="44" fillId="0" borderId="1" xfId="21" applyFont="1" applyBorder="1" applyAlignment="1">
      <alignment horizontal="left" vertical="center" wrapText="1"/>
    </xf>
    <xf numFmtId="0" fontId="0" fillId="0" borderId="1" xfId="0" applyBorder="1" applyAlignment="1">
      <alignment vertical="center"/>
    </xf>
    <xf numFmtId="0" fontId="39" fillId="0" borderId="1" xfId="21" applyFont="1" applyBorder="1" applyAlignment="1">
      <alignment horizontal="center" vertical="center" wrapText="1"/>
    </xf>
    <xf numFmtId="0" fontId="37" fillId="0" borderId="1" xfId="21" applyFont="1" applyBorder="1" applyAlignment="1">
      <alignment horizontal="center" vertical="center" wrapText="1"/>
    </xf>
    <xf numFmtId="0" fontId="37" fillId="0" borderId="1" xfId="21" applyFont="1" applyBorder="1" applyAlignment="1">
      <alignment horizontal="left" vertical="center" wrapText="1"/>
    </xf>
    <xf numFmtId="0" fontId="37" fillId="0" borderId="1" xfId="21" applyFont="1" applyBorder="1" applyAlignment="1">
      <alignment horizontal="center" vertical="center"/>
    </xf>
    <xf numFmtId="0" fontId="31" fillId="0" borderId="1" xfId="21" applyFont="1" applyBorder="1" applyAlignment="1">
      <alignment horizontal="center" vertical="center" wrapText="1"/>
    </xf>
    <xf numFmtId="0" fontId="71" fillId="0" borderId="1" xfId="0" applyFont="1" applyBorder="1" applyAlignment="1">
      <alignment horizontal="center" vertical="center" wrapText="1"/>
    </xf>
    <xf numFmtId="0" fontId="0" fillId="14" borderId="1" xfId="0" applyFont="1" applyFill="1" applyBorder="1" applyAlignment="1">
      <alignment horizontal="left" vertical="center" wrapText="1"/>
    </xf>
    <xf numFmtId="0" fontId="34" fillId="14" borderId="1" xfId="21" applyFont="1" applyFill="1" applyBorder="1" applyAlignment="1">
      <alignment horizontal="left" vertical="center" wrapText="1"/>
    </xf>
    <xf numFmtId="0" fontId="71" fillId="14" borderId="1" xfId="0" applyFont="1" applyFill="1" applyBorder="1"/>
    <xf numFmtId="0" fontId="0" fillId="14" borderId="1" xfId="0" applyFill="1" applyBorder="1" applyAlignment="1">
      <alignment horizontal="left" vertical="center"/>
    </xf>
    <xf numFmtId="0" fontId="102" fillId="14" borderId="1" xfId="0" applyFont="1" applyFill="1" applyBorder="1" applyAlignment="1">
      <alignment horizontal="justify" vertical="center" wrapText="1"/>
    </xf>
    <xf numFmtId="0" fontId="71" fillId="0" borderId="1" xfId="0" applyNumberFormat="1" applyFont="1" applyFill="1" applyBorder="1" applyAlignment="1">
      <alignment horizontal="left" vertical="center" wrapText="1"/>
    </xf>
    <xf numFmtId="0" fontId="23" fillId="0" borderId="1" xfId="21" applyFont="1" applyBorder="1" applyAlignment="1">
      <alignment horizontal="left" vertical="center" wrapText="1"/>
    </xf>
    <xf numFmtId="0" fontId="22" fillId="0" borderId="1" xfId="21" applyFont="1" applyBorder="1" applyAlignment="1">
      <alignment horizontal="left" vertical="center" wrapText="1"/>
    </xf>
    <xf numFmtId="0" fontId="21" fillId="0" borderId="1" xfId="21" applyFont="1" applyBorder="1" applyAlignment="1">
      <alignment horizontal="left" vertical="center" wrapText="1"/>
    </xf>
    <xf numFmtId="0" fontId="20" fillId="14" borderId="1" xfId="21" applyFont="1" applyFill="1" applyBorder="1" applyAlignment="1">
      <alignment horizontal="left" vertical="center" wrapText="1"/>
    </xf>
    <xf numFmtId="0" fontId="19" fillId="14" borderId="1" xfId="21" applyFont="1" applyFill="1" applyBorder="1" applyAlignment="1">
      <alignment horizontal="left" vertical="center" wrapText="1"/>
    </xf>
    <xf numFmtId="0" fontId="19" fillId="0" borderId="1" xfId="21" applyFont="1" applyBorder="1" applyAlignment="1">
      <alignment horizontal="left" vertical="center" wrapText="1"/>
    </xf>
    <xf numFmtId="0" fontId="17" fillId="0" borderId="0" xfId="21" applyFont="1" applyAlignment="1">
      <alignment horizontal="left" vertical="center" wrapText="1"/>
    </xf>
    <xf numFmtId="0" fontId="0" fillId="7" borderId="33" xfId="0" applyFill="1" applyBorder="1" applyAlignment="1">
      <alignment horizontal="left" vertical="center" wrapText="1"/>
    </xf>
    <xf numFmtId="0" fontId="0" fillId="0" borderId="0" xfId="0" applyAlignment="1">
      <alignment horizontal="left" vertical="center"/>
    </xf>
    <xf numFmtId="0" fontId="0" fillId="7" borderId="33" xfId="0" applyFill="1" applyBorder="1" applyAlignment="1">
      <alignment horizontal="left" vertical="center"/>
    </xf>
    <xf numFmtId="0" fontId="0" fillId="0" borderId="33" xfId="0" applyBorder="1" applyAlignment="1">
      <alignment horizontal="left" vertical="center"/>
    </xf>
    <xf numFmtId="0" fontId="103" fillId="7" borderId="33" xfId="0" applyFont="1" applyFill="1" applyBorder="1" applyAlignment="1">
      <alignment horizontal="left" vertical="center" wrapText="1"/>
    </xf>
    <xf numFmtId="0" fontId="0" fillId="7" borderId="33" xfId="0" applyNumberFormat="1" applyFont="1" applyFill="1" applyBorder="1" applyAlignment="1">
      <alignment horizontal="left" vertical="center" wrapText="1"/>
    </xf>
    <xf numFmtId="0" fontId="103" fillId="7" borderId="33" xfId="0" applyFont="1" applyFill="1" applyBorder="1" applyAlignment="1">
      <alignment horizontal="left" vertical="center"/>
    </xf>
    <xf numFmtId="0" fontId="16" fillId="0" borderId="0" xfId="21" applyFont="1" applyAlignment="1">
      <alignment horizontal="center" vertical="center"/>
    </xf>
    <xf numFmtId="0" fontId="15" fillId="0" borderId="0" xfId="21" applyFont="1" applyAlignment="1">
      <alignment horizontal="left" vertical="center" wrapText="1"/>
    </xf>
    <xf numFmtId="0" fontId="37" fillId="23" borderId="1" xfId="21" applyFont="1" applyFill="1" applyBorder="1" applyAlignment="1">
      <alignment horizontal="center" vertical="center"/>
    </xf>
    <xf numFmtId="0" fontId="94" fillId="0" borderId="0" xfId="0" applyFont="1" applyAlignment="1">
      <alignment vertical="center" wrapText="1"/>
    </xf>
    <xf numFmtId="0" fontId="14" fillId="0" borderId="1" xfId="21" applyNumberFormat="1" applyFont="1" applyFill="1" applyBorder="1" applyAlignment="1">
      <alignment horizontal="left" vertical="center" wrapText="1"/>
    </xf>
    <xf numFmtId="0" fontId="14" fillId="0" borderId="1" xfId="21" applyFont="1" applyBorder="1" applyAlignment="1">
      <alignment horizontal="center" vertical="center" wrapText="1"/>
    </xf>
    <xf numFmtId="0" fontId="13" fillId="0" borderId="0" xfId="21" applyFont="1" applyAlignment="1">
      <alignment horizontal="left" vertical="center" wrapText="1"/>
    </xf>
    <xf numFmtId="0" fontId="12" fillId="0" borderId="1" xfId="21" applyFont="1" applyBorder="1" applyAlignment="1">
      <alignment horizontal="left" vertical="center" wrapText="1"/>
    </xf>
    <xf numFmtId="0" fontId="0" fillId="0" borderId="0" xfId="0" applyAlignment="1">
      <alignment horizontal="left" vertical="center" wrapText="1"/>
    </xf>
    <xf numFmtId="0" fontId="12" fillId="0" borderId="0" xfId="21" applyFont="1" applyAlignment="1">
      <alignment horizontal="left" vertical="center" wrapText="1"/>
    </xf>
    <xf numFmtId="0" fontId="11" fillId="0" borderId="0" xfId="21" applyFont="1" applyAlignment="1">
      <alignment horizontal="left" vertical="center" wrapText="1"/>
    </xf>
    <xf numFmtId="0" fontId="71" fillId="0" borderId="0" xfId="0" applyFont="1" applyAlignment="1">
      <alignment horizontal="left" vertical="center" wrapText="1"/>
    </xf>
    <xf numFmtId="0" fontId="10" fillId="0" borderId="1" xfId="21" applyFont="1" applyBorder="1" applyAlignment="1">
      <alignment horizontal="center" vertical="center"/>
    </xf>
    <xf numFmtId="0" fontId="10" fillId="0" borderId="1" xfId="21" applyFont="1" applyBorder="1" applyAlignment="1">
      <alignment horizontal="left" vertical="center" wrapText="1"/>
    </xf>
    <xf numFmtId="0" fontId="0" fillId="0" borderId="0" xfId="0" applyAlignment="1">
      <alignment horizontal="center" vertical="center" wrapText="1"/>
    </xf>
    <xf numFmtId="0" fontId="10" fillId="0" borderId="1" xfId="21" applyNumberFormat="1" applyFont="1" applyFill="1" applyBorder="1" applyAlignment="1">
      <alignment horizontal="left" vertical="center" wrapText="1"/>
    </xf>
    <xf numFmtId="0" fontId="9" fillId="0" borderId="1" xfId="21" applyFont="1" applyBorder="1" applyAlignment="1">
      <alignment horizontal="left" vertical="center" wrapText="1"/>
    </xf>
    <xf numFmtId="0" fontId="9" fillId="0" borderId="0" xfId="21" applyFont="1" applyAlignment="1">
      <alignment horizontal="left" vertical="center" wrapText="1"/>
    </xf>
    <xf numFmtId="0" fontId="8" fillId="0" borderId="0" xfId="21" applyFont="1" applyAlignment="1">
      <alignment horizontal="left" vertical="center" wrapText="1"/>
    </xf>
    <xf numFmtId="0" fontId="8" fillId="0" borderId="1" xfId="21" applyFont="1" applyBorder="1" applyAlignment="1">
      <alignment horizontal="left" vertical="center" wrapText="1"/>
    </xf>
    <xf numFmtId="0" fontId="8" fillId="0" borderId="1" xfId="21" applyFont="1" applyBorder="1" applyAlignment="1">
      <alignment horizontal="center" vertical="center"/>
    </xf>
    <xf numFmtId="0" fontId="7" fillId="0" borderId="0" xfId="21" applyFont="1" applyAlignment="1">
      <alignment horizontal="left" vertical="center" wrapText="1"/>
    </xf>
    <xf numFmtId="0" fontId="0" fillId="7" borderId="1" xfId="0" applyFill="1" applyBorder="1" applyAlignment="1">
      <alignment horizontal="left" vertical="center"/>
    </xf>
    <xf numFmtId="0" fontId="0" fillId="7" borderId="1" xfId="0" applyFill="1" applyBorder="1" applyAlignment="1">
      <alignment horizontal="left" vertical="center" wrapText="1"/>
    </xf>
    <xf numFmtId="0" fontId="6" fillId="0" borderId="0" xfId="21" applyFont="1" applyAlignment="1">
      <alignment horizontal="left" vertical="center" wrapText="1"/>
    </xf>
    <xf numFmtId="0" fontId="0" fillId="0" borderId="0" xfId="0" applyFont="1" applyAlignment="1">
      <alignment horizontal="left" vertical="center"/>
    </xf>
    <xf numFmtId="0" fontId="71" fillId="0" borderId="0" xfId="0" applyFont="1" applyAlignment="1">
      <alignment horizontal="left" vertical="center"/>
    </xf>
    <xf numFmtId="0" fontId="71" fillId="0" borderId="33" xfId="0" applyFont="1" applyBorder="1" applyAlignment="1">
      <alignment horizontal="left" vertical="center"/>
    </xf>
    <xf numFmtId="0" fontId="71" fillId="7" borderId="33" xfId="0" applyFont="1" applyFill="1" applyBorder="1" applyAlignment="1">
      <alignment horizontal="left" vertical="center" wrapText="1"/>
    </xf>
    <xf numFmtId="0" fontId="104" fillId="7" borderId="1" xfId="0" applyNumberFormat="1" applyFont="1" applyFill="1" applyBorder="1" applyAlignment="1">
      <alignment horizontal="left" vertical="center" wrapText="1"/>
    </xf>
    <xf numFmtId="0" fontId="0" fillId="7" borderId="1" xfId="0" applyFont="1" applyFill="1" applyBorder="1" applyAlignment="1">
      <alignment horizontal="left" vertical="center"/>
    </xf>
    <xf numFmtId="0" fontId="27" fillId="0" borderId="1" xfId="21" applyFont="1" applyFill="1" applyBorder="1" applyAlignment="1">
      <alignment horizontal="left" vertical="center"/>
    </xf>
    <xf numFmtId="0" fontId="59" fillId="14" borderId="1" xfId="21" applyFill="1" applyBorder="1" applyAlignment="1">
      <alignment horizontal="center" vertical="center" wrapText="1"/>
    </xf>
    <xf numFmtId="0" fontId="0" fillId="14" borderId="1" xfId="0" applyFont="1" applyFill="1" applyBorder="1" applyAlignment="1">
      <alignment horizontal="center" vertical="center"/>
    </xf>
    <xf numFmtId="0" fontId="58" fillId="14" borderId="1" xfId="21" applyNumberFormat="1" applyFont="1" applyFill="1" applyBorder="1" applyAlignment="1">
      <alignment horizontal="left" vertical="center" wrapText="1"/>
    </xf>
    <xf numFmtId="0" fontId="18" fillId="14" borderId="1" xfId="21" applyNumberFormat="1" applyFont="1" applyFill="1" applyBorder="1" applyAlignment="1">
      <alignment horizontal="left" vertical="center" wrapText="1"/>
    </xf>
    <xf numFmtId="0" fontId="58" fillId="14" borderId="1" xfId="21" applyFont="1" applyFill="1" applyBorder="1" applyAlignment="1">
      <alignment horizontal="center" vertical="center"/>
    </xf>
    <xf numFmtId="0" fontId="5" fillId="0" borderId="1" xfId="21" applyFont="1" applyBorder="1" applyAlignment="1">
      <alignment horizontal="left" vertical="center" wrapText="1"/>
    </xf>
    <xf numFmtId="0" fontId="0" fillId="0" borderId="1" xfId="0" applyFont="1" applyFill="1" applyBorder="1" applyAlignment="1">
      <alignment horizontal="center" vertical="center"/>
    </xf>
    <xf numFmtId="0" fontId="71" fillId="0" borderId="1" xfId="0" applyFont="1" applyFill="1" applyBorder="1" applyAlignment="1">
      <alignment horizontal="left" vertical="center" wrapText="1"/>
    </xf>
    <xf numFmtId="0" fontId="4" fillId="0" borderId="1" xfId="21" applyFont="1" applyBorder="1" applyAlignment="1">
      <alignment horizontal="left" vertical="center" wrapText="1"/>
    </xf>
    <xf numFmtId="0" fontId="4" fillId="0" borderId="1" xfId="21" applyFont="1" applyBorder="1" applyAlignment="1">
      <alignment horizontal="center" vertical="center" wrapText="1"/>
    </xf>
    <xf numFmtId="0" fontId="4" fillId="0" borderId="1" xfId="21" applyNumberFormat="1" applyFont="1" applyFill="1" applyBorder="1" applyAlignment="1">
      <alignment horizontal="left" vertical="center" wrapText="1"/>
    </xf>
    <xf numFmtId="0" fontId="0" fillId="0" borderId="0" xfId="0" applyFill="1" applyBorder="1" applyAlignment="1">
      <alignment horizontal="left" vertical="center" wrapText="1"/>
    </xf>
    <xf numFmtId="0" fontId="3" fillId="0" borderId="1" xfId="21" applyFont="1" applyBorder="1" applyAlignment="1">
      <alignment horizontal="center" vertical="center"/>
    </xf>
    <xf numFmtId="0" fontId="2" fillId="0" borderId="1" xfId="21" applyNumberFormat="1" applyFont="1" applyFill="1" applyBorder="1" applyAlignment="1">
      <alignment horizontal="left" vertical="center" wrapText="1"/>
    </xf>
    <xf numFmtId="0" fontId="2" fillId="0" borderId="1" xfId="21" applyFont="1" applyBorder="1" applyAlignment="1">
      <alignment horizontal="center" vertical="center"/>
    </xf>
    <xf numFmtId="0" fontId="2" fillId="0" borderId="1" xfId="21" applyFont="1" applyBorder="1" applyAlignment="1">
      <alignment horizontal="center" vertical="center" wrapText="1"/>
    </xf>
    <xf numFmtId="0" fontId="2" fillId="0" borderId="0" xfId="21" applyFont="1" applyAlignment="1">
      <alignment horizontal="left" vertical="center" wrapText="1"/>
    </xf>
    <xf numFmtId="0" fontId="87" fillId="6" borderId="6" xfId="14" applyFont="1" applyFill="1" applyBorder="1" applyAlignment="1">
      <alignment horizontal="center" vertical="center" wrapText="1" readingOrder="1"/>
    </xf>
    <xf numFmtId="0" fontId="87" fillId="6" borderId="9" xfId="14" applyFont="1" applyFill="1" applyBorder="1" applyAlignment="1">
      <alignment horizontal="center" vertical="center" wrapText="1" readingOrder="1"/>
    </xf>
    <xf numFmtId="0" fontId="87" fillId="6" borderId="7" xfId="14" applyFont="1" applyFill="1" applyBorder="1" applyAlignment="1">
      <alignment horizontal="center" vertical="center" wrapText="1" readingOrder="1"/>
    </xf>
    <xf numFmtId="0" fontId="87" fillId="6" borderId="10" xfId="14" applyFont="1" applyFill="1" applyBorder="1" applyAlignment="1">
      <alignment horizontal="center" vertical="center" wrapText="1" readingOrder="1"/>
    </xf>
    <xf numFmtId="0" fontId="87" fillId="6" borderId="8" xfId="14" applyFont="1" applyFill="1" applyBorder="1" applyAlignment="1">
      <alignment horizontal="center" vertical="center" wrapText="1" readingOrder="1"/>
    </xf>
    <xf numFmtId="0" fontId="87" fillId="6" borderId="14" xfId="14" applyFont="1" applyFill="1" applyBorder="1" applyAlignment="1">
      <alignment horizontal="center" vertical="center" wrapText="1" indent="1" readingOrder="1"/>
    </xf>
    <xf numFmtId="0" fontId="87" fillId="6" borderId="15" xfId="14" applyFont="1" applyFill="1" applyBorder="1" applyAlignment="1">
      <alignment horizontal="center" vertical="center" wrapText="1" indent="1" readingOrder="1"/>
    </xf>
    <xf numFmtId="0" fontId="87" fillId="6" borderId="27" xfId="14" applyFont="1" applyFill="1" applyBorder="1" applyAlignment="1">
      <alignment horizontal="center" vertical="center" wrapText="1" readingOrder="1"/>
    </xf>
    <xf numFmtId="0" fontId="87" fillId="6" borderId="29" xfId="14" applyFont="1" applyFill="1" applyBorder="1" applyAlignment="1">
      <alignment horizontal="center" vertical="center" wrapText="1" readingOrder="1"/>
    </xf>
    <xf numFmtId="0" fontId="87" fillId="6" borderId="30" xfId="14" applyFont="1" applyFill="1" applyBorder="1" applyAlignment="1">
      <alignment horizontal="center" vertical="center" wrapText="1" readingOrder="1"/>
    </xf>
    <xf numFmtId="0" fontId="87" fillId="6" borderId="19" xfId="14" applyFont="1" applyFill="1" applyBorder="1" applyAlignment="1">
      <alignment horizontal="center" vertical="center" wrapText="1" readingOrder="1"/>
    </xf>
    <xf numFmtId="0" fontId="88" fillId="0" borderId="5" xfId="14" applyFont="1" applyBorder="1" applyAlignment="1">
      <alignment horizontal="center" vertical="center" wrapText="1"/>
    </xf>
    <xf numFmtId="0" fontId="88" fillId="0" borderId="31" xfId="14" applyFont="1" applyBorder="1" applyAlignment="1">
      <alignment horizontal="center" vertical="center" wrapText="1"/>
    </xf>
    <xf numFmtId="0" fontId="87" fillId="6" borderId="28" xfId="14" applyFont="1" applyFill="1" applyBorder="1" applyAlignment="1">
      <alignment horizontal="center" vertical="center" wrapText="1" readingOrder="1"/>
    </xf>
    <xf numFmtId="0" fontId="90" fillId="6" borderId="6" xfId="14" applyFont="1" applyFill="1" applyBorder="1" applyAlignment="1">
      <alignment horizontal="center" vertical="center" wrapText="1" readingOrder="1"/>
    </xf>
    <xf numFmtId="0" fontId="90" fillId="6" borderId="9" xfId="14" applyFont="1" applyFill="1" applyBorder="1" applyAlignment="1">
      <alignment horizontal="center" vertical="center" wrapText="1" readingOrder="1"/>
    </xf>
    <xf numFmtId="0" fontId="90" fillId="6" borderId="7" xfId="14" applyFont="1" applyFill="1" applyBorder="1" applyAlignment="1">
      <alignment horizontal="center" vertical="center" wrapText="1" readingOrder="1"/>
    </xf>
    <xf numFmtId="0" fontId="90" fillId="6" borderId="10" xfId="14" applyFont="1" applyFill="1" applyBorder="1" applyAlignment="1">
      <alignment horizontal="center" vertical="center" wrapText="1" readingOrder="1"/>
    </xf>
    <xf numFmtId="0" fontId="90" fillId="6" borderId="17" xfId="14" applyFont="1" applyFill="1" applyBorder="1" applyAlignment="1">
      <alignment horizontal="center" vertical="center" wrapText="1" readingOrder="1"/>
    </xf>
    <xf numFmtId="0" fontId="90" fillId="6" borderId="21" xfId="14" applyFont="1" applyFill="1" applyBorder="1" applyAlignment="1">
      <alignment horizontal="center" vertical="center" wrapText="1" readingOrder="1"/>
    </xf>
    <xf numFmtId="0" fontId="90" fillId="6" borderId="18" xfId="14" applyFont="1" applyFill="1" applyBorder="1" applyAlignment="1">
      <alignment horizontal="center" vertical="center" wrapText="1" readingOrder="1"/>
    </xf>
    <xf numFmtId="0" fontId="90" fillId="6" borderId="19" xfId="14" applyFont="1" applyFill="1" applyBorder="1" applyAlignment="1">
      <alignment horizontal="center" vertical="center" wrapText="1" readingOrder="1"/>
    </xf>
    <xf numFmtId="0" fontId="90" fillId="6" borderId="20" xfId="14" applyFont="1" applyFill="1" applyBorder="1" applyAlignment="1">
      <alignment horizontal="center" vertical="center" wrapText="1" readingOrder="1"/>
    </xf>
    <xf numFmtId="0" fontId="90" fillId="6" borderId="22" xfId="14" applyFont="1" applyFill="1" applyBorder="1" applyAlignment="1">
      <alignment horizontal="center" vertical="center" wrapText="1" readingOrder="1"/>
    </xf>
    <xf numFmtId="0" fontId="90" fillId="6" borderId="23" xfId="14" applyFont="1" applyFill="1" applyBorder="1" applyAlignment="1">
      <alignment horizontal="center" vertical="center" wrapText="1" readingOrder="1"/>
    </xf>
    <xf numFmtId="0" fontId="90" fillId="6" borderId="24" xfId="14" applyFont="1" applyFill="1" applyBorder="1" applyAlignment="1">
      <alignment horizontal="center" vertical="center" wrapText="1" readingOrder="1"/>
    </xf>
    <xf numFmtId="9" fontId="90" fillId="6" borderId="25" xfId="14" applyNumberFormat="1" applyFont="1" applyFill="1" applyBorder="1" applyAlignment="1">
      <alignment horizontal="center" vertical="center" wrapText="1" readingOrder="1"/>
    </xf>
    <xf numFmtId="9" fontId="90" fillId="6" borderId="23" xfId="14" applyNumberFormat="1" applyFont="1" applyFill="1" applyBorder="1" applyAlignment="1">
      <alignment horizontal="center" vertical="center" wrapText="1" readingOrder="1"/>
    </xf>
    <xf numFmtId="9" fontId="90" fillId="6" borderId="26" xfId="14" applyNumberFormat="1" applyFont="1" applyFill="1" applyBorder="1" applyAlignment="1">
      <alignment horizontal="center" vertical="center" wrapText="1" readingOrder="1"/>
    </xf>
    <xf numFmtId="0" fontId="90" fillId="6" borderId="25" xfId="14" applyFont="1" applyFill="1" applyBorder="1" applyAlignment="1">
      <alignment horizontal="center" vertical="center" wrapText="1" readingOrder="1"/>
    </xf>
    <xf numFmtId="0" fontId="90" fillId="6" borderId="26" xfId="14" applyFont="1" applyFill="1" applyBorder="1" applyAlignment="1">
      <alignment horizontal="center" vertical="center" wrapText="1" readingOrder="1"/>
    </xf>
    <xf numFmtId="0" fontId="99" fillId="8" borderId="33" xfId="0" applyFont="1" applyFill="1" applyBorder="1" applyAlignment="1">
      <alignment horizontal="center" vertical="center"/>
    </xf>
    <xf numFmtId="0" fontId="94" fillId="0" borderId="33" xfId="0" applyFont="1" applyBorder="1" applyAlignment="1">
      <alignment horizontal="center" vertical="center"/>
    </xf>
    <xf numFmtId="9" fontId="95" fillId="0" borderId="33" xfId="0" applyNumberFormat="1" applyFont="1" applyBorder="1" applyAlignment="1">
      <alignment horizontal="center" vertical="center"/>
    </xf>
    <xf numFmtId="0" fontId="94" fillId="0" borderId="33" xfId="0" applyFont="1" applyBorder="1" applyAlignment="1">
      <alignment horizontal="left" vertical="center" wrapText="1"/>
    </xf>
    <xf numFmtId="0" fontId="100" fillId="0" borderId="0" xfId="0" applyFont="1" applyAlignment="1">
      <alignment horizontal="left" vertical="center"/>
    </xf>
    <xf numFmtId="0" fontId="86" fillId="0" borderId="33" xfId="22" applyFont="1" applyBorder="1" applyAlignment="1">
      <alignment horizontal="center" vertical="center"/>
    </xf>
    <xf numFmtId="0" fontId="94" fillId="0" borderId="36" xfId="22" applyFont="1" applyBorder="1" applyAlignment="1">
      <alignment horizontal="center" vertical="center"/>
    </xf>
    <xf numFmtId="0" fontId="94" fillId="0" borderId="37" xfId="22" applyFont="1" applyBorder="1" applyAlignment="1">
      <alignment horizontal="center" vertical="center"/>
    </xf>
    <xf numFmtId="0" fontId="95" fillId="0" borderId="36" xfId="22" applyFont="1" applyBorder="1" applyAlignment="1">
      <alignment horizontal="center" vertical="center"/>
    </xf>
    <xf numFmtId="0" fontId="95" fillId="0" borderId="37" xfId="22" applyFont="1" applyBorder="1" applyAlignment="1">
      <alignment horizontal="center" vertical="center"/>
    </xf>
    <xf numFmtId="0" fontId="94" fillId="0" borderId="33" xfId="22" applyFont="1" applyBorder="1" applyAlignment="1">
      <alignment horizontal="center" vertical="center"/>
    </xf>
    <xf numFmtId="0" fontId="86" fillId="0" borderId="33" xfId="22" applyFont="1" applyBorder="1" applyAlignment="1">
      <alignment horizontal="left" vertical="center"/>
    </xf>
    <xf numFmtId="0" fontId="86" fillId="0" borderId="33" xfId="22" applyFont="1" applyBorder="1" applyAlignment="1">
      <alignment horizontal="left" vertical="center" wrapText="1"/>
    </xf>
  </cellXfs>
  <cellStyles count="23">
    <cellStyle name="Normal" xfId="0" builtinId="0"/>
    <cellStyle name="Normal 10" xfId="18"/>
    <cellStyle name="Normal 11" xfId="19"/>
    <cellStyle name="Normal 12" xfId="20"/>
    <cellStyle name="Normal 13" xfId="22"/>
    <cellStyle name="Normal 2" xfId="2"/>
    <cellStyle name="Normal 3" xfId="1"/>
    <cellStyle name="Normal 3 2" xfId="5"/>
    <cellStyle name="Normal 3 2 2" xfId="11"/>
    <cellStyle name="Normal 3 2 3" xfId="13"/>
    <cellStyle name="Normal 3 3" xfId="9"/>
    <cellStyle name="Normal 4" xfId="4"/>
    <cellStyle name="Normal 5" xfId="3"/>
    <cellStyle name="Normal 5 2" xfId="10"/>
    <cellStyle name="Normal 6" xfId="12"/>
    <cellStyle name="Normal 7" xfId="14"/>
    <cellStyle name="Normal 7 2" xfId="21"/>
    <cellStyle name="Normal 8" xfId="16"/>
    <cellStyle name="Normal 9" xfId="17"/>
    <cellStyle name="Percent 2" xfId="6"/>
    <cellStyle name="Percent 3" xfId="7"/>
    <cellStyle name="Percent 3 2" xfId="8"/>
    <cellStyle name="Percent 4" xfId="15"/>
  </cellStyles>
  <dxfs count="176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b/>
        <i val="0"/>
        <color theme="1"/>
      </font>
      <fill>
        <patternFill>
          <bgColor theme="0" tint="-0.24994659260841701"/>
        </patternFill>
      </fill>
    </dxf>
    <dxf>
      <font>
        <color rgb="FF9C6500"/>
      </font>
      <fill>
        <patternFill>
          <bgColor rgb="FFFFEB9C"/>
        </patternFill>
      </fill>
    </dxf>
    <dxf>
      <font>
        <color rgb="FF9C6500"/>
      </font>
      <fill>
        <patternFill>
          <bgColor rgb="FFFFEB9C"/>
        </patternFill>
      </fill>
    </dxf>
    <dxf>
      <font>
        <b/>
        <i val="0"/>
        <color theme="1"/>
      </font>
      <fill>
        <patternFill>
          <bgColor theme="0" tint="-0.24994659260841701"/>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6500"/>
      </font>
      <fill>
        <patternFill>
          <bgColor rgb="FFFFEB9C"/>
        </patternFill>
      </fill>
    </dxf>
    <dxf>
      <font>
        <b/>
        <i val="0"/>
        <color theme="1"/>
      </font>
      <fill>
        <patternFill>
          <bgColor theme="0" tint="-0.24994659260841701"/>
        </patternFill>
      </fill>
    </dxf>
    <dxf>
      <font>
        <color rgb="FF9C6500"/>
      </font>
      <fill>
        <patternFill>
          <bgColor rgb="FFFFEB9C"/>
        </patternFill>
      </fill>
    </dxf>
    <dxf>
      <font>
        <b/>
        <i val="0"/>
        <color theme="1"/>
      </font>
      <fill>
        <patternFill>
          <bgColor theme="0" tint="-0.24994659260841701"/>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b/>
        <i val="0"/>
        <color theme="1"/>
      </font>
      <fill>
        <patternFill>
          <bgColor theme="0" tint="-0.24994659260841701"/>
        </patternFill>
      </fill>
    </dxf>
    <dxf>
      <font>
        <color rgb="FF006100"/>
      </font>
      <fill>
        <patternFill>
          <bgColor rgb="FFC6EFCE"/>
        </patternFill>
      </fill>
    </dxf>
    <dxf>
      <font>
        <color rgb="FF9C0006"/>
      </font>
      <fill>
        <patternFill>
          <bgColor rgb="FFFFC7CE"/>
        </patternFill>
      </fill>
    </dxf>
    <dxf>
      <font>
        <color theme="1" tint="0.499984740745262"/>
      </font>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b/>
        <i val="0"/>
        <color theme="1"/>
      </font>
      <fill>
        <patternFill>
          <bgColor theme="0" tint="-0.24994659260841701"/>
        </patternFill>
      </fill>
    </dxf>
    <dxf>
      <font>
        <color rgb="FF006100"/>
      </font>
      <fill>
        <patternFill>
          <bgColor rgb="FFC6EFCE"/>
        </patternFill>
      </fill>
    </dxf>
    <dxf>
      <font>
        <color rgb="FF9C0006"/>
      </font>
      <fill>
        <patternFill>
          <bgColor rgb="FFFFC7CE"/>
        </patternFill>
      </fill>
    </dxf>
    <dxf>
      <font>
        <color theme="1" tint="0.499984740745262"/>
      </font>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b/>
        <i val="0"/>
        <color theme="1"/>
      </font>
      <fill>
        <patternFill>
          <bgColor theme="0" tint="-0.24994659260841701"/>
        </patternFill>
      </fill>
    </dxf>
    <dxf>
      <font>
        <color rgb="FF006100"/>
      </font>
      <fill>
        <patternFill>
          <bgColor rgb="FFC6EFCE"/>
        </patternFill>
      </fill>
    </dxf>
    <dxf>
      <font>
        <color rgb="FF9C0006"/>
      </font>
      <fill>
        <patternFill>
          <bgColor rgb="FFFFC7CE"/>
        </patternFill>
      </fill>
    </dxf>
    <dxf>
      <fill>
        <patternFill>
          <bgColor rgb="FFFFC7CE"/>
        </patternFill>
      </fill>
    </dxf>
    <dxf>
      <font>
        <color theme="1" tint="0.499984740745262"/>
      </font>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b/>
        <i val="0"/>
        <color theme="1"/>
      </font>
      <fill>
        <patternFill>
          <bgColor theme="0" tint="-0.24994659260841701"/>
        </patternFill>
      </fill>
    </dxf>
    <dxf>
      <font>
        <color rgb="FF006100"/>
      </font>
      <fill>
        <patternFill>
          <bgColor rgb="FFC6EFCE"/>
        </patternFill>
      </fill>
    </dxf>
    <dxf>
      <font>
        <color rgb="FF9C0006"/>
      </font>
      <fill>
        <patternFill>
          <bgColor rgb="FFFFC7CE"/>
        </patternFill>
      </fill>
    </dxf>
    <dxf>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b/>
        <i val="0"/>
        <color theme="1"/>
      </font>
      <fill>
        <patternFill>
          <bgColor theme="0" tint="-0.24994659260841701"/>
        </patternFill>
      </fill>
    </dxf>
    <dxf>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b/>
        <i val="0"/>
        <color theme="1"/>
      </font>
      <fill>
        <patternFill>
          <bgColor theme="0" tint="-0.24994659260841701"/>
        </patternFill>
      </fill>
    </dxf>
    <dxf>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b/>
        <i val="0"/>
        <color theme="1"/>
      </font>
      <fill>
        <patternFill>
          <bgColor theme="0" tint="-0.24994659260841701"/>
        </patternFill>
      </fill>
    </dxf>
    <dxf>
      <font>
        <color rgb="FF006100"/>
      </font>
      <fill>
        <patternFill>
          <bgColor rgb="FFC6EFCE"/>
        </patternFill>
      </fill>
    </dxf>
    <dxf>
      <font>
        <color rgb="FF9C0006"/>
      </font>
      <fill>
        <patternFill>
          <bgColor rgb="FFFFC7CE"/>
        </patternFill>
      </fill>
    </dxf>
    <dxf>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b/>
        <i val="0"/>
        <color theme="1"/>
      </font>
      <fill>
        <patternFill>
          <bgColor theme="0" tint="-0.24994659260841701"/>
        </patternFill>
      </fill>
    </dxf>
    <dxf>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b/>
        <i val="0"/>
        <color theme="1"/>
      </font>
      <fill>
        <patternFill>
          <bgColor theme="0" tint="-0.24994659260841701"/>
        </patternFill>
      </fill>
    </dxf>
    <dxf>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b/>
        <i val="0"/>
        <color theme="1"/>
      </font>
      <fill>
        <patternFill>
          <bgColor theme="0" tint="-0.24994659260841701"/>
        </patternFill>
      </fill>
    </dxf>
    <dxf>
      <font>
        <color rgb="FF006100"/>
      </font>
      <fill>
        <patternFill>
          <bgColor rgb="FFC6EFCE"/>
        </patternFill>
      </fill>
    </dxf>
    <dxf>
      <font>
        <color rgb="FF9C0006"/>
      </font>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b/>
        <i val="0"/>
        <color theme="1"/>
      </font>
      <fill>
        <patternFill>
          <bgColor theme="0" tint="-0.24994659260841701"/>
        </patternFill>
      </fill>
    </dxf>
    <dxf>
      <font>
        <color rgb="FF006100"/>
      </font>
      <fill>
        <patternFill>
          <bgColor rgb="FFC6EFCE"/>
        </patternFill>
      </fill>
    </dxf>
    <dxf>
      <font>
        <color rgb="FF9C0006"/>
      </font>
      <fill>
        <patternFill>
          <bgColor rgb="FFFFC7CE"/>
        </patternFill>
      </fill>
    </dxf>
    <dxf>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b/>
        <i val="0"/>
        <color theme="1"/>
      </font>
      <fill>
        <patternFill>
          <bgColor theme="0" tint="-0.24994659260841701"/>
        </patternFill>
      </fill>
    </dxf>
    <dxf>
      <font>
        <color rgb="FF9C6500"/>
      </font>
      <fill>
        <patternFill>
          <bgColor rgb="FFFFEB9C"/>
        </patternFill>
      </fill>
    </dxf>
    <dxf>
      <font>
        <b/>
        <i val="0"/>
        <color theme="1"/>
      </font>
      <fill>
        <patternFill>
          <bgColor theme="0" tint="-0.24994659260841701"/>
        </patternFill>
      </fill>
    </dxf>
    <dxf>
      <font>
        <color rgb="FF9C6500"/>
      </font>
      <fill>
        <patternFill>
          <bgColor rgb="FFFFEB9C"/>
        </patternFill>
      </fill>
    </dxf>
    <dxf>
      <font>
        <b/>
        <i val="0"/>
        <color theme="1"/>
      </font>
      <fill>
        <patternFill>
          <bgColor theme="0" tint="-0.24994659260841701"/>
        </patternFill>
      </fill>
    </dxf>
    <dxf>
      <font>
        <color rgb="FF9C6500"/>
      </font>
      <fill>
        <patternFill>
          <bgColor rgb="FFFFEB9C"/>
        </patternFill>
      </fill>
    </dxf>
    <dxf>
      <font>
        <b/>
        <i val="0"/>
        <color theme="1"/>
      </font>
      <fill>
        <patternFill>
          <bgColor theme="0" tint="-0.24994659260841701"/>
        </patternFill>
      </fill>
    </dxf>
    <dxf>
      <font>
        <color rgb="FF9C6500"/>
      </font>
      <fill>
        <patternFill>
          <bgColor rgb="FFFFEB9C"/>
        </patternFill>
      </fill>
    </dxf>
    <dxf>
      <font>
        <color rgb="FF9C6500"/>
      </font>
      <fill>
        <patternFill>
          <bgColor rgb="FFFFEB9C"/>
        </patternFill>
      </fill>
    </dxf>
    <dxf>
      <font>
        <b/>
        <i val="0"/>
        <color theme="1"/>
      </font>
      <fill>
        <patternFill>
          <bgColor theme="0" tint="-0.24994659260841701"/>
        </patternFill>
      </fill>
    </dxf>
    <dxf>
      <font>
        <color rgb="FF006100"/>
      </font>
      <fill>
        <patternFill>
          <bgColor rgb="FFC6EFCE"/>
        </patternFill>
      </fill>
    </dxf>
    <dxf>
      <font>
        <color rgb="FF9C0006"/>
      </font>
      <fill>
        <patternFill>
          <bgColor rgb="FFFFC7CE"/>
        </patternFill>
      </fill>
    </dxf>
    <dxf>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b/>
        <i val="0"/>
        <color theme="1"/>
      </font>
      <fill>
        <patternFill>
          <bgColor theme="0" tint="-0.24994659260841701"/>
        </patternFill>
      </fill>
    </dxf>
    <dxf>
      <font>
        <color rgb="FF006100"/>
      </font>
      <fill>
        <patternFill>
          <bgColor rgb="FFC6EFCE"/>
        </patternFill>
      </fill>
    </dxf>
    <dxf>
      <font>
        <color rgb="FF9C0006"/>
      </font>
      <fill>
        <patternFill>
          <bgColor rgb="FFFFC7CE"/>
        </patternFill>
      </fill>
    </dxf>
    <dxf>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b/>
        <i val="0"/>
        <color theme="1"/>
      </font>
      <fill>
        <patternFill>
          <bgColor theme="0" tint="-0.24994659260841701"/>
        </patternFill>
      </fill>
    </dxf>
    <dxf>
      <font>
        <color rgb="FF9C6500"/>
      </font>
      <fill>
        <patternFill>
          <bgColor rgb="FFFFEB9C"/>
        </patternFill>
      </fill>
    </dxf>
    <dxf>
      <font>
        <b/>
        <i val="0"/>
        <color theme="1"/>
      </font>
      <fill>
        <patternFill>
          <bgColor theme="0" tint="-0.24994659260841701"/>
        </patternFill>
      </fill>
    </dxf>
    <dxf>
      <font>
        <color rgb="FF9C6500"/>
      </font>
      <fill>
        <patternFill>
          <bgColor rgb="FFFFEB9C"/>
        </patternFill>
      </fill>
    </dxf>
    <dxf>
      <font>
        <b/>
        <i val="0"/>
        <color theme="1"/>
      </font>
      <fill>
        <patternFill>
          <bgColor theme="0" tint="-0.24994659260841701"/>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b/>
        <i val="0"/>
        <color theme="1"/>
      </font>
      <fill>
        <patternFill>
          <bgColor theme="0" tint="-0.24994659260841701"/>
        </patternFill>
      </fill>
    </dxf>
    <dxf>
      <font>
        <color rgb="FF006100"/>
      </font>
      <fill>
        <patternFill>
          <bgColor rgb="FFC6EFCE"/>
        </patternFill>
      </fill>
    </dxf>
    <dxf>
      <font>
        <color rgb="FF9C0006"/>
      </font>
      <fill>
        <patternFill>
          <bgColor rgb="FFFFC7CE"/>
        </patternFill>
      </fill>
    </dxf>
    <dxf>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b/>
        <i val="0"/>
        <color theme="1"/>
      </font>
      <fill>
        <patternFill>
          <bgColor theme="0" tint="-0.24994659260841701"/>
        </patternFill>
      </fill>
    </dxf>
    <dxf>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b/>
        <i val="0"/>
        <color theme="1"/>
      </font>
      <fill>
        <patternFill>
          <bgColor theme="0" tint="-0.24994659260841701"/>
        </patternFill>
      </fill>
    </dxf>
    <dxf>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b/>
        <i val="0"/>
        <color theme="1"/>
      </font>
      <fill>
        <patternFill>
          <bgColor theme="0" tint="-0.24994659260841701"/>
        </patternFill>
      </fill>
    </dxf>
    <dxf>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b/>
        <i val="0"/>
        <color theme="1"/>
      </font>
      <fill>
        <patternFill>
          <bgColor theme="0" tint="-0.24994659260841701"/>
        </patternFill>
      </fill>
    </dxf>
    <dxf>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b/>
        <i val="0"/>
        <color theme="1"/>
      </font>
      <fill>
        <patternFill>
          <bgColor theme="0" tint="-0.24994659260841701"/>
        </patternFill>
      </fill>
    </dxf>
    <dxf>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b/>
        <i val="0"/>
        <color theme="1"/>
      </font>
      <fill>
        <patternFill>
          <bgColor theme="0" tint="-0.24994659260841701"/>
        </patternFill>
      </fill>
    </dxf>
    <dxf>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b/>
        <i val="0"/>
        <color theme="1"/>
      </font>
      <fill>
        <patternFill>
          <bgColor theme="0" tint="-0.24994659260841701"/>
        </patternFill>
      </fill>
    </dxf>
    <dxf>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b/>
        <i val="0"/>
        <color theme="1"/>
      </font>
      <fill>
        <patternFill>
          <bgColor theme="0" tint="-0.24994659260841701"/>
        </patternFill>
      </fill>
    </dxf>
    <dxf>
      <font>
        <color rgb="FF006100"/>
      </font>
      <fill>
        <patternFill>
          <bgColor rgb="FFC6EFCE"/>
        </patternFill>
      </fill>
    </dxf>
    <dxf>
      <font>
        <color rgb="FF9C0006"/>
      </font>
      <fill>
        <patternFill>
          <bgColor rgb="FFFFC7CE"/>
        </patternFill>
      </fill>
    </dxf>
    <dxf>
      <font>
        <color theme="1" tint="0.499984740745262"/>
      </font>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b/>
        <i val="0"/>
        <color theme="1"/>
      </font>
      <fill>
        <patternFill>
          <bgColor theme="0" tint="-0.24994659260841701"/>
        </patternFill>
      </fill>
    </dxf>
    <dxf>
      <font>
        <color rgb="FF006100"/>
      </font>
      <fill>
        <patternFill>
          <bgColor rgb="FFC6EFCE"/>
        </patternFill>
      </fill>
    </dxf>
    <dxf>
      <font>
        <color rgb="FF9C0006"/>
      </font>
      <fill>
        <patternFill>
          <bgColor rgb="FFFFC7CE"/>
        </patternFill>
      </fill>
    </dxf>
    <dxf>
      <font>
        <color theme="1" tint="0.499984740745262"/>
      </font>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b/>
        <i val="0"/>
        <color theme="1"/>
      </font>
      <fill>
        <patternFill>
          <bgColor theme="0" tint="-0.24994659260841701"/>
        </patternFill>
      </fill>
    </dxf>
    <dxf>
      <font>
        <color rgb="FF006100"/>
      </font>
      <fill>
        <patternFill>
          <bgColor rgb="FFC6EFCE"/>
        </patternFill>
      </fill>
    </dxf>
    <dxf>
      <font>
        <color rgb="FF9C0006"/>
      </font>
      <fill>
        <patternFill>
          <bgColor rgb="FFFFC7CE"/>
        </patternFill>
      </fill>
    </dxf>
    <dxf>
      <font>
        <color theme="1" tint="0.499984740745262"/>
      </font>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b/>
        <i val="0"/>
        <color theme="1"/>
      </font>
      <fill>
        <patternFill>
          <bgColor theme="0" tint="-0.24994659260841701"/>
        </patternFill>
      </fill>
    </dxf>
    <dxf>
      <font>
        <color rgb="FF006100"/>
      </font>
      <fill>
        <patternFill>
          <bgColor rgb="FFC6EFCE"/>
        </patternFill>
      </fill>
    </dxf>
    <dxf>
      <font>
        <color rgb="FF9C0006"/>
      </font>
      <fill>
        <patternFill>
          <bgColor rgb="FFFFC7CE"/>
        </patternFill>
      </fill>
    </dxf>
    <dxf>
      <font>
        <color theme="1" tint="0.499984740745262"/>
      </font>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b/>
        <i val="0"/>
        <color theme="1"/>
      </font>
      <fill>
        <patternFill>
          <bgColor theme="0" tint="-0.24994659260841701"/>
        </patternFill>
      </fill>
    </dxf>
    <dxf>
      <font>
        <color rgb="FF006100"/>
      </font>
      <fill>
        <patternFill>
          <bgColor rgb="FFC6EFCE"/>
        </patternFill>
      </fill>
    </dxf>
    <dxf>
      <font>
        <color rgb="FF9C0006"/>
      </font>
      <fill>
        <patternFill>
          <bgColor rgb="FFFFC7CE"/>
        </patternFill>
      </fill>
    </dxf>
    <dxf>
      <font>
        <color theme="1" tint="0.499984740745262"/>
      </font>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b/>
        <i val="0"/>
        <color theme="1"/>
      </font>
      <fill>
        <patternFill>
          <bgColor theme="0" tint="-0.24994659260841701"/>
        </patternFill>
      </fill>
    </dxf>
    <dxf>
      <font>
        <color rgb="FF006100"/>
      </font>
      <fill>
        <patternFill>
          <bgColor rgb="FFC6EFCE"/>
        </patternFill>
      </fill>
    </dxf>
    <dxf>
      <font>
        <color rgb="FF9C0006"/>
      </font>
      <fill>
        <patternFill>
          <bgColor rgb="FFFFC7CE"/>
        </patternFill>
      </fill>
    </dxf>
    <dxf>
      <font>
        <color theme="1" tint="0.499984740745262"/>
      </font>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b/>
        <i val="0"/>
        <color theme="1"/>
      </font>
      <fill>
        <patternFill>
          <bgColor theme="0" tint="-0.2499465926084170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b/>
        <i val="0"/>
        <color theme="1"/>
      </font>
      <fill>
        <patternFill>
          <bgColor theme="0" tint="-0.24994659260841701"/>
        </patternFill>
      </fill>
    </dxf>
    <dxf>
      <font>
        <color rgb="FF006100"/>
      </font>
      <fill>
        <patternFill>
          <bgColor rgb="FFC6EFCE"/>
        </patternFill>
      </fill>
    </dxf>
    <dxf>
      <font>
        <color rgb="FF9C0006"/>
      </font>
      <fill>
        <patternFill>
          <bgColor rgb="FFFFC7CE"/>
        </patternFill>
      </fill>
    </dxf>
    <dxf>
      <font>
        <color theme="1" tint="0.499984740745262"/>
      </font>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b/>
        <i val="0"/>
        <color theme="1"/>
      </font>
      <fill>
        <patternFill>
          <bgColor theme="0" tint="-0.24994659260841701"/>
        </patternFill>
      </fill>
    </dxf>
    <dxf>
      <font>
        <color rgb="FF006100"/>
      </font>
      <fill>
        <patternFill>
          <bgColor rgb="FFC6EFCE"/>
        </patternFill>
      </fill>
    </dxf>
    <dxf>
      <font>
        <color rgb="FF9C0006"/>
      </font>
      <fill>
        <patternFill>
          <bgColor rgb="FFFFC7CE"/>
        </patternFill>
      </fill>
    </dxf>
    <dxf>
      <fill>
        <patternFill>
          <bgColor rgb="FFFFC7CE"/>
        </patternFill>
      </fill>
    </dxf>
    <dxf>
      <font>
        <color theme="1" tint="0.499984740745262"/>
      </font>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rgb="FFFFC7CE"/>
        </patternFill>
      </fill>
    </dxf>
    <dxf>
      <font>
        <color theme="1" tint="0.499984740745262"/>
      </font>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7CE"/>
        </patternFill>
      </fill>
    </dxf>
    <dxf>
      <font>
        <color theme="1" tint="0.499984740745262"/>
      </font>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1" tint="0.499984740745262"/>
      </font>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1" tint="0.499984740745262"/>
      </font>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rgb="FFFFC7CE"/>
        </patternFill>
      </fill>
    </dxf>
    <dxf>
      <font>
        <color theme="1" tint="0.499984740745262"/>
      </font>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006100"/>
      </font>
      <fill>
        <patternFill>
          <bgColor rgb="FFC6EFCE"/>
        </patternFill>
      </fill>
    </dxf>
    <dxf>
      <font>
        <b/>
        <i val="0"/>
      </font>
      <fill>
        <patternFill>
          <bgColor theme="0" tint="-0.1499679555650502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font>
      <fill>
        <patternFill>
          <bgColor theme="0" tint="-0.1499679555650502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font>
      <fill>
        <patternFill>
          <bgColor theme="0" tint="-0.1499679555650502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font>
      <fill>
        <patternFill>
          <bgColor theme="0" tint="-0.1499679555650502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font>
      <fill>
        <patternFill>
          <bgColor theme="0" tint="-0.1499679555650502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font>
      <fill>
        <patternFill>
          <bgColor theme="0" tint="-0.1499679555650502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font>
      <fill>
        <patternFill>
          <bgColor theme="0" tint="-0.1499679555650502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font>
      <fill>
        <patternFill>
          <bgColor theme="0" tint="-0.1499679555650502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font>
      <fill>
        <patternFill>
          <bgColor theme="0" tint="-0.1499679555650502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font>
      <fill>
        <patternFill>
          <bgColor theme="0" tint="-0.1499679555650502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font>
      <fill>
        <patternFill>
          <bgColor theme="0" tint="-0.1499679555650502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font>
      <fill>
        <patternFill>
          <bgColor theme="0" tint="-0.14996795556505021"/>
        </patternFill>
      </fill>
    </dxf>
    <dxf>
      <font>
        <b/>
        <i val="0"/>
        <color theme="1"/>
      </font>
      <fill>
        <patternFill>
          <bgColor theme="8" tint="0.39994506668294322"/>
        </patternFill>
      </fill>
    </dxf>
    <dxf>
      <font>
        <b/>
        <i val="0"/>
        <color theme="1"/>
      </font>
      <fill>
        <patternFill>
          <bgColor rgb="FF9999FF"/>
        </patternFill>
      </fill>
    </dxf>
    <dxf>
      <font>
        <b/>
        <i val="0"/>
      </font>
      <fill>
        <patternFill>
          <bgColor theme="9" tint="0.79998168889431442"/>
        </patternFill>
      </fill>
    </dxf>
    <dxf>
      <font>
        <b/>
        <i val="0"/>
      </font>
      <fill>
        <patternFill>
          <bgColor rgb="FF99CCFF"/>
        </patternFill>
      </fill>
    </dxf>
    <dxf>
      <font>
        <color rgb="FF9C6500"/>
      </font>
      <fill>
        <patternFill>
          <bgColor rgb="FFFFEB9C"/>
        </patternFill>
      </fill>
    </dxf>
    <dxf>
      <font>
        <b/>
        <i val="0"/>
        <color theme="1"/>
      </font>
      <fill>
        <patternFill>
          <bgColor theme="8" tint="0.39994506668294322"/>
        </patternFill>
      </fill>
    </dxf>
    <dxf>
      <font>
        <b/>
        <i val="0"/>
        <color theme="1"/>
      </font>
      <fill>
        <patternFill>
          <bgColor rgb="FF9999FF"/>
        </patternFill>
      </fill>
    </dxf>
    <dxf>
      <font>
        <b/>
        <i val="0"/>
      </font>
      <fill>
        <patternFill>
          <bgColor theme="9" tint="0.79998168889431442"/>
        </patternFill>
      </fill>
    </dxf>
    <dxf>
      <font>
        <b/>
        <i val="0"/>
      </font>
      <fill>
        <patternFill>
          <bgColor rgb="FF99CC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font>
      <fill>
        <patternFill>
          <bgColor theme="0" tint="-0.14996795556505021"/>
        </patternFill>
      </fill>
    </dxf>
    <dxf>
      <font>
        <color rgb="FF9C6500"/>
      </font>
      <fill>
        <patternFill>
          <bgColor rgb="FFFFEB9C"/>
        </patternFill>
      </fill>
    </dxf>
    <dxf>
      <font>
        <b/>
        <i val="0"/>
        <color theme="1"/>
      </font>
      <fill>
        <patternFill>
          <bgColor theme="8" tint="0.39994506668294322"/>
        </patternFill>
      </fill>
    </dxf>
    <dxf>
      <font>
        <b/>
        <i val="0"/>
        <color theme="1"/>
      </font>
      <fill>
        <patternFill>
          <bgColor rgb="FF9999FF"/>
        </patternFill>
      </fill>
    </dxf>
    <dxf>
      <font>
        <b/>
        <i val="0"/>
      </font>
      <fill>
        <patternFill>
          <bgColor theme="9" tint="0.79998168889431442"/>
        </patternFill>
      </fill>
    </dxf>
    <dxf>
      <font>
        <b/>
        <i val="0"/>
      </font>
      <fill>
        <patternFill>
          <bgColor rgb="FF99CCFF"/>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font>
      <fill>
        <patternFill>
          <bgColor theme="0" tint="-0.14996795556505021"/>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font>
      <fill>
        <patternFill>
          <bgColor theme="0" tint="-0.14996795556505021"/>
        </patternFill>
      </fill>
    </dxf>
    <dxf>
      <font>
        <color rgb="FF9C6500"/>
      </font>
      <fill>
        <patternFill>
          <bgColor rgb="FFFFEB9C"/>
        </patternFill>
      </fill>
    </dxf>
    <dxf>
      <font>
        <b/>
        <i val="0"/>
        <color theme="1"/>
      </font>
      <fill>
        <patternFill>
          <bgColor theme="8" tint="0.39994506668294322"/>
        </patternFill>
      </fill>
    </dxf>
    <dxf>
      <font>
        <b/>
        <i val="0"/>
        <color theme="1"/>
      </font>
      <fill>
        <patternFill>
          <bgColor rgb="FF9999FF"/>
        </patternFill>
      </fill>
    </dxf>
    <dxf>
      <font>
        <b/>
        <i val="0"/>
      </font>
      <fill>
        <patternFill>
          <bgColor theme="9" tint="0.79998168889431442"/>
        </patternFill>
      </fill>
    </dxf>
    <dxf>
      <font>
        <b/>
        <i val="0"/>
      </font>
      <fill>
        <patternFill>
          <bgColor rgb="FF99CCFF"/>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font>
      <fill>
        <patternFill>
          <bgColor theme="0" tint="-0.14996795556505021"/>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b/>
        <i val="0"/>
        <color theme="1"/>
      </font>
      <fill>
        <patternFill>
          <bgColor theme="8" tint="0.39994506668294322"/>
        </patternFill>
      </fill>
    </dxf>
    <dxf>
      <font>
        <b/>
        <i val="0"/>
        <color theme="1"/>
      </font>
      <fill>
        <patternFill>
          <bgColor rgb="FF9999FF"/>
        </patternFill>
      </fill>
    </dxf>
    <dxf>
      <font>
        <b/>
        <i val="0"/>
      </font>
      <fill>
        <patternFill>
          <bgColor theme="9" tint="0.79998168889431442"/>
        </patternFill>
      </fill>
    </dxf>
    <dxf>
      <font>
        <b/>
        <i val="0"/>
      </font>
      <fill>
        <patternFill>
          <bgColor rgb="FF99CCFF"/>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font>
      <fill>
        <patternFill>
          <bgColor theme="0" tint="-0.14996795556505021"/>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font>
      <fill>
        <patternFill>
          <bgColor theme="0" tint="-0.14996795556505021"/>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b/>
        <i val="0"/>
        <color theme="1"/>
      </font>
      <fill>
        <patternFill>
          <bgColor theme="8" tint="0.39994506668294322"/>
        </patternFill>
      </fill>
    </dxf>
    <dxf>
      <font>
        <b/>
        <i val="0"/>
        <color theme="1"/>
      </font>
      <fill>
        <patternFill>
          <bgColor rgb="FF9999FF"/>
        </patternFill>
      </fill>
    </dxf>
    <dxf>
      <font>
        <b/>
        <i val="0"/>
      </font>
      <fill>
        <patternFill>
          <bgColor theme="9" tint="0.79998168889431442"/>
        </patternFill>
      </fill>
    </dxf>
    <dxf>
      <font>
        <b/>
        <i val="0"/>
      </font>
      <fill>
        <patternFill>
          <bgColor rgb="FF99CCFF"/>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b/>
        <i val="0"/>
        <color theme="1"/>
      </font>
      <fill>
        <patternFill>
          <bgColor theme="8" tint="0.39994506668294322"/>
        </patternFill>
      </fill>
    </dxf>
    <dxf>
      <font>
        <b/>
        <i val="0"/>
        <color theme="1"/>
      </font>
      <fill>
        <patternFill>
          <bgColor rgb="FF9999FF"/>
        </patternFill>
      </fill>
    </dxf>
    <dxf>
      <font>
        <b/>
        <i val="0"/>
      </font>
      <fill>
        <patternFill>
          <bgColor theme="9" tint="0.79998168889431442"/>
        </patternFill>
      </fill>
    </dxf>
    <dxf>
      <font>
        <b/>
        <i val="0"/>
      </font>
      <fill>
        <patternFill>
          <bgColor rgb="FF99CCFF"/>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b/>
        <i val="0"/>
        <color theme="1"/>
      </font>
      <fill>
        <patternFill>
          <bgColor theme="8" tint="0.39994506668294322"/>
        </patternFill>
      </fill>
    </dxf>
    <dxf>
      <font>
        <b/>
        <i val="0"/>
        <color theme="1"/>
      </font>
      <fill>
        <patternFill>
          <bgColor rgb="FF9999FF"/>
        </patternFill>
      </fill>
    </dxf>
    <dxf>
      <font>
        <b/>
        <i val="0"/>
      </font>
      <fill>
        <patternFill>
          <bgColor theme="9" tint="0.79998168889431442"/>
        </patternFill>
      </fill>
    </dxf>
    <dxf>
      <font>
        <b/>
        <i val="0"/>
      </font>
      <fill>
        <patternFill>
          <bgColor rgb="FF99CCFF"/>
        </patternFill>
      </fill>
    </dxf>
    <dxf>
      <font>
        <color rgb="FF9C6500"/>
      </font>
      <fill>
        <patternFill>
          <bgColor rgb="FFFFEB9C"/>
        </patternFill>
      </fill>
    </dxf>
    <dxf>
      <font>
        <b/>
        <i val="0"/>
        <color theme="1"/>
      </font>
      <fill>
        <patternFill>
          <bgColor theme="8" tint="0.39994506668294322"/>
        </patternFill>
      </fill>
    </dxf>
    <dxf>
      <font>
        <b/>
        <i val="0"/>
        <color theme="1"/>
      </font>
      <fill>
        <patternFill>
          <bgColor rgb="FF9999FF"/>
        </patternFill>
      </fill>
    </dxf>
    <dxf>
      <font>
        <b/>
        <i val="0"/>
      </font>
      <fill>
        <patternFill>
          <bgColor theme="9" tint="0.79998168889431442"/>
        </patternFill>
      </fill>
    </dxf>
    <dxf>
      <font>
        <b/>
        <i val="0"/>
      </font>
      <fill>
        <patternFill>
          <bgColor rgb="FF99CCFF"/>
        </patternFill>
      </fill>
    </dxf>
    <dxf>
      <font>
        <b/>
        <i val="0"/>
        <color theme="1"/>
      </font>
      <fill>
        <patternFill>
          <bgColor theme="8" tint="0.39994506668294322"/>
        </patternFill>
      </fill>
    </dxf>
    <dxf>
      <font>
        <b/>
        <i val="0"/>
        <color theme="1"/>
      </font>
      <fill>
        <patternFill>
          <bgColor rgb="FF9999FF"/>
        </patternFill>
      </fill>
    </dxf>
    <dxf>
      <font>
        <b/>
        <i val="0"/>
      </font>
      <fill>
        <patternFill>
          <bgColor theme="9" tint="0.79998168889431442"/>
        </patternFill>
      </fill>
    </dxf>
    <dxf>
      <font>
        <b/>
        <i val="0"/>
      </font>
      <fill>
        <patternFill>
          <bgColor rgb="FF99CCFF"/>
        </patternFill>
      </fill>
    </dxf>
    <dxf>
      <font>
        <b/>
        <i val="0"/>
        <color theme="1"/>
      </font>
      <fill>
        <patternFill>
          <bgColor theme="8" tint="0.39994506668294322"/>
        </patternFill>
      </fill>
    </dxf>
    <dxf>
      <font>
        <b/>
        <i val="0"/>
        <color theme="1"/>
      </font>
      <fill>
        <patternFill>
          <bgColor rgb="FF9999FF"/>
        </patternFill>
      </fill>
    </dxf>
    <dxf>
      <font>
        <b/>
        <i val="0"/>
      </font>
      <fill>
        <patternFill>
          <bgColor theme="9" tint="0.79998168889431442"/>
        </patternFill>
      </fill>
    </dxf>
    <dxf>
      <font>
        <b/>
        <i val="0"/>
      </font>
      <fill>
        <patternFill>
          <bgColor rgb="FF99CC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b/>
        <i val="0"/>
        <color theme="1"/>
      </font>
      <fill>
        <patternFill>
          <bgColor theme="8" tint="0.39994506668294322"/>
        </patternFill>
      </fill>
    </dxf>
    <dxf>
      <font>
        <b/>
        <i val="0"/>
        <color theme="1"/>
      </font>
      <fill>
        <patternFill>
          <bgColor rgb="FF9999FF"/>
        </patternFill>
      </fill>
    </dxf>
    <dxf>
      <font>
        <b/>
        <i val="0"/>
      </font>
      <fill>
        <patternFill>
          <bgColor theme="9" tint="0.79998168889431442"/>
        </patternFill>
      </fill>
    </dxf>
    <dxf>
      <font>
        <b/>
        <i val="0"/>
      </font>
      <fill>
        <patternFill>
          <bgColor rgb="FF99CC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1"/>
      </font>
      <fill>
        <patternFill>
          <bgColor theme="8" tint="0.39994506668294322"/>
        </patternFill>
      </fill>
    </dxf>
    <dxf>
      <font>
        <b/>
        <i val="0"/>
        <color theme="1"/>
      </font>
      <fill>
        <patternFill>
          <bgColor rgb="FF9999FF"/>
        </patternFill>
      </fill>
    </dxf>
    <dxf>
      <font>
        <b/>
        <i val="0"/>
      </font>
      <fill>
        <patternFill>
          <bgColor theme="9" tint="0.79998168889431442"/>
        </patternFill>
      </fill>
    </dxf>
    <dxf>
      <font>
        <b/>
        <i val="0"/>
      </font>
      <fill>
        <patternFill>
          <bgColor rgb="FF99CCFF"/>
        </patternFill>
      </fill>
    </dxf>
    <dxf>
      <font>
        <color rgb="FF9C6500"/>
      </font>
      <fill>
        <patternFill>
          <bgColor rgb="FFFFEB9C"/>
        </patternFill>
      </fill>
    </dxf>
    <dxf>
      <font>
        <b/>
        <i val="0"/>
        <color theme="1"/>
      </font>
      <fill>
        <patternFill>
          <bgColor theme="8" tint="0.39994506668294322"/>
        </patternFill>
      </fill>
    </dxf>
    <dxf>
      <font>
        <b/>
        <i val="0"/>
        <color theme="1"/>
      </font>
      <fill>
        <patternFill>
          <bgColor rgb="FF9999FF"/>
        </patternFill>
      </fill>
    </dxf>
    <dxf>
      <font>
        <b/>
        <i val="0"/>
      </font>
      <fill>
        <patternFill>
          <bgColor theme="9" tint="0.79998168889431442"/>
        </patternFill>
      </fill>
    </dxf>
    <dxf>
      <font>
        <b/>
        <i val="0"/>
      </font>
      <fill>
        <patternFill>
          <bgColor rgb="FF99CCFF"/>
        </patternFill>
      </fill>
    </dxf>
    <dxf>
      <font>
        <color rgb="FF9C6500"/>
      </font>
      <fill>
        <patternFill>
          <bgColor rgb="FFFFEB9C"/>
        </patternFill>
      </fill>
    </dxf>
    <dxf>
      <font>
        <b/>
        <i val="0"/>
        <color theme="1"/>
      </font>
      <fill>
        <patternFill>
          <bgColor theme="8" tint="0.39994506668294322"/>
        </patternFill>
      </fill>
    </dxf>
    <dxf>
      <font>
        <b/>
        <i val="0"/>
        <color theme="1"/>
      </font>
      <fill>
        <patternFill>
          <bgColor rgb="FF9999FF"/>
        </patternFill>
      </fill>
    </dxf>
    <dxf>
      <font>
        <b/>
        <i val="0"/>
      </font>
      <fill>
        <patternFill>
          <bgColor theme="9" tint="0.79998168889431442"/>
        </patternFill>
      </fill>
    </dxf>
    <dxf>
      <font>
        <b/>
        <i val="0"/>
      </font>
      <fill>
        <patternFill>
          <bgColor rgb="FF99CC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1"/>
      </font>
      <fill>
        <patternFill>
          <bgColor theme="8" tint="0.39994506668294322"/>
        </patternFill>
      </fill>
    </dxf>
    <dxf>
      <font>
        <b/>
        <i val="0"/>
        <color theme="1"/>
      </font>
      <fill>
        <patternFill>
          <bgColor rgb="FF9999FF"/>
        </patternFill>
      </fill>
    </dxf>
    <dxf>
      <font>
        <b/>
        <i val="0"/>
      </font>
      <fill>
        <patternFill>
          <bgColor theme="9" tint="0.79998168889431442"/>
        </patternFill>
      </fill>
    </dxf>
    <dxf>
      <font>
        <b/>
        <i val="0"/>
        <color theme="1"/>
      </font>
      <fill>
        <patternFill>
          <bgColor theme="8" tint="0.39994506668294322"/>
        </patternFill>
      </fill>
    </dxf>
    <dxf>
      <font>
        <b/>
        <i val="0"/>
        <color theme="1"/>
      </font>
      <fill>
        <patternFill>
          <bgColor rgb="FF9999FF"/>
        </patternFill>
      </fill>
    </dxf>
    <dxf>
      <font>
        <b/>
        <i val="0"/>
      </font>
      <fill>
        <patternFill>
          <bgColor theme="9" tint="0.79998168889431442"/>
        </patternFill>
      </fill>
    </dxf>
    <dxf>
      <font>
        <b/>
        <i val="0"/>
      </font>
      <fill>
        <patternFill>
          <bgColor rgb="FF99CCFF"/>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1"/>
      </font>
      <fill>
        <patternFill>
          <bgColor theme="8" tint="0.39994506668294322"/>
        </patternFill>
      </fill>
    </dxf>
    <dxf>
      <font>
        <b/>
        <i val="0"/>
        <color theme="1"/>
      </font>
      <fill>
        <patternFill>
          <bgColor rgb="FF9999FF"/>
        </patternFill>
      </fill>
    </dxf>
    <dxf>
      <font>
        <b/>
        <i val="0"/>
      </font>
      <fill>
        <patternFill>
          <bgColor theme="9" tint="0.79998168889431442"/>
        </patternFill>
      </fill>
    </dxf>
    <dxf>
      <font>
        <b/>
        <i val="0"/>
      </font>
      <fill>
        <patternFill>
          <bgColor rgb="FF99CCFF"/>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8" tint="0.39994506668294322"/>
        </patternFill>
      </fill>
    </dxf>
    <dxf>
      <font>
        <b/>
        <i val="0"/>
        <color theme="1"/>
      </font>
      <fill>
        <patternFill>
          <bgColor rgb="FF9999FF"/>
        </patternFill>
      </fill>
    </dxf>
    <dxf>
      <font>
        <b/>
        <i val="0"/>
      </font>
      <fill>
        <patternFill>
          <bgColor theme="9" tint="0.79998168889431442"/>
        </patternFill>
      </fill>
    </dxf>
    <dxf>
      <font>
        <b/>
        <i val="0"/>
      </font>
      <fill>
        <patternFill>
          <bgColor rgb="FF99CCFF"/>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8" tint="0.39994506668294322"/>
        </patternFill>
      </fill>
    </dxf>
    <dxf>
      <font>
        <b/>
        <i val="0"/>
        <color theme="1"/>
      </font>
      <fill>
        <patternFill>
          <bgColor rgb="FF9999FF"/>
        </patternFill>
      </fill>
    </dxf>
    <dxf>
      <font>
        <b/>
        <i val="0"/>
      </font>
      <fill>
        <patternFill>
          <bgColor theme="9" tint="0.79998168889431442"/>
        </patternFill>
      </fill>
    </dxf>
    <dxf>
      <font>
        <b/>
        <i val="0"/>
      </font>
      <fill>
        <patternFill>
          <bgColor rgb="FF99CC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8" tint="0.39994506668294322"/>
        </patternFill>
      </fill>
    </dxf>
    <dxf>
      <font>
        <b/>
        <i val="0"/>
        <color theme="1"/>
      </font>
      <fill>
        <patternFill>
          <bgColor rgb="FF9999FF"/>
        </patternFill>
      </fill>
    </dxf>
    <dxf>
      <font>
        <b/>
        <i val="0"/>
      </font>
      <fill>
        <patternFill>
          <bgColor theme="9" tint="0.79998168889431442"/>
        </patternFill>
      </fill>
    </dxf>
    <dxf>
      <font>
        <b/>
        <i val="0"/>
      </font>
      <fill>
        <patternFill>
          <bgColor rgb="FF99CCFF"/>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8" tint="0.39994506668294322"/>
        </patternFill>
      </fill>
    </dxf>
    <dxf>
      <font>
        <b/>
        <i val="0"/>
        <color theme="1"/>
      </font>
      <fill>
        <patternFill>
          <bgColor rgb="FF9999FF"/>
        </patternFill>
      </fill>
    </dxf>
    <dxf>
      <font>
        <b/>
        <i val="0"/>
      </font>
      <fill>
        <patternFill>
          <bgColor theme="9" tint="0.79998168889431442"/>
        </patternFill>
      </fill>
    </dxf>
    <dxf>
      <font>
        <b/>
        <i val="0"/>
      </font>
      <fill>
        <patternFill>
          <bgColor rgb="FF99CC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1"/>
      </font>
      <fill>
        <patternFill>
          <bgColor theme="8" tint="0.39994506668294322"/>
        </patternFill>
      </fill>
    </dxf>
    <dxf>
      <font>
        <b/>
        <i val="0"/>
        <color theme="1"/>
      </font>
      <fill>
        <patternFill>
          <bgColor rgb="FF9999FF"/>
        </patternFill>
      </fill>
    </dxf>
    <dxf>
      <font>
        <b/>
        <i val="0"/>
      </font>
      <fill>
        <patternFill>
          <bgColor theme="9" tint="0.79998168889431442"/>
        </patternFill>
      </fill>
    </dxf>
    <dxf>
      <font>
        <b/>
        <i val="0"/>
      </font>
      <fill>
        <patternFill>
          <bgColor rgb="FF99CCFF"/>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color theme="1"/>
      </font>
      <fill>
        <patternFill>
          <bgColor theme="8" tint="0.39994506668294322"/>
        </patternFill>
      </fill>
    </dxf>
    <dxf>
      <font>
        <b/>
        <i val="0"/>
        <color theme="1"/>
      </font>
      <fill>
        <patternFill>
          <bgColor rgb="FF9999FF"/>
        </patternFill>
      </fill>
    </dxf>
    <dxf>
      <font>
        <b/>
        <i val="0"/>
      </font>
      <fill>
        <patternFill>
          <bgColor theme="9" tint="0.79998168889431442"/>
        </patternFill>
      </fill>
    </dxf>
    <dxf>
      <font>
        <b/>
        <i val="0"/>
      </font>
      <fill>
        <patternFill>
          <bgColor rgb="FF99CCFF"/>
        </patternFill>
      </fill>
    </dxf>
    <dxf>
      <font>
        <color rgb="FF9C0006"/>
      </font>
      <fill>
        <patternFill>
          <bgColor rgb="FFFFC7CE"/>
        </patternFill>
      </fill>
    </dxf>
    <dxf>
      <font>
        <b/>
        <i val="0"/>
        <color theme="1"/>
      </font>
      <fill>
        <patternFill>
          <bgColor theme="8" tint="0.39994506668294322"/>
        </patternFill>
      </fill>
    </dxf>
    <dxf>
      <font>
        <b/>
        <i val="0"/>
        <color theme="1"/>
      </font>
      <fill>
        <patternFill>
          <bgColor rgb="FF9999FF"/>
        </patternFill>
      </fill>
    </dxf>
    <dxf>
      <font>
        <b/>
        <i val="0"/>
      </font>
      <fill>
        <patternFill>
          <bgColor theme="9" tint="0.79998168889431442"/>
        </patternFill>
      </fill>
    </dxf>
    <dxf>
      <font>
        <b/>
        <i val="0"/>
      </font>
      <fill>
        <patternFill>
          <bgColor rgb="FF99CCFF"/>
        </patternFill>
      </fill>
    </dxf>
    <dxf>
      <font>
        <color rgb="FF9C0006"/>
      </font>
      <fill>
        <patternFill>
          <bgColor rgb="FFFFC7CE"/>
        </patternFill>
      </fill>
    </dxf>
    <dxf>
      <font>
        <b/>
        <i val="0"/>
        <color theme="1"/>
      </font>
      <fill>
        <patternFill>
          <bgColor theme="8" tint="0.39994506668294322"/>
        </patternFill>
      </fill>
    </dxf>
    <dxf>
      <font>
        <b/>
        <i val="0"/>
        <color theme="1"/>
      </font>
      <fill>
        <patternFill>
          <bgColor rgb="FF9999FF"/>
        </patternFill>
      </fill>
    </dxf>
    <dxf>
      <font>
        <b/>
        <i val="0"/>
      </font>
      <fill>
        <patternFill>
          <bgColor theme="9" tint="0.79998168889431442"/>
        </patternFill>
      </fill>
    </dxf>
    <dxf>
      <font>
        <b/>
        <i val="0"/>
      </font>
      <fill>
        <patternFill>
          <bgColor rgb="FF99CCFF"/>
        </patternFill>
      </fill>
    </dxf>
    <dxf>
      <font>
        <color rgb="FF9C0006"/>
      </font>
      <fill>
        <patternFill>
          <bgColor rgb="FFFFC7CE"/>
        </patternFill>
      </fill>
    </dxf>
    <dxf>
      <font>
        <b/>
        <i val="0"/>
        <color theme="1"/>
      </font>
      <fill>
        <patternFill>
          <bgColor theme="8" tint="0.39994506668294322"/>
        </patternFill>
      </fill>
    </dxf>
    <dxf>
      <font>
        <b/>
        <i val="0"/>
        <color theme="1"/>
      </font>
      <fill>
        <patternFill>
          <bgColor rgb="FF9999FF"/>
        </patternFill>
      </fill>
    </dxf>
    <dxf>
      <font>
        <b/>
        <i val="0"/>
      </font>
      <fill>
        <patternFill>
          <bgColor theme="9" tint="0.79998168889431442"/>
        </patternFill>
      </fill>
    </dxf>
    <dxf>
      <font>
        <b/>
        <i val="0"/>
      </font>
      <fill>
        <patternFill>
          <bgColor rgb="FF99CCFF"/>
        </patternFill>
      </fill>
    </dxf>
    <dxf>
      <font>
        <b/>
        <i val="0"/>
        <color theme="1"/>
      </font>
      <fill>
        <patternFill>
          <bgColor theme="8" tint="0.39994506668294322"/>
        </patternFill>
      </fill>
    </dxf>
    <dxf>
      <font>
        <b/>
        <i val="0"/>
        <color theme="1"/>
      </font>
      <fill>
        <patternFill>
          <bgColor rgb="FF9999FF"/>
        </patternFill>
      </fill>
    </dxf>
    <dxf>
      <font>
        <b/>
        <i val="0"/>
      </font>
      <fill>
        <patternFill>
          <bgColor theme="9" tint="0.79998168889431442"/>
        </patternFill>
      </fill>
    </dxf>
    <dxf>
      <font>
        <b/>
        <i val="0"/>
      </font>
      <fill>
        <patternFill>
          <bgColor rgb="FF99CCFF"/>
        </patternFill>
      </fill>
    </dxf>
    <dxf>
      <font>
        <b/>
        <i val="0"/>
        <color theme="1"/>
      </font>
      <fill>
        <patternFill>
          <bgColor theme="8" tint="0.39994506668294322"/>
        </patternFill>
      </fill>
    </dxf>
    <dxf>
      <font>
        <b/>
        <i val="0"/>
        <color theme="1"/>
      </font>
      <fill>
        <patternFill>
          <bgColor rgb="FF9999FF"/>
        </patternFill>
      </fill>
    </dxf>
    <dxf>
      <font>
        <b/>
        <i val="0"/>
      </font>
      <fill>
        <patternFill>
          <bgColor theme="9" tint="0.79998168889431442"/>
        </patternFill>
      </fill>
    </dxf>
    <dxf>
      <font>
        <b/>
        <i val="0"/>
      </font>
      <fill>
        <patternFill>
          <bgColor rgb="FF99CCFF"/>
        </patternFill>
      </fill>
    </dxf>
    <dxf>
      <font>
        <b/>
        <i val="0"/>
        <color theme="1"/>
      </font>
      <fill>
        <patternFill>
          <bgColor theme="8" tint="0.39994506668294322"/>
        </patternFill>
      </fill>
    </dxf>
    <dxf>
      <font>
        <b/>
        <i val="0"/>
        <color theme="1"/>
      </font>
      <fill>
        <patternFill>
          <bgColor rgb="FF9999FF"/>
        </patternFill>
      </fill>
    </dxf>
    <dxf>
      <font>
        <b/>
        <i val="0"/>
      </font>
      <fill>
        <patternFill>
          <bgColor theme="9" tint="0.79998168889431442"/>
        </patternFill>
      </fill>
    </dxf>
    <dxf>
      <font>
        <b/>
        <i val="0"/>
      </font>
      <fill>
        <patternFill>
          <bgColor rgb="FF99CCFF"/>
        </patternFill>
      </fill>
    </dxf>
    <dxf>
      <font>
        <b/>
        <i val="0"/>
        <color theme="1"/>
      </font>
      <fill>
        <patternFill>
          <bgColor theme="8" tint="0.39994506668294322"/>
        </patternFill>
      </fill>
    </dxf>
    <dxf>
      <font>
        <b/>
        <i val="0"/>
        <color theme="1"/>
      </font>
      <fill>
        <patternFill>
          <bgColor rgb="FF9999FF"/>
        </patternFill>
      </fill>
    </dxf>
    <dxf>
      <font>
        <b/>
        <i val="0"/>
      </font>
      <fill>
        <patternFill>
          <bgColor theme="9" tint="0.79998168889431442"/>
        </patternFill>
      </fill>
    </dxf>
    <dxf>
      <font>
        <b/>
        <i val="0"/>
      </font>
      <fill>
        <patternFill>
          <bgColor rgb="FF99CCFF"/>
        </patternFill>
      </fill>
    </dxf>
    <dxf>
      <font>
        <b/>
        <i val="0"/>
        <color theme="1"/>
      </font>
      <fill>
        <patternFill>
          <bgColor theme="8" tint="0.39994506668294322"/>
        </patternFill>
      </fill>
    </dxf>
    <dxf>
      <font>
        <b/>
        <i val="0"/>
        <color theme="1"/>
      </font>
      <fill>
        <patternFill>
          <bgColor rgb="FF9999FF"/>
        </patternFill>
      </fill>
    </dxf>
    <dxf>
      <font>
        <b/>
        <i val="0"/>
      </font>
      <fill>
        <patternFill>
          <bgColor theme="9" tint="0.79998168889431442"/>
        </patternFill>
      </fill>
    </dxf>
    <dxf>
      <font>
        <b/>
        <i val="0"/>
        <color theme="1"/>
      </font>
      <fill>
        <patternFill>
          <bgColor theme="8" tint="0.39994506668294322"/>
        </patternFill>
      </fill>
    </dxf>
    <dxf>
      <font>
        <b/>
        <i val="0"/>
        <color theme="1"/>
      </font>
      <fill>
        <patternFill>
          <bgColor rgb="FF9999FF"/>
        </patternFill>
      </fill>
    </dxf>
    <dxf>
      <font>
        <b/>
        <i val="0"/>
      </font>
      <fill>
        <patternFill>
          <bgColor theme="9" tint="0.79998168889431442"/>
        </patternFill>
      </fill>
    </dxf>
    <dxf>
      <font>
        <b/>
        <i val="0"/>
      </font>
      <fill>
        <patternFill>
          <bgColor rgb="FF99CCFF"/>
        </patternFill>
      </fill>
    </dxf>
    <dxf>
      <font>
        <color rgb="FF9C0006"/>
      </font>
      <fill>
        <patternFill>
          <bgColor rgb="FFFFC7CE"/>
        </patternFill>
      </fill>
    </dxf>
    <dxf>
      <font>
        <b/>
        <i val="0"/>
        <color theme="1"/>
      </font>
      <fill>
        <patternFill>
          <bgColor theme="8" tint="0.39994506668294322"/>
        </patternFill>
      </fill>
    </dxf>
    <dxf>
      <font>
        <b/>
        <i val="0"/>
        <color theme="1"/>
      </font>
      <fill>
        <patternFill>
          <bgColor rgb="FF9999FF"/>
        </patternFill>
      </fill>
    </dxf>
    <dxf>
      <font>
        <b/>
        <i val="0"/>
      </font>
      <fill>
        <patternFill>
          <bgColor theme="9" tint="0.79998168889431442"/>
        </patternFill>
      </fill>
    </dxf>
    <dxf>
      <font>
        <b/>
        <i val="0"/>
      </font>
      <fill>
        <patternFill>
          <bgColor rgb="FF99CCFF"/>
        </patternFill>
      </fill>
    </dxf>
    <dxf>
      <font>
        <color rgb="FF9C0006"/>
      </font>
      <fill>
        <patternFill>
          <bgColor rgb="FFFFC7CE"/>
        </patternFill>
      </fill>
    </dxf>
    <dxf>
      <font>
        <b/>
        <i val="0"/>
        <color theme="1"/>
      </font>
      <fill>
        <patternFill>
          <bgColor theme="8" tint="0.39994506668294322"/>
        </patternFill>
      </fill>
    </dxf>
    <dxf>
      <font>
        <b/>
        <i val="0"/>
        <color theme="1"/>
      </font>
      <fill>
        <patternFill>
          <bgColor rgb="FF9999FF"/>
        </patternFill>
      </fill>
    </dxf>
    <dxf>
      <font>
        <b/>
        <i val="0"/>
      </font>
      <fill>
        <patternFill>
          <bgColor theme="9" tint="0.79998168889431442"/>
        </patternFill>
      </fill>
    </dxf>
    <dxf>
      <font>
        <b/>
        <i val="0"/>
      </font>
      <fill>
        <patternFill>
          <bgColor rgb="FF99CCFF"/>
        </patternFill>
      </fill>
    </dxf>
    <dxf>
      <font>
        <color rgb="FF9C0006"/>
      </font>
      <fill>
        <patternFill>
          <bgColor rgb="FFFFC7CE"/>
        </patternFill>
      </fill>
    </dxf>
    <dxf>
      <font>
        <b/>
        <i val="0"/>
        <color theme="1"/>
      </font>
      <fill>
        <patternFill>
          <bgColor theme="8" tint="0.39994506668294322"/>
        </patternFill>
      </fill>
    </dxf>
    <dxf>
      <font>
        <b/>
        <i val="0"/>
        <color theme="1"/>
      </font>
      <fill>
        <patternFill>
          <bgColor rgb="FF9999FF"/>
        </patternFill>
      </fill>
    </dxf>
    <dxf>
      <font>
        <b/>
        <i val="0"/>
      </font>
      <fill>
        <patternFill>
          <bgColor theme="9" tint="0.79998168889431442"/>
        </patternFill>
      </fill>
    </dxf>
    <dxf>
      <font>
        <b/>
        <i val="0"/>
      </font>
      <fill>
        <patternFill>
          <bgColor rgb="FF99CCFF"/>
        </patternFill>
      </fill>
    </dxf>
    <dxf>
      <font>
        <color rgb="FF9C0006"/>
      </font>
      <fill>
        <patternFill>
          <bgColor rgb="FFFFC7CE"/>
        </patternFill>
      </fill>
    </dxf>
    <dxf>
      <font>
        <b/>
        <i val="0"/>
        <color theme="1"/>
      </font>
      <fill>
        <patternFill>
          <bgColor theme="8" tint="0.39994506668294322"/>
        </patternFill>
      </fill>
    </dxf>
    <dxf>
      <font>
        <b/>
        <i val="0"/>
        <color theme="1"/>
      </font>
      <fill>
        <patternFill>
          <bgColor rgb="FF9999FF"/>
        </patternFill>
      </fill>
    </dxf>
    <dxf>
      <font>
        <b/>
        <i val="0"/>
      </font>
      <fill>
        <patternFill>
          <bgColor theme="9" tint="0.79998168889431442"/>
        </patternFill>
      </fill>
    </dxf>
    <dxf>
      <font>
        <b/>
        <i val="0"/>
        <color theme="1"/>
      </font>
      <fill>
        <patternFill>
          <bgColor theme="8" tint="0.39994506668294322"/>
        </patternFill>
      </fill>
    </dxf>
    <dxf>
      <font>
        <b/>
        <i val="0"/>
        <color theme="1"/>
      </font>
      <fill>
        <patternFill>
          <bgColor rgb="FF9999FF"/>
        </patternFill>
      </fill>
    </dxf>
    <dxf>
      <font>
        <b/>
        <i val="0"/>
      </font>
      <fill>
        <patternFill>
          <bgColor theme="9" tint="0.79998168889431442"/>
        </patternFill>
      </fill>
    </dxf>
    <dxf>
      <font>
        <b/>
        <i val="0"/>
      </font>
      <fill>
        <patternFill>
          <bgColor rgb="FF99CCFF"/>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i val="0"/>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s>
  <tableStyles count="0" defaultTableStyle="TableStyleMedium2" defaultPivotStyle="PivotStyleLight16"/>
  <colors>
    <mruColors>
      <color rgb="FFB8E08C"/>
      <color rgb="FFFF5050"/>
      <color rgb="FF2E8A00"/>
      <color rgb="FFFF4B4B"/>
      <color rgb="FF33CC33"/>
      <color rgb="FF99FF66"/>
      <color rgb="FF363636"/>
      <color rgb="FF0FCF4F"/>
      <color rgb="FFB5AC7D"/>
      <color rgb="FF3DB8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a:pPr>
            <a:r>
              <a:rPr lang="en-US"/>
              <a:t>Regression Execution Status Based On Functionality</a:t>
            </a:r>
          </a:p>
        </c:rich>
      </c:tx>
      <c:layout/>
      <c:overlay val="0"/>
    </c:title>
    <c:autoTitleDeleted val="0"/>
    <c:view3D>
      <c:rotX val="0"/>
      <c:rotY val="0"/>
      <c:depthPercent val="60"/>
      <c:rAngAx val="0"/>
      <c:perspective val="100"/>
    </c:view3D>
    <c:floor>
      <c:thickness val="0"/>
    </c:floor>
    <c:sideWall>
      <c:thickness val="0"/>
    </c:sideWall>
    <c:backWall>
      <c:thickness val="0"/>
    </c:backWall>
    <c:plotArea>
      <c:layout>
        <c:manualLayout>
          <c:layoutTarget val="inner"/>
          <c:xMode val="edge"/>
          <c:yMode val="edge"/>
          <c:x val="8.3380472943305015E-2"/>
          <c:y val="0.19147336369787868"/>
          <c:w val="0.89904917778201665"/>
          <c:h val="0.65631791980021803"/>
        </c:manualLayout>
      </c:layout>
      <c:bar3DChart>
        <c:barDir val="col"/>
        <c:grouping val="clustered"/>
        <c:varyColors val="0"/>
        <c:ser>
          <c:idx val="0"/>
          <c:order val="0"/>
          <c:tx>
            <c:strRef>
              <c:f>Summary_Regression!$G$23</c:f>
              <c:strCache>
                <c:ptCount val="1"/>
                <c:pt idx="0">
                  <c:v># Passed</c:v>
                </c:pt>
              </c:strCache>
            </c:strRef>
          </c:tx>
          <c:spPr>
            <a:solidFill>
              <a:srgbClr val="92D050">
                <a:alpha val="80000"/>
              </a:srgbClr>
            </a:solidFill>
          </c:spPr>
          <c:invertIfNegative val="0"/>
          <c:dLbls>
            <c:spPr>
              <a:noFill/>
              <a:ln>
                <a:noFill/>
              </a:ln>
              <a:effectLst/>
            </c:sp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Summary_Regression!$E$24:$E$32</c:f>
              <c:strCache>
                <c:ptCount val="9"/>
                <c:pt idx="0">
                  <c:v>Provider Screen</c:v>
                </c:pt>
                <c:pt idx="1">
                  <c:v>License</c:v>
                </c:pt>
                <c:pt idx="2">
                  <c:v>Specialty</c:v>
                </c:pt>
                <c:pt idx="3">
                  <c:v>Physical Location</c:v>
                </c:pt>
                <c:pt idx="4">
                  <c:v>Billing Location</c:v>
                </c:pt>
                <c:pt idx="5">
                  <c:v>Comments</c:v>
                </c:pt>
                <c:pt idx="6">
                  <c:v>Directory Exclusion</c:v>
                </c:pt>
                <c:pt idx="7">
                  <c:v>OOP NPI</c:v>
                </c:pt>
                <c:pt idx="8">
                  <c:v>Activation</c:v>
                </c:pt>
              </c:strCache>
            </c:strRef>
          </c:cat>
          <c:val>
            <c:numRef>
              <c:f>Summary_Regression!$H$24:$H$32</c:f>
              <c:numCache>
                <c:formatCode>0%</c:formatCode>
                <c:ptCount val="9"/>
                <c:pt idx="0">
                  <c:v>0</c:v>
                </c:pt>
                <c:pt idx="1">
                  <c:v>0</c:v>
                </c:pt>
                <c:pt idx="2">
                  <c:v>0</c:v>
                </c:pt>
                <c:pt idx="3">
                  <c:v>0</c:v>
                </c:pt>
                <c:pt idx="4">
                  <c:v>0</c:v>
                </c:pt>
                <c:pt idx="5">
                  <c:v>0</c:v>
                </c:pt>
                <c:pt idx="6">
                  <c:v>0</c:v>
                </c:pt>
                <c:pt idx="7">
                  <c:v>0</c:v>
                </c:pt>
                <c:pt idx="8">
                  <c:v>0</c:v>
                </c:pt>
              </c:numCache>
            </c:numRef>
          </c:val>
          <c:extLst xmlns:c16r2="http://schemas.microsoft.com/office/drawing/2015/06/chart">
            <c:ext xmlns:c16="http://schemas.microsoft.com/office/drawing/2014/chart" uri="{C3380CC4-5D6E-409C-BE32-E72D297353CC}">
              <c16:uniqueId val="{00000000-BA07-487B-9AEC-0D65389A62C4}"/>
            </c:ext>
          </c:extLst>
        </c:ser>
        <c:ser>
          <c:idx val="1"/>
          <c:order val="1"/>
          <c:tx>
            <c:strRef>
              <c:f>Summary_Regression!$I$23</c:f>
              <c:strCache>
                <c:ptCount val="1"/>
                <c:pt idx="0">
                  <c:v># Failed</c:v>
                </c:pt>
              </c:strCache>
            </c:strRef>
          </c:tx>
          <c:spPr>
            <a:solidFill>
              <a:schemeClr val="accent2">
                <a:alpha val="80000"/>
              </a:schemeClr>
            </a:solidFill>
          </c:spPr>
          <c:invertIfNegative val="0"/>
          <c:dLbls>
            <c:spPr>
              <a:noFill/>
              <a:ln>
                <a:noFill/>
              </a:ln>
              <a:effectLst/>
            </c:sp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Summary_Regression!$E$24:$E$32</c:f>
              <c:strCache>
                <c:ptCount val="9"/>
                <c:pt idx="0">
                  <c:v>Provider Screen</c:v>
                </c:pt>
                <c:pt idx="1">
                  <c:v>License</c:v>
                </c:pt>
                <c:pt idx="2">
                  <c:v>Specialty</c:v>
                </c:pt>
                <c:pt idx="3">
                  <c:v>Physical Location</c:v>
                </c:pt>
                <c:pt idx="4">
                  <c:v>Billing Location</c:v>
                </c:pt>
                <c:pt idx="5">
                  <c:v>Comments</c:v>
                </c:pt>
                <c:pt idx="6">
                  <c:v>Directory Exclusion</c:v>
                </c:pt>
                <c:pt idx="7">
                  <c:v>OOP NPI</c:v>
                </c:pt>
                <c:pt idx="8">
                  <c:v>Activation</c:v>
                </c:pt>
              </c:strCache>
            </c:strRef>
          </c:cat>
          <c:val>
            <c:numRef>
              <c:f>Summary_Regression!$J$24:$J$32</c:f>
              <c:numCache>
                <c:formatCode>0%</c:formatCode>
                <c:ptCount val="9"/>
                <c:pt idx="0">
                  <c:v>0</c:v>
                </c:pt>
                <c:pt idx="1">
                  <c:v>0</c:v>
                </c:pt>
                <c:pt idx="2">
                  <c:v>0</c:v>
                </c:pt>
                <c:pt idx="3">
                  <c:v>0</c:v>
                </c:pt>
                <c:pt idx="4">
                  <c:v>0</c:v>
                </c:pt>
                <c:pt idx="5">
                  <c:v>0</c:v>
                </c:pt>
                <c:pt idx="6">
                  <c:v>0</c:v>
                </c:pt>
                <c:pt idx="7">
                  <c:v>0</c:v>
                </c:pt>
                <c:pt idx="8">
                  <c:v>0</c:v>
                </c:pt>
              </c:numCache>
            </c:numRef>
          </c:val>
          <c:extLst xmlns:c16r2="http://schemas.microsoft.com/office/drawing/2015/06/chart">
            <c:ext xmlns:c16="http://schemas.microsoft.com/office/drawing/2014/chart" uri="{C3380CC4-5D6E-409C-BE32-E72D297353CC}">
              <c16:uniqueId val="{00000001-BA07-487B-9AEC-0D65389A62C4}"/>
            </c:ext>
          </c:extLst>
        </c:ser>
        <c:ser>
          <c:idx val="2"/>
          <c:order val="2"/>
          <c:tx>
            <c:strRef>
              <c:f>Summary_Regression!$K$23</c:f>
              <c:strCache>
                <c:ptCount val="1"/>
                <c:pt idx="0">
                  <c:v># Blocked</c:v>
                </c:pt>
              </c:strCache>
            </c:strRef>
          </c:tx>
          <c:spPr>
            <a:solidFill>
              <a:srgbClr val="FFFF00">
                <a:alpha val="59000"/>
              </a:srgbClr>
            </a:solidFill>
          </c:spPr>
          <c:invertIfNegative val="0"/>
          <c:dLbls>
            <c:spPr>
              <a:noFill/>
              <a:ln>
                <a:noFill/>
              </a:ln>
              <a:effectLst/>
            </c:sp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Summary_Regression!$E$24:$E$32</c:f>
              <c:strCache>
                <c:ptCount val="9"/>
                <c:pt idx="0">
                  <c:v>Provider Screen</c:v>
                </c:pt>
                <c:pt idx="1">
                  <c:v>License</c:v>
                </c:pt>
                <c:pt idx="2">
                  <c:v>Specialty</c:v>
                </c:pt>
                <c:pt idx="3">
                  <c:v>Physical Location</c:v>
                </c:pt>
                <c:pt idx="4">
                  <c:v>Billing Location</c:v>
                </c:pt>
                <c:pt idx="5">
                  <c:v>Comments</c:v>
                </c:pt>
                <c:pt idx="6">
                  <c:v>Directory Exclusion</c:v>
                </c:pt>
                <c:pt idx="7">
                  <c:v>OOP NPI</c:v>
                </c:pt>
                <c:pt idx="8">
                  <c:v>Activation</c:v>
                </c:pt>
              </c:strCache>
            </c:strRef>
          </c:cat>
          <c:val>
            <c:numRef>
              <c:f>Summary_Regression!$L$24:$L$32</c:f>
              <c:numCache>
                <c:formatCode>0%</c:formatCode>
                <c:ptCount val="9"/>
                <c:pt idx="0">
                  <c:v>0.16666666666666666</c:v>
                </c:pt>
                <c:pt idx="1">
                  <c:v>1.3392857142857142E-2</c:v>
                </c:pt>
                <c:pt idx="2">
                  <c:v>0</c:v>
                </c:pt>
                <c:pt idx="3">
                  <c:v>0</c:v>
                </c:pt>
                <c:pt idx="4">
                  <c:v>0</c:v>
                </c:pt>
                <c:pt idx="5">
                  <c:v>0.43333333333333335</c:v>
                </c:pt>
                <c:pt idx="6">
                  <c:v>0</c:v>
                </c:pt>
                <c:pt idx="7">
                  <c:v>0</c:v>
                </c:pt>
                <c:pt idx="8">
                  <c:v>0</c:v>
                </c:pt>
              </c:numCache>
            </c:numRef>
          </c:val>
          <c:extLst xmlns:c16r2="http://schemas.microsoft.com/office/drawing/2015/06/chart">
            <c:ext xmlns:c16="http://schemas.microsoft.com/office/drawing/2014/chart" uri="{C3380CC4-5D6E-409C-BE32-E72D297353CC}">
              <c16:uniqueId val="{00000002-BA07-487B-9AEC-0D65389A62C4}"/>
            </c:ext>
          </c:extLst>
        </c:ser>
        <c:ser>
          <c:idx val="3"/>
          <c:order val="3"/>
          <c:tx>
            <c:strRef>
              <c:f>Summary_Regression!$M$23</c:f>
              <c:strCache>
                <c:ptCount val="1"/>
                <c:pt idx="0">
                  <c:v># Unexecuted</c:v>
                </c:pt>
              </c:strCache>
            </c:strRef>
          </c:tx>
          <c:spPr>
            <a:solidFill>
              <a:schemeClr val="bg1">
                <a:lumMod val="75000"/>
              </a:schemeClr>
            </a:solidFill>
          </c:spPr>
          <c:invertIfNegative val="0"/>
          <c:dPt>
            <c:idx val="0"/>
            <c:invertIfNegative val="0"/>
            <c:bubble3D val="0"/>
            <c:extLst xmlns:c16r2="http://schemas.microsoft.com/office/drawing/2015/06/chart">
              <c:ext xmlns:c16="http://schemas.microsoft.com/office/drawing/2014/chart" uri="{C3380CC4-5D6E-409C-BE32-E72D297353CC}">
                <c16:uniqueId val="{00000004-BA07-487B-9AEC-0D65389A62C4}"/>
              </c:ext>
            </c:extLst>
          </c:dPt>
          <c:dPt>
            <c:idx val="1"/>
            <c:invertIfNegative val="0"/>
            <c:bubble3D val="0"/>
            <c:extLst xmlns:c16r2="http://schemas.microsoft.com/office/drawing/2015/06/chart">
              <c:ext xmlns:c16="http://schemas.microsoft.com/office/drawing/2014/chart" uri="{C3380CC4-5D6E-409C-BE32-E72D297353CC}">
                <c16:uniqueId val="{00000006-BA07-487B-9AEC-0D65389A62C4}"/>
              </c:ext>
            </c:extLst>
          </c:dPt>
          <c:dPt>
            <c:idx val="2"/>
            <c:invertIfNegative val="0"/>
            <c:bubble3D val="0"/>
            <c:extLst xmlns:c16r2="http://schemas.microsoft.com/office/drawing/2015/06/chart">
              <c:ext xmlns:c16="http://schemas.microsoft.com/office/drawing/2014/chart" uri="{C3380CC4-5D6E-409C-BE32-E72D297353CC}">
                <c16:uniqueId val="{00000008-BA07-487B-9AEC-0D65389A62C4}"/>
              </c:ext>
            </c:extLst>
          </c:dPt>
          <c:dPt>
            <c:idx val="3"/>
            <c:invertIfNegative val="0"/>
            <c:bubble3D val="0"/>
            <c:extLst xmlns:c16r2="http://schemas.microsoft.com/office/drawing/2015/06/chart">
              <c:ext xmlns:c16="http://schemas.microsoft.com/office/drawing/2014/chart" uri="{C3380CC4-5D6E-409C-BE32-E72D297353CC}">
                <c16:uniqueId val="{0000000A-BA07-487B-9AEC-0D65389A62C4}"/>
              </c:ext>
            </c:extLst>
          </c:dPt>
          <c:dPt>
            <c:idx val="4"/>
            <c:invertIfNegative val="0"/>
            <c:bubble3D val="0"/>
            <c:extLst xmlns:c16r2="http://schemas.microsoft.com/office/drawing/2015/06/chart">
              <c:ext xmlns:c16="http://schemas.microsoft.com/office/drawing/2014/chart" uri="{C3380CC4-5D6E-409C-BE32-E72D297353CC}">
                <c16:uniqueId val="{0000000C-BA07-487B-9AEC-0D65389A62C4}"/>
              </c:ext>
            </c:extLst>
          </c:dPt>
          <c:dPt>
            <c:idx val="5"/>
            <c:invertIfNegative val="0"/>
            <c:bubble3D val="0"/>
            <c:extLst xmlns:c16r2="http://schemas.microsoft.com/office/drawing/2015/06/chart">
              <c:ext xmlns:c16="http://schemas.microsoft.com/office/drawing/2014/chart" uri="{C3380CC4-5D6E-409C-BE32-E72D297353CC}">
                <c16:uniqueId val="{0000000E-BA07-487B-9AEC-0D65389A62C4}"/>
              </c:ext>
            </c:extLst>
          </c:dPt>
          <c:dPt>
            <c:idx val="6"/>
            <c:invertIfNegative val="0"/>
            <c:bubble3D val="0"/>
            <c:extLst xmlns:c16r2="http://schemas.microsoft.com/office/drawing/2015/06/chart">
              <c:ext xmlns:c16="http://schemas.microsoft.com/office/drawing/2014/chart" uri="{C3380CC4-5D6E-409C-BE32-E72D297353CC}">
                <c16:uniqueId val="{00000010-BA07-487B-9AEC-0D65389A62C4}"/>
              </c:ext>
            </c:extLst>
          </c:dPt>
          <c:dPt>
            <c:idx val="7"/>
            <c:invertIfNegative val="0"/>
            <c:bubble3D val="0"/>
            <c:extLst xmlns:c16r2="http://schemas.microsoft.com/office/drawing/2015/06/chart">
              <c:ext xmlns:c16="http://schemas.microsoft.com/office/drawing/2014/chart" uri="{C3380CC4-5D6E-409C-BE32-E72D297353CC}">
                <c16:uniqueId val="{00000012-BA07-487B-9AEC-0D65389A62C4}"/>
              </c:ext>
            </c:extLst>
          </c:dPt>
          <c:dLbls>
            <c:spPr>
              <a:noFill/>
              <a:ln>
                <a:noFill/>
              </a:ln>
              <a:effectLst/>
            </c:sp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Summary_Regression!$E$24:$E$32</c:f>
              <c:strCache>
                <c:ptCount val="9"/>
                <c:pt idx="0">
                  <c:v>Provider Screen</c:v>
                </c:pt>
                <c:pt idx="1">
                  <c:v>License</c:v>
                </c:pt>
                <c:pt idx="2">
                  <c:v>Specialty</c:v>
                </c:pt>
                <c:pt idx="3">
                  <c:v>Physical Location</c:v>
                </c:pt>
                <c:pt idx="4">
                  <c:v>Billing Location</c:v>
                </c:pt>
                <c:pt idx="5">
                  <c:v>Comments</c:v>
                </c:pt>
                <c:pt idx="6">
                  <c:v>Directory Exclusion</c:v>
                </c:pt>
                <c:pt idx="7">
                  <c:v>OOP NPI</c:v>
                </c:pt>
                <c:pt idx="8">
                  <c:v>Activation</c:v>
                </c:pt>
              </c:strCache>
            </c:strRef>
          </c:cat>
          <c:val>
            <c:numRef>
              <c:f>Summary_Regression!$N$24:$N$32</c:f>
              <c:numCache>
                <c:formatCode>0%</c:formatCode>
                <c:ptCount val="9"/>
                <c:pt idx="0">
                  <c:v>0.83333333333333337</c:v>
                </c:pt>
                <c:pt idx="1">
                  <c:v>0.9866071428571429</c:v>
                </c:pt>
                <c:pt idx="2">
                  <c:v>1</c:v>
                </c:pt>
                <c:pt idx="3">
                  <c:v>1</c:v>
                </c:pt>
                <c:pt idx="4">
                  <c:v>1</c:v>
                </c:pt>
                <c:pt idx="5">
                  <c:v>0.56666666666666665</c:v>
                </c:pt>
                <c:pt idx="6">
                  <c:v>1</c:v>
                </c:pt>
                <c:pt idx="7">
                  <c:v>1</c:v>
                </c:pt>
                <c:pt idx="8">
                  <c:v>1</c:v>
                </c:pt>
              </c:numCache>
            </c:numRef>
          </c:val>
          <c:extLst xmlns:c16r2="http://schemas.microsoft.com/office/drawing/2015/06/chart">
            <c:ext xmlns:c16="http://schemas.microsoft.com/office/drawing/2014/chart" uri="{C3380CC4-5D6E-409C-BE32-E72D297353CC}">
              <c16:uniqueId val="{00000013-BA07-487B-9AEC-0D65389A62C4}"/>
            </c:ext>
          </c:extLst>
        </c:ser>
        <c:dLbls>
          <c:showLegendKey val="0"/>
          <c:showVal val="1"/>
          <c:showCatName val="0"/>
          <c:showSerName val="0"/>
          <c:showPercent val="0"/>
          <c:showBubbleSize val="0"/>
        </c:dLbls>
        <c:gapWidth val="65"/>
        <c:shape val="box"/>
        <c:axId val="92255360"/>
        <c:axId val="92256896"/>
        <c:axId val="0"/>
      </c:bar3DChart>
      <c:catAx>
        <c:axId val="92255360"/>
        <c:scaling>
          <c:orientation val="minMax"/>
        </c:scaling>
        <c:delete val="0"/>
        <c:axPos val="b"/>
        <c:numFmt formatCode="General" sourceLinked="1"/>
        <c:majorTickMark val="none"/>
        <c:minorTickMark val="none"/>
        <c:tickLblPos val="nextTo"/>
        <c:txPr>
          <a:bodyPr rot="-60000000" vert="horz"/>
          <a:lstStyle/>
          <a:p>
            <a:pPr>
              <a:defRPr sz="1200" b="1"/>
            </a:pPr>
            <a:endParaRPr lang="en-US"/>
          </a:p>
        </c:txPr>
        <c:crossAx val="92256896"/>
        <c:crosses val="autoZero"/>
        <c:auto val="1"/>
        <c:lblAlgn val="ctr"/>
        <c:lblOffset val="100"/>
        <c:noMultiLvlLbl val="0"/>
      </c:catAx>
      <c:valAx>
        <c:axId val="92256896"/>
        <c:scaling>
          <c:orientation val="minMax"/>
        </c:scaling>
        <c:delete val="0"/>
        <c:axPos val="l"/>
        <c:majorGridlines/>
        <c:numFmt formatCode="0%" sourceLinked="1"/>
        <c:majorTickMark val="none"/>
        <c:minorTickMark val="none"/>
        <c:tickLblPos val="nextTo"/>
        <c:txPr>
          <a:bodyPr rot="-60000000" vert="horz"/>
          <a:lstStyle/>
          <a:p>
            <a:pPr>
              <a:defRPr/>
            </a:pPr>
            <a:endParaRPr lang="en-US"/>
          </a:p>
        </c:txPr>
        <c:crossAx val="92255360"/>
        <c:crosses val="autoZero"/>
        <c:crossBetween val="between"/>
      </c:valAx>
    </c:plotArea>
    <c:legend>
      <c:legendPos val="b"/>
      <c:layout>
        <c:manualLayout>
          <c:xMode val="edge"/>
          <c:yMode val="edge"/>
          <c:x val="0.22400497610274697"/>
          <c:y val="0.93240778430698901"/>
          <c:w val="0.59871518908166999"/>
          <c:h val="4.4268591856257568E-2"/>
        </c:manualLayout>
      </c:layout>
      <c:overlay val="0"/>
      <c:txPr>
        <a:bodyPr rot="0" vert="horz"/>
        <a:lstStyle/>
        <a:p>
          <a:pPr>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lumMod val="95000"/>
      </a:schemeClr>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15</xdr:col>
      <xdr:colOff>485775</xdr:colOff>
      <xdr:row>9</xdr:row>
      <xdr:rowOff>9525</xdr:rowOff>
    </xdr:from>
    <xdr:to>
      <xdr:col>20</xdr:col>
      <xdr:colOff>104775</xdr:colOff>
      <xdr:row>10</xdr:row>
      <xdr:rowOff>9525</xdr:rowOff>
    </xdr:to>
    <xdr:sp macro="" textlink="">
      <xdr:nvSpPr>
        <xdr:cNvPr id="74753" name="Button 1" hidden="1">
          <a:extLst>
            <a:ext uri="{63B3BB69-23CF-44E3-9099-C40C66FF867C}">
              <a14:compatExt xmlns:a14="http://schemas.microsoft.com/office/drawing/2010/main" spid="_x0000_s74753"/>
            </a:ext>
            <a:ext uri="{FF2B5EF4-FFF2-40B4-BE49-F238E27FC236}">
              <a16:creationId xmlns:a16="http://schemas.microsoft.com/office/drawing/2014/main" xmlns="" id="{00000000-0008-0000-0000-0000012401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Manager Updater</a:t>
          </a:r>
        </a:p>
      </xdr:txBody>
    </xdr:sp>
    <xdr:clientData fPrintsWithSheet="0"/>
  </xdr:twoCellAnchor>
  <xdr:twoCellAnchor>
    <xdr:from>
      <xdr:col>16</xdr:col>
      <xdr:colOff>38100</xdr:colOff>
      <xdr:row>7</xdr:row>
      <xdr:rowOff>228600</xdr:rowOff>
    </xdr:from>
    <xdr:to>
      <xdr:col>19</xdr:col>
      <xdr:colOff>523875</xdr:colOff>
      <xdr:row>8</xdr:row>
      <xdr:rowOff>228600</xdr:rowOff>
    </xdr:to>
    <xdr:sp macro="" textlink="">
      <xdr:nvSpPr>
        <xdr:cNvPr id="74754" name="Button 2" hidden="1">
          <a:extLst>
            <a:ext uri="{63B3BB69-23CF-44E3-9099-C40C66FF867C}">
              <a14:compatExt xmlns:a14="http://schemas.microsoft.com/office/drawing/2010/main" spid="_x0000_s74754"/>
            </a:ext>
            <a:ext uri="{FF2B5EF4-FFF2-40B4-BE49-F238E27FC236}">
              <a16:creationId xmlns:a16="http://schemas.microsoft.com/office/drawing/2014/main" xmlns="" id="{00000000-0008-0000-0000-0000022401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Update Execution Report</a:t>
          </a:r>
        </a:p>
      </xdr:txBody>
    </xdr:sp>
    <xdr:clientData fPrintsWithSheet="0"/>
  </xdr:twoCellAnchor>
  <xdr:twoCellAnchor>
    <xdr:from>
      <xdr:col>3</xdr:col>
      <xdr:colOff>1262062</xdr:colOff>
      <xdr:row>34</xdr:row>
      <xdr:rowOff>119063</xdr:rowOff>
    </xdr:from>
    <xdr:to>
      <xdr:col>14</xdr:col>
      <xdr:colOff>35719</xdr:colOff>
      <xdr:row>66</xdr:row>
      <xdr:rowOff>71437</xdr:rowOff>
    </xdr:to>
    <xdr:graphicFrame macro="[0]!Call_Run_Manager_Updater">
      <xdr:nvGraphicFramePr>
        <xdr:cNvPr id="4" name="Chart 3">
          <a:extLst>
            <a:ext uri="{FF2B5EF4-FFF2-40B4-BE49-F238E27FC236}">
              <a16:creationId xmlns:a16="http://schemas.microsoft.com/office/drawing/2014/main" xmlns=""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495300</xdr:colOff>
      <xdr:row>10</xdr:row>
      <xdr:rowOff>285750</xdr:rowOff>
    </xdr:from>
    <xdr:to>
      <xdr:col>20</xdr:col>
      <xdr:colOff>114300</xdr:colOff>
      <xdr:row>21</xdr:row>
      <xdr:rowOff>104775</xdr:rowOff>
    </xdr:to>
    <xdr:sp macro="" textlink="">
      <xdr:nvSpPr>
        <xdr:cNvPr id="74755" name="Button 3" hidden="1">
          <a:extLst>
            <a:ext uri="{63B3BB69-23CF-44E3-9099-C40C66FF867C}">
              <a14:compatExt xmlns:a14="http://schemas.microsoft.com/office/drawing/2010/main" spid="_x0000_s74755"/>
            </a:ext>
            <a:ext uri="{FF2B5EF4-FFF2-40B4-BE49-F238E27FC236}">
              <a16:creationId xmlns:a16="http://schemas.microsoft.com/office/drawing/2014/main" xmlns="" id="{00000000-0008-0000-0000-0000032401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QTest Description Decoder</a:t>
          </a:r>
        </a:p>
      </xdr:txBody>
    </xdr:sp>
    <xdr:clientData fPrintsWithSheet="0"/>
  </xdr:twoCellAnchor>
  <mc:AlternateContent xmlns:mc="http://schemas.openxmlformats.org/markup-compatibility/2006">
    <mc:Choice xmlns:a14="http://schemas.microsoft.com/office/drawing/2010/main" Requires="a14">
      <xdr:twoCellAnchor>
        <xdr:from>
          <xdr:col>16</xdr:col>
          <xdr:colOff>28575</xdr:colOff>
          <xdr:row>9</xdr:row>
          <xdr:rowOff>152400</xdr:rowOff>
        </xdr:from>
        <xdr:to>
          <xdr:col>21</xdr:col>
          <xdr:colOff>238125</xdr:colOff>
          <xdr:row>10</xdr:row>
          <xdr:rowOff>276225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qTestDecoder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38100</xdr:colOff>
          <xdr:row>5</xdr:row>
          <xdr:rowOff>38100</xdr:rowOff>
        </xdr:from>
        <xdr:to>
          <xdr:col>21</xdr:col>
          <xdr:colOff>266700</xdr:colOff>
          <xdr:row>8</xdr:row>
          <xdr:rowOff>142875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 Manager Updater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533400</xdr:colOff>
          <xdr:row>1</xdr:row>
          <xdr:rowOff>219075</xdr:rowOff>
        </xdr:from>
        <xdr:to>
          <xdr:col>21</xdr:col>
          <xdr:colOff>180975</xdr:colOff>
          <xdr:row>4</xdr:row>
          <xdr:rowOff>95250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Execution Report Updater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NS/Run%20Manager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base_workspace/SAFT/SAFT/PIER/Run%20Manager%20-%20Copy.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Angular_COde/SAFT/PIER/Run%20Manager%20-%20Copy.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F:\Users\U397319\Documents\Archive\Master_Automation_Regression_04_JUNE_2019%20-%20Copy.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F:\05%20-%20Automation%20Feasibility%20&amp;%20Execution%20Log\Master%20Regression%20Automation%20Optimization%20Log\QA_Automation_Suite_Optimization_17_MAY_201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Functional"/>
      <sheetName val="Regression"/>
      <sheetName val="ListSource"/>
    </sheetNames>
    <sheetDataSet>
      <sheetData sheetId="0">
        <row r="2">
          <cell r="A2" t="str">
            <v>RUN_ALL_ITERATIONS</v>
          </cell>
          <cell r="B2" t="str">
            <v>LOCAL</v>
          </cell>
          <cell r="D2" t="str">
            <v>ANY</v>
          </cell>
          <cell r="E2">
            <v>0</v>
          </cell>
        </row>
        <row r="3">
          <cell r="A3" t="str">
            <v>RUN_ONE_ITERATION_ONLY</v>
          </cell>
          <cell r="B3" t="str">
            <v>REMOTE</v>
          </cell>
          <cell r="D3" t="str">
            <v>LINUX</v>
          </cell>
          <cell r="E3">
            <v>0</v>
          </cell>
        </row>
        <row r="4">
          <cell r="A4" t="str">
            <v>RUN_RANGE_OF_ITERATIONS</v>
          </cell>
          <cell r="B4" t="str">
            <v>LOCAL_EMULATED_DEVICE</v>
          </cell>
          <cell r="D4" t="str">
            <v>MAC</v>
          </cell>
          <cell r="E4">
            <v>0</v>
          </cell>
        </row>
        <row r="5">
          <cell r="B5" t="str">
            <v>REMOTE_EMULATED_DEVICE</v>
          </cell>
          <cell r="D5" t="str">
            <v>MAVERICKS</v>
          </cell>
          <cell r="E5">
            <v>0</v>
          </cell>
        </row>
        <row r="6">
          <cell r="B6" t="str">
            <v>GRID</v>
          </cell>
          <cell r="D6" t="str">
            <v>MOUNTAIN_LION</v>
          </cell>
        </row>
        <row r="7">
          <cell r="D7" t="str">
            <v>SNOW_LEOPARD</v>
          </cell>
        </row>
        <row r="8">
          <cell r="D8" t="str">
            <v>UNIX</v>
          </cell>
        </row>
        <row r="9">
          <cell r="D9" t="str">
            <v>VISTA</v>
          </cell>
        </row>
        <row r="10">
          <cell r="D10" t="str">
            <v>WIN8</v>
          </cell>
        </row>
        <row r="11">
          <cell r="D11" t="str">
            <v>WIN8_1</v>
          </cell>
        </row>
        <row r="12">
          <cell r="D12" t="str">
            <v>WINDOWS</v>
          </cell>
        </row>
        <row r="13">
          <cell r="D13" t="str">
            <v>XP</v>
          </cell>
        </row>
      </sheetData>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Functional"/>
      <sheetName val="Regression"/>
      <sheetName val="Smoke"/>
      <sheetName val="Deprecated"/>
      <sheetName val="ListSource"/>
      <sheetName val="SourceSheet"/>
    </sheetNames>
    <sheetDataSet>
      <sheetData sheetId="0">
        <row r="2">
          <cell r="A2" t="str">
            <v>RUN_ALL_ITERATIONS</v>
          </cell>
          <cell r="C2" t="str">
            <v>CHROME</v>
          </cell>
        </row>
        <row r="3">
          <cell r="C3" t="str">
            <v>FIREFOX</v>
          </cell>
        </row>
        <row r="4">
          <cell r="C4" t="str">
            <v>GHOST_DRIVER</v>
          </cell>
        </row>
        <row r="5">
          <cell r="C5" t="str">
            <v>HTML_UNIT</v>
          </cell>
        </row>
        <row r="6">
          <cell r="C6" t="str">
            <v>INTERNET_EXPLORER</v>
          </cell>
        </row>
        <row r="7">
          <cell r="C7" t="str">
            <v>OPERA</v>
          </cell>
        </row>
        <row r="8">
          <cell r="C8" t="str">
            <v>SAFARI</v>
          </cell>
        </row>
      </sheetData>
      <sheetData sheetId="1"/>
      <sheetData sheetId="2"/>
      <sheetData sheetId="3"/>
      <sheetData sheetId="4"/>
      <sheetData sheetId="5" refreshError="1"/>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Functional"/>
      <sheetName val="Regression"/>
      <sheetName val="Smoke"/>
    </sheetNames>
    <sheetDataSet>
      <sheetData sheetId="0"/>
      <sheetData sheetId="1"/>
      <sheetData sheetId="2"/>
      <sheetData sheetId="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Source"/>
    </sheetNames>
    <sheetDataSet>
      <sheetData sheetId="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Source"/>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D1:U33"/>
  <sheetViews>
    <sheetView zoomScale="80" zoomScaleNormal="80" workbookViewId="0">
      <selection activeCell="S26" sqref="S26"/>
    </sheetView>
  </sheetViews>
  <sheetFormatPr defaultColWidth="8.7109375" defaultRowHeight="15" x14ac:dyDescent="0.25"/>
  <cols>
    <col min="1" max="2" width="8.7109375" style="47" customWidth="1"/>
    <col min="3" max="3" width="8.7109375" style="47"/>
    <col min="4" max="4" width="19.28515625" style="47" customWidth="1"/>
    <col min="5" max="5" width="30.140625" style="47" customWidth="1"/>
    <col min="6" max="6" width="22.42578125" style="47" customWidth="1"/>
    <col min="7" max="7" width="15.28515625" style="47" customWidth="1"/>
    <col min="8" max="8" width="16.28515625" style="47" customWidth="1"/>
    <col min="9" max="9" width="13.140625" style="47" customWidth="1"/>
    <col min="10" max="10" width="14" style="47" customWidth="1"/>
    <col min="11" max="11" width="16.85546875" style="47" customWidth="1"/>
    <col min="12" max="12" width="17" style="47" customWidth="1"/>
    <col min="13" max="13" width="16.140625" style="47" customWidth="1"/>
    <col min="14" max="14" width="15.140625" style="47" customWidth="1"/>
    <col min="15" max="15" width="13.85546875" style="47" customWidth="1"/>
    <col min="16" max="16384" width="8.7109375" style="47"/>
  </cols>
  <sheetData>
    <row r="1" spans="4:15" ht="38.25" customHeight="1" x14ac:dyDescent="0.25">
      <c r="D1" s="78" t="s">
        <v>0</v>
      </c>
      <c r="E1" s="78" t="s">
        <v>1</v>
      </c>
    </row>
    <row r="2" spans="4:15" ht="28.5" customHeight="1" x14ac:dyDescent="0.25">
      <c r="D2" s="97" t="s">
        <v>2</v>
      </c>
      <c r="E2" s="97" t="s">
        <v>3</v>
      </c>
    </row>
    <row r="5" spans="4:15" ht="36.75" customHeight="1" x14ac:dyDescent="0.25"/>
    <row r="6" spans="4:15" ht="12" customHeight="1" thickBot="1" x14ac:dyDescent="0.3"/>
    <row r="7" spans="4:15" ht="15.75" hidden="1" thickBot="1" x14ac:dyDescent="0.3">
      <c r="D7" s="36"/>
      <c r="E7" s="36"/>
      <c r="F7" s="36"/>
      <c r="G7" s="36"/>
      <c r="H7" s="36"/>
      <c r="I7" s="36"/>
      <c r="J7" s="36"/>
      <c r="K7" s="36"/>
      <c r="L7" s="36"/>
      <c r="M7" s="36"/>
      <c r="N7" s="36"/>
      <c r="O7" s="36"/>
    </row>
    <row r="8" spans="4:15" ht="31.5" customHeight="1" x14ac:dyDescent="0.25">
      <c r="D8" s="312" t="s">
        <v>4</v>
      </c>
      <c r="E8" s="314" t="s">
        <v>5</v>
      </c>
      <c r="F8" s="314" t="s">
        <v>6</v>
      </c>
      <c r="G8" s="314"/>
      <c r="H8" s="314"/>
      <c r="I8" s="314"/>
      <c r="J8" s="314"/>
      <c r="K8" s="314"/>
      <c r="L8" s="314"/>
      <c r="M8" s="314"/>
      <c r="N8" s="314"/>
      <c r="O8" s="316"/>
    </row>
    <row r="9" spans="4:15" ht="37.5" x14ac:dyDescent="0.25">
      <c r="D9" s="313"/>
      <c r="E9" s="315"/>
      <c r="F9" s="106" t="s">
        <v>7</v>
      </c>
      <c r="G9" s="106" t="s">
        <v>8</v>
      </c>
      <c r="H9" s="106" t="s">
        <v>9</v>
      </c>
      <c r="I9" s="106" t="s">
        <v>10</v>
      </c>
      <c r="J9" s="106" t="s">
        <v>11</v>
      </c>
      <c r="K9" s="106" t="s">
        <v>12</v>
      </c>
      <c r="L9" s="106" t="s">
        <v>13</v>
      </c>
      <c r="M9" s="106" t="s">
        <v>14</v>
      </c>
      <c r="N9" s="106" t="s">
        <v>15</v>
      </c>
      <c r="O9" s="37" t="s">
        <v>16</v>
      </c>
    </row>
    <row r="10" spans="4:15" ht="34.5" customHeight="1" x14ac:dyDescent="0.25">
      <c r="D10" s="38" t="s">
        <v>17</v>
      </c>
      <c r="E10" s="39" t="s">
        <v>18</v>
      </c>
      <c r="F10" s="40">
        <f ca="1">SUM(COUNTIFS(INDIRECT(ListSource!B28), "*PPN*", INDIRECT(ListSource!C28), "Regression"), COUNTIFS(INDIRECT(ListSource!B28), "*PPN*", INDIRECT(ListSource!C28), $E$2))</f>
        <v>1001</v>
      </c>
      <c r="G10" s="41">
        <f ca="1">H10 + I10 + J10</f>
        <v>74</v>
      </c>
      <c r="H10" s="41">
        <f ca="1">SUM(COUNTIFS(INDIRECT(ListSource!D28), "Passed", INDIRECT(ListSource!C28), "Regression"), COUNTIFS(INDIRECT(ListSource!D28), "Passed", INDIRECT(ListSource!C28), $E$2))</f>
        <v>0</v>
      </c>
      <c r="I10" s="41">
        <f ca="1">SUM(COUNTIFS(INDIRECT(ListSource!D28), "Failed", INDIRECT(ListSource!C28), "Regression"), COUNTIFS(INDIRECT(ListSource!D28), "Failed", INDIRECT(ListSource!C28), $E$2))</f>
        <v>0</v>
      </c>
      <c r="J10" s="41">
        <f ca="1">SUM(COUNTIFS(INDIRECT(ListSource!D28), "Blocked", INDIRECT(ListSource!C28), "Regression"), COUNTIFS(INDIRECT(ListSource!D28), "Blocked", INDIRECT(ListSource!C28), $E$2))</f>
        <v>74</v>
      </c>
      <c r="K10" s="41">
        <f t="shared" ref="K10:K11" ca="1" si="0">F10-G10</f>
        <v>927</v>
      </c>
      <c r="L10" s="42">
        <f t="shared" ref="L10:L11" ca="1" si="1">IFERROR((G10/F10),0)</f>
        <v>7.3926073926073921E-2</v>
      </c>
      <c r="M10" s="42">
        <f t="shared" ref="M10:M11" ca="1" si="2">IFERROR(H10/F10,0)</f>
        <v>0</v>
      </c>
      <c r="N10" s="42">
        <f t="shared" ref="N10:N11" ca="1" si="3">IFERROR(I10/F10,0)</f>
        <v>0</v>
      </c>
      <c r="O10" s="43">
        <f t="shared" ref="O10:O11" ca="1" si="4">IFERROR(J10/F10,0)</f>
        <v>7.3926073926073921E-2</v>
      </c>
    </row>
    <row r="11" spans="4:15" ht="23.25" customHeight="1" thickBot="1" x14ac:dyDescent="0.3">
      <c r="D11" s="317" t="s">
        <v>19</v>
      </c>
      <c r="E11" s="318"/>
      <c r="F11" s="44">
        <f ca="1">SUBTOTAL(9,F10:F10)</f>
        <v>1001</v>
      </c>
      <c r="G11" s="44">
        <f t="shared" ref="G11" ca="1" si="5">SUM(H11:J11)</f>
        <v>74</v>
      </c>
      <c r="H11" s="44">
        <f ca="1">SUBTOTAL(9,H10:H10)</f>
        <v>0</v>
      </c>
      <c r="I11" s="44">
        <f ca="1">SUBTOTAL(9,I10:I10)</f>
        <v>0</v>
      </c>
      <c r="J11" s="44">
        <f ca="1">SUBTOTAL(9,J10:J10)</f>
        <v>74</v>
      </c>
      <c r="K11" s="44">
        <f t="shared" ca="1" si="0"/>
        <v>927</v>
      </c>
      <c r="L11" s="45">
        <f t="shared" ca="1" si="1"/>
        <v>7.3926073926073921E-2</v>
      </c>
      <c r="M11" s="45">
        <f t="shared" ca="1" si="2"/>
        <v>0</v>
      </c>
      <c r="N11" s="45">
        <f t="shared" ca="1" si="3"/>
        <v>0</v>
      </c>
      <c r="O11" s="46">
        <f t="shared" ca="1" si="4"/>
        <v>7.3926073926073921E-2</v>
      </c>
    </row>
    <row r="12" spans="4:15" hidden="1" x14ac:dyDescent="0.25"/>
    <row r="13" spans="4:15" hidden="1" x14ac:dyDescent="0.25"/>
    <row r="14" spans="4:15" hidden="1" x14ac:dyDescent="0.25"/>
    <row r="15" spans="4:15" hidden="1" x14ac:dyDescent="0.25"/>
    <row r="16" spans="4:15" hidden="1" x14ac:dyDescent="0.25"/>
    <row r="17" spans="5:21" hidden="1" x14ac:dyDescent="0.25"/>
    <row r="18" spans="5:21" hidden="1" x14ac:dyDescent="0.25"/>
    <row r="19" spans="5:21" hidden="1" x14ac:dyDescent="0.25"/>
    <row r="20" spans="5:21" hidden="1" x14ac:dyDescent="0.25"/>
    <row r="21" spans="5:21" ht="25.5" customHeight="1" thickBot="1" x14ac:dyDescent="0.3"/>
    <row r="22" spans="5:21" ht="30" customHeight="1" x14ac:dyDescent="0.25">
      <c r="E22" s="321" t="s">
        <v>20</v>
      </c>
      <c r="F22" s="322"/>
      <c r="G22" s="322"/>
      <c r="H22" s="322"/>
      <c r="I22" s="322"/>
      <c r="J22" s="322"/>
      <c r="K22" s="322"/>
      <c r="L22" s="322"/>
      <c r="M22" s="322"/>
      <c r="N22" s="322"/>
    </row>
    <row r="23" spans="5:21" ht="18.75" x14ac:dyDescent="0.25">
      <c r="E23" s="106" t="s">
        <v>21</v>
      </c>
      <c r="F23" s="106" t="s">
        <v>22</v>
      </c>
      <c r="G23" s="319" t="s">
        <v>9</v>
      </c>
      <c r="H23" s="325"/>
      <c r="I23" s="319" t="s">
        <v>10</v>
      </c>
      <c r="J23" s="325"/>
      <c r="K23" s="319" t="s">
        <v>11</v>
      </c>
      <c r="L23" s="320"/>
      <c r="M23" s="319" t="s">
        <v>12</v>
      </c>
      <c r="N23" s="320"/>
    </row>
    <row r="24" spans="5:21" ht="30" customHeight="1" x14ac:dyDescent="0.25">
      <c r="E24" s="39" t="str">
        <f>ListSource!B2</f>
        <v>Provider Screen</v>
      </c>
      <c r="F24" s="40">
        <f ca="1">SUM(COUNTIFS(INDIRECT(ListSource!$E$28), E24, INDIRECT(ListSource!$C$28), "Regression"), COUNTIFS(INDIRECT(ListSource!$E$28), E24, INDIRECT(ListSource!$C$28), $E$2))</f>
        <v>36</v>
      </c>
      <c r="G24" s="41">
        <f ca="1">SUM(COUNTIFS(INDIRECT(ListSource!$E$28), E24, INDIRECT(ListSource!$C$28), "Regression", INDIRECT(ListSource!$D$28), "Passed"), COUNTIFS(INDIRECT(ListSource!$E$28), E24, INDIRECT(ListSource!$C$28), $E$2, INDIRECT(ListSource!$D$28), "Passed"))</f>
        <v>0</v>
      </c>
      <c r="H24" s="61">
        <f t="shared" ref="H24:H32" ca="1" si="6">IFERROR(($G24/$F24),0)</f>
        <v>0</v>
      </c>
      <c r="I24" s="41">
        <f ca="1">SUM(COUNTIFS(INDIRECT(ListSource!$E$28), E24, INDIRECT(ListSource!$C$28), "Regression", INDIRECT(ListSource!$D$28), "Failed"), COUNTIFS(INDIRECT(ListSource!$E$28), E24, INDIRECT(ListSource!$C$28), $E$2, INDIRECT(ListSource!$D$28), "Failed"))</f>
        <v>0</v>
      </c>
      <c r="J24" s="61">
        <f t="shared" ref="J24:J32" ca="1" si="7">IFERROR(($I24/$F24),0)</f>
        <v>0</v>
      </c>
      <c r="K24" s="41">
        <f ca="1">SUM(COUNTIFS(INDIRECT(ListSource!$E$28), E24, INDIRECT(ListSource!$C$28), "Regression", INDIRECT(ListSource!$D$28), "Blocked"), COUNTIFS(INDIRECT(ListSource!$E$28), E24, INDIRECT(ListSource!$C$28), $E$2, INDIRECT(ListSource!$D$28), "Blocked"))</f>
        <v>6</v>
      </c>
      <c r="L24" s="61">
        <f t="shared" ref="L24:L32" ca="1" si="8">IFERROR(($K24/$F24),0)</f>
        <v>0.16666666666666666</v>
      </c>
      <c r="M24" s="41">
        <f ca="1">SUM(COUNTIFS(INDIRECT(ListSource!$E$28), E24, INDIRECT(ListSource!$C$28), "Regression", INDIRECT(ListSource!$D$28), "Unexecuted"), COUNTIFS(INDIRECT(ListSource!$E$28), E24, INDIRECT(ListSource!$C$28), $E$2, INDIRECT(ListSource!$D$28), "Unexecuted"))</f>
        <v>30</v>
      </c>
      <c r="N24" s="61">
        <f t="shared" ref="N24:N32" ca="1" si="9">IFERROR(($M24/$F24),0)</f>
        <v>0.83333333333333337</v>
      </c>
    </row>
    <row r="25" spans="5:21" ht="30" customHeight="1" x14ac:dyDescent="0.25">
      <c r="E25" s="39" t="str">
        <f>ListSource!B3</f>
        <v>License</v>
      </c>
      <c r="F25" s="40">
        <f ca="1">SUM(COUNTIFS(INDIRECT(ListSource!$E$28), E25, INDIRECT(ListSource!$C$28), "Regression"), COUNTIFS(INDIRECT(ListSource!$E$28), E25, INDIRECT(ListSource!$C$28), $E$2))</f>
        <v>224</v>
      </c>
      <c r="G25" s="41">
        <f ca="1">SUM(COUNTIFS(INDIRECT(ListSource!$E$28), E25, INDIRECT(ListSource!$C$28), "Regression", INDIRECT(ListSource!$D$28), "Passed"), COUNTIFS(INDIRECT(ListSource!$E$28), E25, INDIRECT(ListSource!$C$28), $E$2, INDIRECT(ListSource!$D$28), "Passed"))</f>
        <v>0</v>
      </c>
      <c r="H25" s="61">
        <f t="shared" ca="1" si="6"/>
        <v>0</v>
      </c>
      <c r="I25" s="41">
        <f ca="1">SUM(COUNTIFS(INDIRECT(ListSource!$E$28), E25, INDIRECT(ListSource!$C$28), "Regression", INDIRECT(ListSource!$D$28), "Failed"), COUNTIFS(INDIRECT(ListSource!$E$28), E25, INDIRECT(ListSource!$C$28), $E$2, INDIRECT(ListSource!$D$28), "Failed"))</f>
        <v>0</v>
      </c>
      <c r="J25" s="61">
        <f t="shared" ca="1" si="7"/>
        <v>0</v>
      </c>
      <c r="K25" s="41">
        <f ca="1">SUM(COUNTIFS(INDIRECT(ListSource!$E$28), E25, INDIRECT(ListSource!$C$28), "Regression", INDIRECT(ListSource!$D$28), "Blocked"), COUNTIFS(INDIRECT(ListSource!$E$28), E25, INDIRECT(ListSource!$C$28), $E$2, INDIRECT(ListSource!$D$28), "Blocked"))</f>
        <v>3</v>
      </c>
      <c r="L25" s="61">
        <f t="shared" ca="1" si="8"/>
        <v>1.3392857142857142E-2</v>
      </c>
      <c r="M25" s="41">
        <f ca="1">SUM(COUNTIFS(INDIRECT(ListSource!$E$28), E25, INDIRECT(ListSource!$C$28), "Regression", INDIRECT(ListSource!$D$28), "Unexecuted"), COUNTIFS(INDIRECT(ListSource!$E$28), E25, INDIRECT(ListSource!$C$28), $E$2, INDIRECT(ListSource!$D$28), "Unexecuted"))</f>
        <v>221</v>
      </c>
      <c r="N25" s="61">
        <f t="shared" ca="1" si="9"/>
        <v>0.9866071428571429</v>
      </c>
    </row>
    <row r="26" spans="5:21" ht="30" customHeight="1" x14ac:dyDescent="0.25">
      <c r="E26" s="39" t="str">
        <f>ListSource!B4</f>
        <v>Specialty</v>
      </c>
      <c r="F26" s="40">
        <f ca="1">SUM(COUNTIFS(INDIRECT(ListSource!$E$28), E26, INDIRECT(ListSource!$C$28), "Regression"), COUNTIFS(INDIRECT(ListSource!$E$28), E26, INDIRECT(ListSource!$C$28), $E$2))</f>
        <v>90</v>
      </c>
      <c r="G26" s="41">
        <f ca="1">SUM(COUNTIFS(INDIRECT(ListSource!$E$28), E26, INDIRECT(ListSource!$C$28), "Regression", INDIRECT(ListSource!$D$28), "Passed"), COUNTIFS(INDIRECT(ListSource!$E$28), E26, INDIRECT(ListSource!$C$28), $E$2, INDIRECT(ListSource!$D$28), "Passed"))</f>
        <v>0</v>
      </c>
      <c r="H26" s="61">
        <f t="shared" ca="1" si="6"/>
        <v>0</v>
      </c>
      <c r="I26" s="41">
        <f ca="1">SUM(COUNTIFS(INDIRECT(ListSource!$E$28), E26, INDIRECT(ListSource!$C$28), "Regression", INDIRECT(ListSource!$D$28), "Failed"), COUNTIFS(INDIRECT(ListSource!$E$28), E26, INDIRECT(ListSource!$C$28), $E$2, INDIRECT(ListSource!$D$28), "Failed"))</f>
        <v>0</v>
      </c>
      <c r="J26" s="61">
        <f t="shared" ca="1" si="7"/>
        <v>0</v>
      </c>
      <c r="K26" s="41">
        <f ca="1">SUM(COUNTIFS(INDIRECT(ListSource!$E$28), E26, INDIRECT(ListSource!$C$28), "Regression", INDIRECT(ListSource!$D$28), "Blocked"), COUNTIFS(INDIRECT(ListSource!$E$28), E26, INDIRECT(ListSource!$C$28), $E$2, INDIRECT(ListSource!$D$28), "Blocked"))</f>
        <v>0</v>
      </c>
      <c r="L26" s="61">
        <f t="shared" ca="1" si="8"/>
        <v>0</v>
      </c>
      <c r="M26" s="41">
        <f ca="1">SUM(COUNTIFS(INDIRECT(ListSource!$E$28), E26, INDIRECT(ListSource!$C$28), "Regression", INDIRECT(ListSource!$D$28), "Unexecuted"), COUNTIFS(INDIRECT(ListSource!$E$28), E26, INDIRECT(ListSource!$C$28), $E$2, INDIRECT(ListSource!$D$28), "Unexecuted"))</f>
        <v>90</v>
      </c>
      <c r="N26" s="61">
        <f t="shared" ca="1" si="9"/>
        <v>1</v>
      </c>
    </row>
    <row r="27" spans="5:21" ht="30" customHeight="1" x14ac:dyDescent="0.25">
      <c r="E27" s="39" t="str">
        <f>ListSource!B5</f>
        <v>Physical Location</v>
      </c>
      <c r="F27" s="40">
        <f ca="1">SUM(COUNTIFS(INDIRECT(ListSource!$E$28), E27, INDIRECT(ListSource!$C$28), "Regression"), COUNTIFS(INDIRECT(ListSource!$E$28), E27, INDIRECT(ListSource!$C$28), $E$2))</f>
        <v>6</v>
      </c>
      <c r="G27" s="41">
        <f ca="1">SUM(COUNTIFS(INDIRECT(ListSource!$E$28), E27, INDIRECT(ListSource!$C$28), "Regression", INDIRECT(ListSource!$D$28), "Passed"), COUNTIFS(INDIRECT(ListSource!$E$28), E27, INDIRECT(ListSource!$C$28), $E$2, INDIRECT(ListSource!$D$28), "Passed"))</f>
        <v>0</v>
      </c>
      <c r="H27" s="61">
        <f t="shared" ca="1" si="6"/>
        <v>0</v>
      </c>
      <c r="I27" s="41">
        <f ca="1">SUM(COUNTIFS(INDIRECT(ListSource!$E$28), E27, INDIRECT(ListSource!$C$28), "Regression", INDIRECT(ListSource!$D$28), "Failed"), COUNTIFS(INDIRECT(ListSource!$E$28), E27, INDIRECT(ListSource!$C$28), $E$2, INDIRECT(ListSource!$D$28), "Failed"))</f>
        <v>0</v>
      </c>
      <c r="J27" s="61">
        <f t="shared" ca="1" si="7"/>
        <v>0</v>
      </c>
      <c r="K27" s="41">
        <f ca="1">SUM(COUNTIFS(INDIRECT(ListSource!$E$28), E27, INDIRECT(ListSource!$C$28), "Regression", INDIRECT(ListSource!$D$28), "Blocked"), COUNTIFS(INDIRECT(ListSource!$E$28), E27, INDIRECT(ListSource!$C$28), $E$2, INDIRECT(ListSource!$D$28), "Blocked"))</f>
        <v>0</v>
      </c>
      <c r="L27" s="61">
        <f t="shared" ca="1" si="8"/>
        <v>0</v>
      </c>
      <c r="M27" s="41">
        <f ca="1">SUM(COUNTIFS(INDIRECT(ListSource!$E$28), E27, INDIRECT(ListSource!$C$28), "Regression", INDIRECT(ListSource!$D$28), "Unexecuted"), COUNTIFS(INDIRECT(ListSource!$E$28), E27, INDIRECT(ListSource!$C$28), $E$2, INDIRECT(ListSource!$D$28), "Unexecuted"))</f>
        <v>6</v>
      </c>
      <c r="N27" s="61">
        <f t="shared" ca="1" si="9"/>
        <v>1</v>
      </c>
      <c r="U27" s="161"/>
    </row>
    <row r="28" spans="5:21" ht="30" customHeight="1" x14ac:dyDescent="0.25">
      <c r="E28" s="39" t="str">
        <f>ListSource!B6</f>
        <v>Billing Location</v>
      </c>
      <c r="F28" s="40">
        <f ca="1">SUM(COUNTIFS(INDIRECT(ListSource!$E$28), E28, INDIRECT(ListSource!$C$28), "Regression"), COUNTIFS(INDIRECT(ListSource!$E$28), E28, INDIRECT(ListSource!$C$28), $E$2))</f>
        <v>3</v>
      </c>
      <c r="G28" s="41">
        <f ca="1">SUM(COUNTIFS(INDIRECT(ListSource!$E$28), E28, INDIRECT(ListSource!$C$28), "Regression", INDIRECT(ListSource!$D$28), "Passed"), COUNTIFS(INDIRECT(ListSource!$E$28), E28, INDIRECT(ListSource!$C$28), $E$2, INDIRECT(ListSource!$D$28), "Passed"))</f>
        <v>0</v>
      </c>
      <c r="H28" s="61">
        <f t="shared" ca="1" si="6"/>
        <v>0</v>
      </c>
      <c r="I28" s="41">
        <f ca="1">SUM(COUNTIFS(INDIRECT(ListSource!$E$28), E28, INDIRECT(ListSource!$C$28), "Regression", INDIRECT(ListSource!$D$28), "Failed"), COUNTIFS(INDIRECT(ListSource!$E$28), E28, INDIRECT(ListSource!$C$28), $E$2, INDIRECT(ListSource!$D$28), "Failed"))</f>
        <v>0</v>
      </c>
      <c r="J28" s="61">
        <f t="shared" ca="1" si="7"/>
        <v>0</v>
      </c>
      <c r="K28" s="41">
        <f ca="1">SUM(COUNTIFS(INDIRECT(ListSource!$E$28), E28, INDIRECT(ListSource!$C$28), "Regression", INDIRECT(ListSource!$D$28), "Blocked"), COUNTIFS(INDIRECT(ListSource!$E$28), E28, INDIRECT(ListSource!$C$28), $E$2, INDIRECT(ListSource!$D$28), "Blocked"))</f>
        <v>0</v>
      </c>
      <c r="L28" s="61">
        <f t="shared" ca="1" si="8"/>
        <v>0</v>
      </c>
      <c r="M28" s="41">
        <f ca="1">SUM(COUNTIFS(INDIRECT(ListSource!$E$28), E28, INDIRECT(ListSource!$C$28), "Regression", INDIRECT(ListSource!$D$28), "Unexecuted"), COUNTIFS(INDIRECT(ListSource!$E$28), E28, INDIRECT(ListSource!$C$28), $E$2, INDIRECT(ListSource!$D$28), "Unexecuted"))</f>
        <v>3</v>
      </c>
      <c r="N28" s="61">
        <f t="shared" ca="1" si="9"/>
        <v>1</v>
      </c>
    </row>
    <row r="29" spans="5:21" ht="30" customHeight="1" x14ac:dyDescent="0.25">
      <c r="E29" s="39" t="str">
        <f>ListSource!B7</f>
        <v>Comments</v>
      </c>
      <c r="F29" s="40">
        <f ca="1">SUM(COUNTIFS(INDIRECT(ListSource!$E$28), E29, INDIRECT(ListSource!$C$28), "Regression"), COUNTIFS(INDIRECT(ListSource!$E$28), E29, INDIRECT(ListSource!$C$28), $E$2))</f>
        <v>150</v>
      </c>
      <c r="G29" s="41">
        <f ca="1">SUM(COUNTIFS(INDIRECT(ListSource!$E$28), E29, INDIRECT(ListSource!$C$28), "Regression", INDIRECT(ListSource!$D$28), "Passed"), COUNTIFS(INDIRECT(ListSource!$E$28), E29, INDIRECT(ListSource!$C$28), $E$2, INDIRECT(ListSource!$D$28), "Passed"))</f>
        <v>0</v>
      </c>
      <c r="H29" s="61">
        <f t="shared" ca="1" si="6"/>
        <v>0</v>
      </c>
      <c r="I29" s="41">
        <f ca="1">SUM(COUNTIFS(INDIRECT(ListSource!$E$28), E29, INDIRECT(ListSource!$C$28), "Regression", INDIRECT(ListSource!$D$28), "Failed"), COUNTIFS(INDIRECT(ListSource!$E$28), E29, INDIRECT(ListSource!$C$28), $E$2, INDIRECT(ListSource!$D$28), "Failed"))</f>
        <v>0</v>
      </c>
      <c r="J29" s="61">
        <f t="shared" ca="1" si="7"/>
        <v>0</v>
      </c>
      <c r="K29" s="41">
        <f ca="1">SUM(COUNTIFS(INDIRECT(ListSource!$E$28), E29, INDIRECT(ListSource!$C$28), "Regression", INDIRECT(ListSource!$D$28), "Blocked"), COUNTIFS(INDIRECT(ListSource!$E$28), E29, INDIRECT(ListSource!$C$28), $E$2, INDIRECT(ListSource!$D$28), "Blocked"))</f>
        <v>65</v>
      </c>
      <c r="L29" s="61">
        <f t="shared" ca="1" si="8"/>
        <v>0.43333333333333335</v>
      </c>
      <c r="M29" s="41">
        <f ca="1">SUM(COUNTIFS(INDIRECT(ListSource!$E$28), E29, INDIRECT(ListSource!$C$28), "Regression", INDIRECT(ListSource!$D$28), "Unexecuted"), COUNTIFS(INDIRECT(ListSource!$E$28), E29, INDIRECT(ListSource!$C$28), $E$2, INDIRECT(ListSource!$D$28), "Unexecuted"))</f>
        <v>85</v>
      </c>
      <c r="N29" s="61">
        <f t="shared" ca="1" si="9"/>
        <v>0.56666666666666665</v>
      </c>
    </row>
    <row r="30" spans="5:21" ht="30" customHeight="1" x14ac:dyDescent="0.25">
      <c r="E30" s="39" t="str">
        <f>ListSource!B8</f>
        <v>Directory Exclusion</v>
      </c>
      <c r="F30" s="40">
        <f ca="1">SUM(COUNTIFS(INDIRECT(ListSource!$E$28), E30, INDIRECT(ListSource!$C$28), "Regression"), COUNTIFS(INDIRECT(ListSource!$E$28), E30, INDIRECT(ListSource!$C$28), $E$2))</f>
        <v>278</v>
      </c>
      <c r="G30" s="41">
        <f ca="1">SUM(COUNTIFS(INDIRECT(ListSource!$E$28), E30, INDIRECT(ListSource!$C$28), "Regression", INDIRECT(ListSource!$D$28), "Passed"), COUNTIFS(INDIRECT(ListSource!$E$28), E30, INDIRECT(ListSource!$C$28), $E$2, INDIRECT(ListSource!$D$28), "Passed"))</f>
        <v>0</v>
      </c>
      <c r="H30" s="61">
        <f t="shared" ca="1" si="6"/>
        <v>0</v>
      </c>
      <c r="I30" s="41">
        <f ca="1">SUM(COUNTIFS(INDIRECT(ListSource!$E$28), E30, INDIRECT(ListSource!$C$28), "Regression", INDIRECT(ListSource!$D$28), "Failed"), COUNTIFS(INDIRECT(ListSource!$E$28), E30, INDIRECT(ListSource!$C$28), $E$2, INDIRECT(ListSource!$D$28), "Failed"))</f>
        <v>0</v>
      </c>
      <c r="J30" s="61">
        <f t="shared" ca="1" si="7"/>
        <v>0</v>
      </c>
      <c r="K30" s="41">
        <f ca="1">SUM(COUNTIFS(INDIRECT(ListSource!$E$28), E30, INDIRECT(ListSource!$C$28), "Regression", INDIRECT(ListSource!$D$28), "Blocked"), COUNTIFS(INDIRECT(ListSource!$E$28), E30, INDIRECT(ListSource!$C$28), $E$2, INDIRECT(ListSource!$D$28), "Blocked"))</f>
        <v>0</v>
      </c>
      <c r="L30" s="61">
        <f t="shared" ca="1" si="8"/>
        <v>0</v>
      </c>
      <c r="M30" s="41">
        <f ca="1">SUM(COUNTIFS(INDIRECT(ListSource!$E$28), E30, INDIRECT(ListSource!$C$28), "Regression", INDIRECT(ListSource!$D$28), "Unexecuted"), COUNTIFS(INDIRECT(ListSource!$E$28), E30, INDIRECT(ListSource!$C$28), $E$2, INDIRECT(ListSource!$D$28), "Unexecuted"))</f>
        <v>278</v>
      </c>
      <c r="N30" s="61">
        <f t="shared" ca="1" si="9"/>
        <v>1</v>
      </c>
    </row>
    <row r="31" spans="5:21" ht="30" customHeight="1" x14ac:dyDescent="0.25">
      <c r="E31" s="39" t="str">
        <f>ListSource!B9</f>
        <v>OOP NPI</v>
      </c>
      <c r="F31" s="40">
        <f ca="1">SUM(COUNTIFS(INDIRECT(ListSource!$E$28), E31, INDIRECT(ListSource!$C$28), "Regression"), COUNTIFS(INDIRECT(ListSource!$E$28), E31, INDIRECT(ListSource!$C$28), $E$2))</f>
        <v>109</v>
      </c>
      <c r="G31" s="41">
        <f ca="1">SUM(COUNTIFS(INDIRECT(ListSource!$E$28), E31, INDIRECT(ListSource!$C$28), "Regression", INDIRECT(ListSource!$D$28), "Passed"), COUNTIFS(INDIRECT(ListSource!$E$28), E31, INDIRECT(ListSource!$C$28), $E$2, INDIRECT(ListSource!$D$28), "Passed"))</f>
        <v>0</v>
      </c>
      <c r="H31" s="61">
        <f t="shared" ca="1" si="6"/>
        <v>0</v>
      </c>
      <c r="I31" s="41">
        <f ca="1">SUM(COUNTIFS(INDIRECT(ListSource!$E$28), E31, INDIRECT(ListSource!$C$28), "Regression", INDIRECT(ListSource!$D$28), "Failed"), COUNTIFS(INDIRECT(ListSource!$E$28), E31, INDIRECT(ListSource!$C$28), $E$2, INDIRECT(ListSource!$D$28), "Failed"))</f>
        <v>0</v>
      </c>
      <c r="J31" s="61">
        <f t="shared" ca="1" si="7"/>
        <v>0</v>
      </c>
      <c r="K31" s="41">
        <f ca="1">SUM(COUNTIFS(INDIRECT(ListSource!$E$28), E31, INDIRECT(ListSource!$C$28), "Regression", INDIRECT(ListSource!$D$28), "Blocked"), COUNTIFS(INDIRECT(ListSource!$E$28), E31, INDIRECT(ListSource!$C$28), $E$2, INDIRECT(ListSource!$D$28), "Blocked"))</f>
        <v>0</v>
      </c>
      <c r="L31" s="61">
        <f t="shared" ca="1" si="8"/>
        <v>0</v>
      </c>
      <c r="M31" s="41">
        <f ca="1">SUM(COUNTIFS(INDIRECT(ListSource!$E$28), E31, INDIRECT(ListSource!$C$28), "Regression", INDIRECT(ListSource!$D$28), "Unexecuted"), COUNTIFS(INDIRECT(ListSource!$E$28), E31, INDIRECT(ListSource!$C$28), $E$2, INDIRECT(ListSource!$D$28), "Unexecuted"))</f>
        <v>109</v>
      </c>
      <c r="N31" s="61">
        <f t="shared" ca="1" si="9"/>
        <v>1</v>
      </c>
    </row>
    <row r="32" spans="5:21" ht="30" customHeight="1" x14ac:dyDescent="0.25">
      <c r="E32" s="39" t="str">
        <f>ListSource!B10</f>
        <v>Activation</v>
      </c>
      <c r="F32" s="40">
        <f ca="1">SUM(COUNTIFS(INDIRECT(ListSource!$E$28), E32, INDIRECT(ListSource!$C$28), "Regression"), COUNTIFS(INDIRECT(ListSource!$E$28), E32, INDIRECT(ListSource!$C$28), $E$2))</f>
        <v>105</v>
      </c>
      <c r="G32" s="41">
        <f ca="1">SUM(COUNTIFS(INDIRECT(ListSource!$E$28), E32, INDIRECT(ListSource!$C$28), "Regression", INDIRECT(ListSource!$D$28), "Passed"), COUNTIFS(INDIRECT(ListSource!$E$28), E32, INDIRECT(ListSource!$C$28), $E$2, INDIRECT(ListSource!$D$28), "Passed"))</f>
        <v>0</v>
      </c>
      <c r="H32" s="61">
        <f t="shared" ca="1" si="6"/>
        <v>0</v>
      </c>
      <c r="I32" s="41">
        <f ca="1">SUM(COUNTIFS(INDIRECT(ListSource!$E$28), E32, INDIRECT(ListSource!$C$28), "Regression", INDIRECT(ListSource!$D$28), "Failed"), COUNTIFS(INDIRECT(ListSource!$E$28), E32, INDIRECT(ListSource!$C$28), $E$2, INDIRECT(ListSource!$D$28), "Failed"))</f>
        <v>0</v>
      </c>
      <c r="J32" s="61">
        <f t="shared" ca="1" si="7"/>
        <v>0</v>
      </c>
      <c r="K32" s="41">
        <f ca="1">SUM(COUNTIFS(INDIRECT(ListSource!$E$28), E32, INDIRECT(ListSource!$C$28), "Regression", INDIRECT(ListSource!$D$28), "Blocked"), COUNTIFS(INDIRECT(ListSource!$E$28), E32, INDIRECT(ListSource!$C$28), $E$2, INDIRECT(ListSource!$D$28), "Blocked"))</f>
        <v>0</v>
      </c>
      <c r="L32" s="61">
        <f t="shared" ca="1" si="8"/>
        <v>0</v>
      </c>
      <c r="M32" s="41">
        <f ca="1">SUM(COUNTIFS(INDIRECT(ListSource!$E$28), E32, INDIRECT(ListSource!$C$28), "Regression", INDIRECT(ListSource!$D$28), "Unexecuted"), COUNTIFS(INDIRECT(ListSource!$E$28), E32, INDIRECT(ListSource!$C$28), $E$2, INDIRECT(ListSource!$D$28), "Unexecuted"))</f>
        <v>105</v>
      </c>
      <c r="N32" s="61">
        <f t="shared" ca="1" si="9"/>
        <v>1</v>
      </c>
    </row>
    <row r="33" spans="5:14" ht="33.75" customHeight="1" x14ac:dyDescent="0.25">
      <c r="E33" s="39" t="s">
        <v>23</v>
      </c>
      <c r="F33" s="39">
        <f ca="1">SUM(F24:F32)</f>
        <v>1001</v>
      </c>
      <c r="G33" s="323">
        <f ca="1">SUM(G24:G30)</f>
        <v>0</v>
      </c>
      <c r="H33" s="324"/>
      <c r="I33" s="323">
        <f ca="1">SUM(I24:I30)</f>
        <v>0</v>
      </c>
      <c r="J33" s="324"/>
      <c r="K33" s="323">
        <f ca="1">SUM(K24:K30)</f>
        <v>74</v>
      </c>
      <c r="L33" s="324"/>
      <c r="M33" s="323">
        <f ca="1">SUM(M24:M32)</f>
        <v>927</v>
      </c>
      <c r="N33" s="324"/>
    </row>
  </sheetData>
  <mergeCells count="13">
    <mergeCell ref="G33:H33"/>
    <mergeCell ref="I33:J33"/>
    <mergeCell ref="K33:L33"/>
    <mergeCell ref="M33:N33"/>
    <mergeCell ref="G23:H23"/>
    <mergeCell ref="I23:J23"/>
    <mergeCell ref="K23:L23"/>
    <mergeCell ref="D8:D9"/>
    <mergeCell ref="E8:E9"/>
    <mergeCell ref="F8:O8"/>
    <mergeCell ref="D11:E11"/>
    <mergeCell ref="M23:N23"/>
    <mergeCell ref="E22:N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all_QTest_Decoder">
                <anchor moveWithCells="1" sizeWithCells="1">
                  <from>
                    <xdr:col>16</xdr:col>
                    <xdr:colOff>28575</xdr:colOff>
                    <xdr:row>9</xdr:row>
                    <xdr:rowOff>152400</xdr:rowOff>
                  </from>
                  <to>
                    <xdr:col>21</xdr:col>
                    <xdr:colOff>238125</xdr:colOff>
                    <xdr:row>10</xdr:row>
                    <xdr:rowOff>276225</xdr:rowOff>
                  </to>
                </anchor>
              </controlPr>
            </control>
          </mc:Choice>
        </mc:AlternateContent>
        <mc:AlternateContent xmlns:mc="http://schemas.openxmlformats.org/markup-compatibility/2006">
          <mc:Choice Requires="x14">
            <control shapeId="1026" r:id="rId5" name="Button 2">
              <controlPr defaultSize="0" print="0" autoFill="0" autoPict="0" macro="[0]!Call_Run_Manager_Updater">
                <anchor moveWithCells="1" sizeWithCells="1">
                  <from>
                    <xdr:col>16</xdr:col>
                    <xdr:colOff>38100</xdr:colOff>
                    <xdr:row>5</xdr:row>
                    <xdr:rowOff>38100</xdr:rowOff>
                  </from>
                  <to>
                    <xdr:col>21</xdr:col>
                    <xdr:colOff>266700</xdr:colOff>
                    <xdr:row>8</xdr:row>
                    <xdr:rowOff>142875</xdr:rowOff>
                  </to>
                </anchor>
              </controlPr>
            </control>
          </mc:Choice>
        </mc:AlternateContent>
        <mc:AlternateContent xmlns:mc="http://schemas.openxmlformats.org/markup-compatibility/2006">
          <mc:Choice Requires="x14">
            <control shapeId="1027" r:id="rId6" name="Button 3">
              <controlPr defaultSize="0" print="0" autoFill="0" autoPict="0" macro="[0]!updateReport">
                <anchor moveWithCells="1" sizeWithCells="1">
                  <from>
                    <xdr:col>15</xdr:col>
                    <xdr:colOff>533400</xdr:colOff>
                    <xdr:row>1</xdr:row>
                    <xdr:rowOff>219075</xdr:rowOff>
                  </from>
                  <to>
                    <xdr:col>21</xdr:col>
                    <xdr:colOff>180975</xdr:colOff>
                    <xdr:row>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D6:P56"/>
  <sheetViews>
    <sheetView topLeftCell="C2" zoomScale="80" zoomScaleNormal="80" workbookViewId="0">
      <selection activeCell="N22" sqref="N22"/>
    </sheetView>
  </sheetViews>
  <sheetFormatPr defaultColWidth="9.140625" defaultRowHeight="15" x14ac:dyDescent="0.25"/>
  <cols>
    <col min="1" max="2" width="0" style="47" hidden="1" customWidth="1"/>
    <col min="3" max="3" width="22.28515625" style="47" customWidth="1"/>
    <col min="4" max="4" width="18.28515625" style="47" customWidth="1"/>
    <col min="5" max="5" width="15.7109375" style="47" customWidth="1"/>
    <col min="6" max="6" width="12.5703125" style="47" customWidth="1"/>
    <col min="7" max="7" width="23" style="47" customWidth="1"/>
    <col min="8" max="8" width="17.85546875" style="47" customWidth="1"/>
    <col min="9" max="9" width="14.42578125" style="47" customWidth="1"/>
    <col min="10" max="10" width="18" style="47" customWidth="1"/>
    <col min="11" max="11" width="15.28515625" style="47" customWidth="1"/>
    <col min="12" max="12" width="15.5703125" style="47" customWidth="1"/>
    <col min="13" max="13" width="21.42578125" style="47" customWidth="1"/>
    <col min="14" max="14" width="12.28515625" style="47" customWidth="1"/>
    <col min="15" max="15" width="14" style="47" customWidth="1"/>
    <col min="16" max="16" width="14.5703125" style="47" customWidth="1"/>
    <col min="17" max="17" width="16.140625" style="47" customWidth="1"/>
    <col min="18" max="18" width="15.140625" style="47" customWidth="1"/>
    <col min="19" max="19" width="13.85546875" style="47" customWidth="1"/>
    <col min="20" max="16384" width="9.140625" style="47"/>
  </cols>
  <sheetData>
    <row r="6" spans="4:13" ht="14.25" customHeight="1" thickBot="1" x14ac:dyDescent="0.3"/>
    <row r="7" spans="4:13" ht="15.75" hidden="1" customHeight="1" thickBot="1" x14ac:dyDescent="0.3"/>
    <row r="8" spans="4:13" ht="24" customHeight="1" x14ac:dyDescent="0.25">
      <c r="D8" s="326" t="s">
        <v>4</v>
      </c>
      <c r="E8" s="330" t="s">
        <v>5</v>
      </c>
      <c r="F8" s="330" t="s">
        <v>24</v>
      </c>
      <c r="G8" s="332" t="s">
        <v>25</v>
      </c>
      <c r="H8" s="333"/>
      <c r="I8" s="333"/>
      <c r="J8" s="333"/>
      <c r="K8" s="333"/>
      <c r="L8" s="333"/>
      <c r="M8" s="334"/>
    </row>
    <row r="9" spans="4:13" ht="24" customHeight="1" x14ac:dyDescent="0.25">
      <c r="D9" s="327"/>
      <c r="E9" s="331"/>
      <c r="F9" s="331"/>
      <c r="G9" s="107" t="s">
        <v>7</v>
      </c>
      <c r="H9" s="107" t="s">
        <v>26</v>
      </c>
      <c r="I9" s="107" t="s">
        <v>27</v>
      </c>
      <c r="J9" s="107" t="s">
        <v>28</v>
      </c>
      <c r="K9" s="107" t="s">
        <v>29</v>
      </c>
      <c r="L9" s="107" t="s">
        <v>30</v>
      </c>
      <c r="M9" s="48" t="s">
        <v>31</v>
      </c>
    </row>
    <row r="10" spans="4:13" ht="34.5" customHeight="1" x14ac:dyDescent="0.25">
      <c r="D10" s="49" t="s">
        <v>17</v>
      </c>
      <c r="E10" s="50" t="s">
        <v>18</v>
      </c>
      <c r="F10" s="50">
        <v>0</v>
      </c>
      <c r="G10" s="51">
        <f ca="1">COUNTIF(INDIRECT(ListSource!$F$28), $F10)</f>
        <v>10</v>
      </c>
      <c r="H10" s="51">
        <f ca="1">SUM(COUNTIFS(INDIRECT(ListSource!$G$28), "Completed", INDIRECT(ListSource!$F$28), $F10))</f>
        <v>9</v>
      </c>
      <c r="I10" s="51">
        <f ca="1">SUM(COUNTIFS(INDIRECT(ListSource!$G$28), "In-Progress", INDIRECT(ListSource!$F$28), $F10))</f>
        <v>0</v>
      </c>
      <c r="J10" s="51">
        <f ca="1">SUM(COUNTIFS(INDIRECT(ListSource!$G$28), "NotStarted", INDIRECT(ListSource!$F$28), $F10))</f>
        <v>0</v>
      </c>
      <c r="K10" s="52">
        <f ca="1">IFERROR(($H10/$G10),0)</f>
        <v>0.9</v>
      </c>
      <c r="L10" s="52">
        <f ca="1">IFERROR(($I10/$G10),0)</f>
        <v>0</v>
      </c>
      <c r="M10" s="53">
        <f ca="1">IFERROR(($J10/$G10),0)</f>
        <v>0</v>
      </c>
    </row>
    <row r="11" spans="4:13" ht="34.5" customHeight="1" x14ac:dyDescent="0.25">
      <c r="D11" s="49" t="s">
        <v>17</v>
      </c>
      <c r="E11" s="50" t="s">
        <v>18</v>
      </c>
      <c r="F11" s="50">
        <v>1</v>
      </c>
      <c r="G11" s="51">
        <f ca="1">COUNTIF(INDIRECT(ListSource!$F$28), $F11)</f>
        <v>39</v>
      </c>
      <c r="H11" s="51">
        <f ca="1">SUM(COUNTIFS(INDIRECT(ListSource!$G$28), "Completed", INDIRECT(ListSource!$F$28), $F11))</f>
        <v>24</v>
      </c>
      <c r="I11" s="51">
        <f ca="1">SUM(COUNTIFS(INDIRECT(ListSource!$G$28), "In-Progress", INDIRECT(ListSource!$F$28), $F11))</f>
        <v>0</v>
      </c>
      <c r="J11" s="51">
        <f ca="1">SUM(COUNTIFS(INDIRECT(ListSource!$G$28), "NotStarted", INDIRECT(ListSource!$F$28), $F11))</f>
        <v>0</v>
      </c>
      <c r="K11" s="52">
        <f t="shared" ref="K11:K23" ca="1" si="0">IFERROR(($H11/$G11),0)</f>
        <v>0.61538461538461542</v>
      </c>
      <c r="L11" s="52">
        <f t="shared" ref="L11:L23" ca="1" si="1">IFERROR(($I11/$G11),0)</f>
        <v>0</v>
      </c>
      <c r="M11" s="53">
        <f t="shared" ref="M11:M23" ca="1" si="2">IFERROR(($J11/$G11),0)</f>
        <v>0</v>
      </c>
    </row>
    <row r="12" spans="4:13" ht="34.5" customHeight="1" x14ac:dyDescent="0.25">
      <c r="D12" s="49" t="s">
        <v>17</v>
      </c>
      <c r="E12" s="50" t="s">
        <v>18</v>
      </c>
      <c r="F12" s="50">
        <v>2</v>
      </c>
      <c r="G12" s="51">
        <f ca="1">COUNTIF(INDIRECT(ListSource!$F$28), $F12)</f>
        <v>69</v>
      </c>
      <c r="H12" s="51">
        <f ca="1">SUM(COUNTIFS(INDIRECT(ListSource!$G$28), "Completed", INDIRECT(ListSource!$F$28), $F12))</f>
        <v>69</v>
      </c>
      <c r="I12" s="51">
        <f ca="1">SUM(COUNTIFS(INDIRECT(ListSource!$G$28), "In-Progress", INDIRECT(ListSource!$F$28), $F12))</f>
        <v>0</v>
      </c>
      <c r="J12" s="51">
        <f ca="1">SUM(COUNTIFS(INDIRECT(ListSource!$G$28), "NotStarted", INDIRECT(ListSource!$F$28), $F12))</f>
        <v>0</v>
      </c>
      <c r="K12" s="52">
        <f t="shared" ca="1" si="0"/>
        <v>1</v>
      </c>
      <c r="L12" s="52">
        <f t="shared" ca="1" si="1"/>
        <v>0</v>
      </c>
      <c r="M12" s="53">
        <f t="shared" ca="1" si="2"/>
        <v>0</v>
      </c>
    </row>
    <row r="13" spans="4:13" ht="34.5" customHeight="1" x14ac:dyDescent="0.25">
      <c r="D13" s="49" t="s">
        <v>17</v>
      </c>
      <c r="E13" s="50" t="s">
        <v>18</v>
      </c>
      <c r="F13" s="50">
        <v>3</v>
      </c>
      <c r="G13" s="51">
        <f ca="1">COUNTIF(INDIRECT(ListSource!$F$28), $F13)</f>
        <v>45</v>
      </c>
      <c r="H13" s="51">
        <f ca="1">SUM(COUNTIFS(INDIRECT(ListSource!$G$28), "Completed", INDIRECT(ListSource!$F$28), $F13))</f>
        <v>45</v>
      </c>
      <c r="I13" s="51">
        <f ca="1">SUM(COUNTIFS(INDIRECT(ListSource!$G$28), "In-Progress", INDIRECT(ListSource!$F$28), $F13))</f>
        <v>0</v>
      </c>
      <c r="J13" s="51">
        <f ca="1">SUM(COUNTIFS(INDIRECT(ListSource!$G$28), "NotStarted", INDIRECT(ListSource!$F$28), $F13))</f>
        <v>0</v>
      </c>
      <c r="K13" s="52">
        <f t="shared" ca="1" si="0"/>
        <v>1</v>
      </c>
      <c r="L13" s="52">
        <f t="shared" ca="1" si="1"/>
        <v>0</v>
      </c>
      <c r="M13" s="53">
        <f t="shared" ca="1" si="2"/>
        <v>0</v>
      </c>
    </row>
    <row r="14" spans="4:13" ht="34.5" customHeight="1" x14ac:dyDescent="0.25">
      <c r="D14" s="49" t="s">
        <v>17</v>
      </c>
      <c r="E14" s="50" t="s">
        <v>18</v>
      </c>
      <c r="F14" s="50">
        <v>5</v>
      </c>
      <c r="G14" s="51">
        <f ca="1">COUNTIF(INDIRECT(ListSource!$F$28), $F14)</f>
        <v>36</v>
      </c>
      <c r="H14" s="51">
        <f ca="1">SUM(COUNTIFS(INDIRECT(ListSource!$G$28), "Completed", INDIRECT(ListSource!$F$28), $F14))</f>
        <v>36</v>
      </c>
      <c r="I14" s="51">
        <f ca="1">SUM(COUNTIFS(INDIRECT(ListSource!$G$28), "In-Progress", INDIRECT(ListSource!$F$28), $F14))</f>
        <v>0</v>
      </c>
      <c r="J14" s="51">
        <f ca="1">SUM(COUNTIFS(INDIRECT(ListSource!$G$28), "NotStarted", INDIRECT(ListSource!$F$28), $F14))</f>
        <v>0</v>
      </c>
      <c r="K14" s="52">
        <f t="shared" ca="1" si="0"/>
        <v>1</v>
      </c>
      <c r="L14" s="52">
        <f t="shared" ca="1" si="1"/>
        <v>0</v>
      </c>
      <c r="M14" s="53">
        <f t="shared" ca="1" si="2"/>
        <v>0</v>
      </c>
    </row>
    <row r="15" spans="4:13" ht="34.5" customHeight="1" x14ac:dyDescent="0.25">
      <c r="D15" s="49" t="s">
        <v>17</v>
      </c>
      <c r="E15" s="50" t="s">
        <v>18</v>
      </c>
      <c r="F15" s="50">
        <v>6</v>
      </c>
      <c r="G15" s="51">
        <f ca="1">COUNTIF(INDIRECT(ListSource!$F$28), $F15)</f>
        <v>55</v>
      </c>
      <c r="H15" s="51">
        <f ca="1">SUM(COUNTIFS(INDIRECT(ListSource!$G$28), "Completed", INDIRECT(ListSource!$F$28), $F15))</f>
        <v>55</v>
      </c>
      <c r="I15" s="51">
        <f ca="1">SUM(COUNTIFS(INDIRECT(ListSource!$G$28), "In-Progress", INDIRECT(ListSource!$F$28), $F15))</f>
        <v>0</v>
      </c>
      <c r="J15" s="51">
        <f ca="1">SUM(COUNTIFS(INDIRECT(ListSource!$G$28), "NotStarted", INDIRECT(ListSource!$F$28), $F15))</f>
        <v>0</v>
      </c>
      <c r="K15" s="52">
        <f t="shared" ca="1" si="0"/>
        <v>1</v>
      </c>
      <c r="L15" s="52">
        <f t="shared" ca="1" si="1"/>
        <v>0</v>
      </c>
      <c r="M15" s="53">
        <f t="shared" ca="1" si="2"/>
        <v>0</v>
      </c>
    </row>
    <row r="16" spans="4:13" ht="34.5" customHeight="1" x14ac:dyDescent="0.25">
      <c r="D16" s="49" t="s">
        <v>17</v>
      </c>
      <c r="E16" s="50" t="s">
        <v>18</v>
      </c>
      <c r="F16" s="50">
        <v>7</v>
      </c>
      <c r="G16" s="51">
        <f ca="1">COUNTIF(INDIRECT(ListSource!$F$28), $F16)</f>
        <v>60</v>
      </c>
      <c r="H16" s="51">
        <f ca="1">SUM(COUNTIFS(INDIRECT(ListSource!$G$28), "Completed", INDIRECT(ListSource!$F$28), $F16))</f>
        <v>60</v>
      </c>
      <c r="I16" s="51">
        <f ca="1">SUM(COUNTIFS(INDIRECT(ListSource!$G$28), "In-Progress", INDIRECT(ListSource!$F$28), $F16))</f>
        <v>0</v>
      </c>
      <c r="J16" s="51">
        <f ca="1">SUM(COUNTIFS(INDIRECT(ListSource!$G$28), "NotStarted", INDIRECT(ListSource!$F$28), $F16))</f>
        <v>0</v>
      </c>
      <c r="K16" s="52">
        <f t="shared" ca="1" si="0"/>
        <v>1</v>
      </c>
      <c r="L16" s="52">
        <f t="shared" ca="1" si="1"/>
        <v>0</v>
      </c>
      <c r="M16" s="53">
        <f t="shared" ca="1" si="2"/>
        <v>0</v>
      </c>
    </row>
    <row r="17" spans="4:13" ht="34.5" customHeight="1" x14ac:dyDescent="0.25">
      <c r="D17" s="49" t="s">
        <v>17</v>
      </c>
      <c r="E17" s="50" t="s">
        <v>18</v>
      </c>
      <c r="F17" s="50">
        <v>8</v>
      </c>
      <c r="G17" s="51">
        <f ca="1">COUNTIF(INDIRECT(ListSource!$F$28), $F17)</f>
        <v>55</v>
      </c>
      <c r="H17" s="51">
        <f ca="1">SUM(COUNTIFS(INDIRECT(ListSource!$G$28), "Completed", INDIRECT(ListSource!$F$28), $F17))</f>
        <v>55</v>
      </c>
      <c r="I17" s="51">
        <f ca="1">SUM(COUNTIFS(INDIRECT(ListSource!$G$28), "In-Progress", INDIRECT(ListSource!$F$28), $F17))</f>
        <v>0</v>
      </c>
      <c r="J17" s="51">
        <f ca="1">SUM(COUNTIFS(INDIRECT(ListSource!$G$28), "NotStarted", INDIRECT(ListSource!$F$28), $F17))</f>
        <v>0</v>
      </c>
      <c r="K17" s="52">
        <f t="shared" ca="1" si="0"/>
        <v>1</v>
      </c>
      <c r="L17" s="52">
        <f t="shared" ca="1" si="1"/>
        <v>0</v>
      </c>
      <c r="M17" s="53">
        <f t="shared" ca="1" si="2"/>
        <v>0</v>
      </c>
    </row>
    <row r="18" spans="4:13" ht="34.5" customHeight="1" x14ac:dyDescent="0.25">
      <c r="D18" s="49" t="s">
        <v>17</v>
      </c>
      <c r="E18" s="50" t="s">
        <v>18</v>
      </c>
      <c r="F18" s="50">
        <v>10</v>
      </c>
      <c r="G18" s="51">
        <f ca="1">COUNTIF(INDIRECT(ListSource!$F$28), $F18)</f>
        <v>95</v>
      </c>
      <c r="H18" s="51">
        <f ca="1">SUM(COUNTIFS(INDIRECT(ListSource!$G$28), "Completed", INDIRECT(ListSource!$F$28), $F18))</f>
        <v>95</v>
      </c>
      <c r="I18" s="51">
        <f ca="1">SUM(COUNTIFS(INDIRECT(ListSource!$G$28), "In-Progress", INDIRECT(ListSource!$F$28), $F18))</f>
        <v>0</v>
      </c>
      <c r="J18" s="51">
        <f ca="1">SUM(COUNTIFS(INDIRECT(ListSource!$G$28), "NotStarted", INDIRECT(ListSource!$F$28), $F18))</f>
        <v>0</v>
      </c>
      <c r="K18" s="52">
        <f t="shared" ca="1" si="0"/>
        <v>1</v>
      </c>
      <c r="L18" s="52">
        <f t="shared" ca="1" si="1"/>
        <v>0</v>
      </c>
      <c r="M18" s="53">
        <f t="shared" ca="1" si="2"/>
        <v>0</v>
      </c>
    </row>
    <row r="19" spans="4:13" ht="34.5" customHeight="1" x14ac:dyDescent="0.25">
      <c r="D19" s="49" t="s">
        <v>17</v>
      </c>
      <c r="E19" s="50" t="s">
        <v>18</v>
      </c>
      <c r="F19" s="50">
        <v>11</v>
      </c>
      <c r="G19" s="51">
        <f ca="1">COUNTIF(INDIRECT(ListSource!$F$28), $F19)</f>
        <v>95</v>
      </c>
      <c r="H19" s="51">
        <f ca="1">SUM(COUNTIFS(INDIRECT(ListSource!$G$28), "Completed", INDIRECT(ListSource!$F$28), $F19))</f>
        <v>95</v>
      </c>
      <c r="I19" s="51">
        <f ca="1">SUM(COUNTIFS(INDIRECT(ListSource!$G$28), "In-Progress", INDIRECT(ListSource!$F$28), $F19))</f>
        <v>0</v>
      </c>
      <c r="J19" s="51">
        <f ca="1">SUM(COUNTIFS(INDIRECT(ListSource!$G$28), "NotStarted", INDIRECT(ListSource!$F$28), $F19))</f>
        <v>0</v>
      </c>
      <c r="K19" s="52">
        <f t="shared" ca="1" si="0"/>
        <v>1</v>
      </c>
      <c r="L19" s="52">
        <f t="shared" ca="1" si="1"/>
        <v>0</v>
      </c>
      <c r="M19" s="53">
        <f t="shared" ca="1" si="2"/>
        <v>0</v>
      </c>
    </row>
    <row r="20" spans="4:13" ht="34.5" customHeight="1" x14ac:dyDescent="0.25">
      <c r="D20" s="49" t="s">
        <v>17</v>
      </c>
      <c r="E20" s="50" t="s">
        <v>18</v>
      </c>
      <c r="F20" s="50">
        <v>12</v>
      </c>
      <c r="G20" s="51">
        <f ca="1">COUNTIF(INDIRECT(ListSource!$F$28), $F20)</f>
        <v>105</v>
      </c>
      <c r="H20" s="51">
        <f ca="1">SUM(COUNTIFS(INDIRECT(ListSource!$G$28), "Completed", INDIRECT(ListSource!$F$28), $F20))</f>
        <v>105</v>
      </c>
      <c r="I20" s="51">
        <f ca="1">SUM(COUNTIFS(INDIRECT(ListSource!$G$28), "In-Progress", INDIRECT(ListSource!$F$28), $F20))</f>
        <v>0</v>
      </c>
      <c r="J20" s="51">
        <f ca="1">SUM(COUNTIFS(INDIRECT(ListSource!$G$28), "NotStarted", INDIRECT(ListSource!$F$28), $F20))</f>
        <v>0</v>
      </c>
      <c r="K20" s="52">
        <f t="shared" ca="1" si="0"/>
        <v>1</v>
      </c>
      <c r="L20" s="52">
        <f t="shared" ca="1" si="1"/>
        <v>0</v>
      </c>
      <c r="M20" s="53">
        <f t="shared" ca="1" si="2"/>
        <v>0</v>
      </c>
    </row>
    <row r="21" spans="4:13" ht="34.5" customHeight="1" x14ac:dyDescent="0.25">
      <c r="D21" s="49" t="s">
        <v>17</v>
      </c>
      <c r="E21" s="50" t="s">
        <v>18</v>
      </c>
      <c r="F21" s="50">
        <v>13</v>
      </c>
      <c r="G21" s="51">
        <f ca="1">COUNTIF(INDIRECT(ListSource!$F$28), $F21)</f>
        <v>73</v>
      </c>
      <c r="H21" s="51">
        <f ca="1">SUM(COUNTIFS(INDIRECT(ListSource!$G$28), "Completed", INDIRECT(ListSource!$F$28), $F21))</f>
        <v>73</v>
      </c>
      <c r="I21" s="51">
        <f ca="1">SUM(COUNTIFS(INDIRECT(ListSource!$G$28), "In-Progress", INDIRECT(ListSource!$F$28), $F21))</f>
        <v>0</v>
      </c>
      <c r="J21" s="51">
        <f ca="1">SUM(COUNTIFS(INDIRECT(ListSource!$G$28), "NotStarted", INDIRECT(ListSource!$F$28), $F21))</f>
        <v>0</v>
      </c>
      <c r="K21" s="52">
        <f t="shared" ca="1" si="0"/>
        <v>1</v>
      </c>
      <c r="L21" s="52">
        <f t="shared" ca="1" si="1"/>
        <v>0</v>
      </c>
      <c r="M21" s="53">
        <f t="shared" ca="1" si="2"/>
        <v>0</v>
      </c>
    </row>
    <row r="22" spans="4:13" ht="34.5" customHeight="1" x14ac:dyDescent="0.25">
      <c r="D22" s="49" t="s">
        <v>17</v>
      </c>
      <c r="E22" s="50" t="s">
        <v>18</v>
      </c>
      <c r="F22" s="50">
        <v>14</v>
      </c>
      <c r="G22" s="51">
        <f ca="1">COUNTIF(INDIRECT(ListSource!$F$28), $F22)</f>
        <v>0</v>
      </c>
      <c r="H22" s="51">
        <f ca="1">SUM(COUNTIFS(INDIRECT(ListSource!$G$28), "Completed", INDIRECT(ListSource!$F$28), $F22))</f>
        <v>0</v>
      </c>
      <c r="I22" s="51">
        <f ca="1">SUM(COUNTIFS(INDIRECT(ListSource!$G$28), "In-Progress", INDIRECT(ListSource!$F$28), $F22))</f>
        <v>0</v>
      </c>
      <c r="J22" s="51">
        <f ca="1">SUM(COUNTIFS(INDIRECT(ListSource!$G$28), "NotStarted", INDIRECT(ListSource!$F$28), $F22))</f>
        <v>0</v>
      </c>
      <c r="K22" s="52">
        <f t="shared" ca="1" si="0"/>
        <v>0</v>
      </c>
      <c r="L22" s="52">
        <f t="shared" ca="1" si="1"/>
        <v>0</v>
      </c>
      <c r="M22" s="53">
        <f t="shared" ca="1" si="2"/>
        <v>0</v>
      </c>
    </row>
    <row r="23" spans="4:13" ht="34.5" customHeight="1" x14ac:dyDescent="0.25">
      <c r="D23" s="49" t="s">
        <v>17</v>
      </c>
      <c r="E23" s="50" t="s">
        <v>18</v>
      </c>
      <c r="F23" s="50">
        <v>15</v>
      </c>
      <c r="G23" s="51">
        <f ca="1">COUNTIF(INDIRECT(ListSource!$F$28), $F23)</f>
        <v>60</v>
      </c>
      <c r="H23" s="51">
        <f ca="1">SUM(COUNTIFS(INDIRECT(ListSource!$G$28), "Completed", INDIRECT(ListSource!$F$28), $F23))</f>
        <v>60</v>
      </c>
      <c r="I23" s="51">
        <f ca="1">SUM(COUNTIFS(INDIRECT(ListSource!$G$28), "In-Progress", INDIRECT(ListSource!$F$28), $F23))</f>
        <v>0</v>
      </c>
      <c r="J23" s="51">
        <f ca="1">SUM(COUNTIFS(INDIRECT(ListSource!$G$28), "NotStarted", INDIRECT(ListSource!$F$28), $F23))</f>
        <v>0</v>
      </c>
      <c r="K23" s="52">
        <f t="shared" ca="1" si="0"/>
        <v>1</v>
      </c>
      <c r="L23" s="52">
        <f t="shared" ca="1" si="1"/>
        <v>0</v>
      </c>
      <c r="M23" s="53">
        <f t="shared" ca="1" si="2"/>
        <v>0</v>
      </c>
    </row>
    <row r="24" spans="4:13" ht="34.5" hidden="1" customHeight="1" x14ac:dyDescent="0.25">
      <c r="D24" s="49"/>
      <c r="E24" s="50"/>
      <c r="F24" s="50"/>
      <c r="G24" s="51"/>
      <c r="H24" s="51"/>
      <c r="I24" s="51"/>
      <c r="J24" s="51"/>
      <c r="K24" s="52"/>
      <c r="L24" s="52"/>
      <c r="M24" s="53"/>
    </row>
    <row r="25" spans="4:13" ht="34.5" hidden="1" customHeight="1" x14ac:dyDescent="0.25">
      <c r="D25" s="49"/>
      <c r="E25" s="50"/>
      <c r="F25" s="50"/>
      <c r="G25" s="51"/>
      <c r="H25" s="51"/>
      <c r="I25" s="51"/>
      <c r="J25" s="51"/>
      <c r="K25" s="52"/>
      <c r="L25" s="52"/>
      <c r="M25" s="53"/>
    </row>
    <row r="26" spans="4:13" ht="34.5" hidden="1" customHeight="1" x14ac:dyDescent="0.25">
      <c r="D26" s="49"/>
      <c r="E26" s="50"/>
      <c r="F26" s="50"/>
      <c r="G26" s="51"/>
      <c r="H26" s="51"/>
      <c r="I26" s="51"/>
      <c r="J26" s="51"/>
      <c r="K26" s="52"/>
      <c r="L26" s="52"/>
      <c r="M26" s="53"/>
    </row>
    <row r="27" spans="4:13" ht="34.5" hidden="1" customHeight="1" x14ac:dyDescent="0.25">
      <c r="D27" s="49"/>
      <c r="E27" s="50"/>
      <c r="F27" s="50"/>
      <c r="G27" s="51"/>
      <c r="H27" s="51"/>
      <c r="I27" s="51"/>
      <c r="J27" s="51"/>
      <c r="K27" s="52"/>
      <c r="L27" s="52"/>
      <c r="M27" s="53"/>
    </row>
    <row r="28" spans="4:13" ht="34.5" hidden="1" customHeight="1" x14ac:dyDescent="0.25">
      <c r="D28" s="49"/>
      <c r="E28" s="50"/>
      <c r="F28" s="50"/>
      <c r="G28" s="51"/>
      <c r="H28" s="51"/>
      <c r="I28" s="51"/>
      <c r="J28" s="51"/>
      <c r="K28" s="52"/>
      <c r="L28" s="52"/>
      <c r="M28" s="53"/>
    </row>
    <row r="29" spans="4:13" ht="34.5" hidden="1" customHeight="1" x14ac:dyDescent="0.25">
      <c r="D29" s="49"/>
      <c r="E29" s="50"/>
      <c r="F29" s="50"/>
      <c r="G29" s="51"/>
      <c r="H29" s="51"/>
      <c r="I29" s="51"/>
      <c r="J29" s="51"/>
      <c r="K29" s="52"/>
      <c r="L29" s="52"/>
      <c r="M29" s="53"/>
    </row>
    <row r="30" spans="4:13" ht="23.25" customHeight="1" thickBot="1" x14ac:dyDescent="0.3">
      <c r="D30" s="335" t="s">
        <v>19</v>
      </c>
      <c r="E30" s="336"/>
      <c r="F30" s="337"/>
      <c r="G30" s="54">
        <f ca="1">SUM(G10:G29)</f>
        <v>797</v>
      </c>
      <c r="H30" s="54">
        <f ca="1">SUM(H10:H29)</f>
        <v>781</v>
      </c>
      <c r="I30" s="54">
        <f ca="1">SUM(I10:I29)</f>
        <v>0</v>
      </c>
      <c r="J30" s="54">
        <f ca="1">SUM(J10:J29)</f>
        <v>0</v>
      </c>
      <c r="K30" s="341"/>
      <c r="L30" s="336"/>
      <c r="M30" s="342"/>
    </row>
    <row r="33" spans="4:16" ht="15.75" thickBot="1" x14ac:dyDescent="0.3"/>
    <row r="34" spans="4:16" ht="25.5" customHeight="1" x14ac:dyDescent="0.25">
      <c r="D34" s="326" t="s">
        <v>4</v>
      </c>
      <c r="E34" s="328" t="s">
        <v>5</v>
      </c>
      <c r="F34" s="330" t="s">
        <v>24</v>
      </c>
      <c r="G34" s="332" t="s">
        <v>32</v>
      </c>
      <c r="H34" s="333"/>
      <c r="I34" s="333"/>
      <c r="J34" s="333"/>
      <c r="K34" s="333"/>
      <c r="L34" s="333"/>
      <c r="M34" s="333"/>
      <c r="N34" s="333"/>
      <c r="O34" s="333"/>
      <c r="P34" s="334"/>
    </row>
    <row r="35" spans="4:16" ht="15.75" x14ac:dyDescent="0.25">
      <c r="D35" s="327"/>
      <c r="E35" s="329"/>
      <c r="F35" s="331"/>
      <c r="G35" s="107" t="s">
        <v>7</v>
      </c>
      <c r="H35" s="107" t="s">
        <v>8</v>
      </c>
      <c r="I35" s="107" t="s">
        <v>9</v>
      </c>
      <c r="J35" s="107" t="s">
        <v>10</v>
      </c>
      <c r="K35" s="107" t="s">
        <v>11</v>
      </c>
      <c r="L35" s="107" t="s">
        <v>12</v>
      </c>
      <c r="M35" s="107" t="s">
        <v>13</v>
      </c>
      <c r="N35" s="107" t="s">
        <v>14</v>
      </c>
      <c r="O35" s="107" t="s">
        <v>15</v>
      </c>
      <c r="P35" s="48" t="s">
        <v>16</v>
      </c>
    </row>
    <row r="36" spans="4:16" ht="24" customHeight="1" x14ac:dyDescent="0.25">
      <c r="D36" s="49" t="s">
        <v>17</v>
      </c>
      <c r="E36" s="50" t="s">
        <v>18</v>
      </c>
      <c r="F36" s="50">
        <v>0</v>
      </c>
      <c r="G36" s="51">
        <f ca="1">COUNTIF(INDIRECT(ListSource!$F$28), $F10)</f>
        <v>10</v>
      </c>
      <c r="H36" s="55">
        <f ca="1">$I36 + $J36 + $K36</f>
        <v>0</v>
      </c>
      <c r="I36" s="55">
        <f ca="1">SUM(COUNTIFS(INDIRECT(ListSource!$D$28), "Passed", INDIRECT(ListSource!$F$28), $F36))</f>
        <v>0</v>
      </c>
      <c r="J36" s="55">
        <f ca="1">SUM(COUNTIFS(INDIRECT(ListSource!$D$28), "Failed", INDIRECT(ListSource!$F$28), $F36))</f>
        <v>0</v>
      </c>
      <c r="K36" s="55">
        <f ca="1">SUM(COUNTIFS(INDIRECT(ListSource!$D$28), "Blocked", INDIRECT(ListSource!$F$28), $F36))</f>
        <v>0</v>
      </c>
      <c r="L36" s="55">
        <f ca="1">$G36-$H36</f>
        <v>10</v>
      </c>
      <c r="M36" s="52">
        <f ca="1">IFERROR(($H36/$G36),0)</f>
        <v>0</v>
      </c>
      <c r="N36" s="52">
        <f ca="1">IFERROR($I36/$G36,0)</f>
        <v>0</v>
      </c>
      <c r="O36" s="52">
        <f ca="1">IFERROR($J36/$G36,0)</f>
        <v>0</v>
      </c>
      <c r="P36" s="53">
        <f ca="1">IFERROR($K36/$G36,0)</f>
        <v>0</v>
      </c>
    </row>
    <row r="37" spans="4:16" ht="24" customHeight="1" x14ac:dyDescent="0.25">
      <c r="D37" s="49" t="s">
        <v>17</v>
      </c>
      <c r="E37" s="50" t="s">
        <v>18</v>
      </c>
      <c r="F37" s="50">
        <v>1</v>
      </c>
      <c r="G37" s="51">
        <f ca="1">COUNTIF(INDIRECT(ListSource!$F$28), $F11)</f>
        <v>39</v>
      </c>
      <c r="H37" s="55">
        <f t="shared" ref="H37:H50" ca="1" si="3">$I37 + $J37 + $K37</f>
        <v>6</v>
      </c>
      <c r="I37" s="55">
        <f ca="1">SUM(COUNTIFS(INDIRECT(ListSource!$D$28), "Passed", INDIRECT(ListSource!$F$28), $F37))</f>
        <v>0</v>
      </c>
      <c r="J37" s="55">
        <f ca="1">SUM(COUNTIFS(INDIRECT(ListSource!$D$28), "Failed", INDIRECT(ListSource!$F$28), $F37))</f>
        <v>0</v>
      </c>
      <c r="K37" s="55">
        <f ca="1">SUM(COUNTIFS(INDIRECT(ListSource!$D$28), "Blocked", INDIRECT(ListSource!$F$28), $F37))</f>
        <v>6</v>
      </c>
      <c r="L37" s="55">
        <f t="shared" ref="L37:L50" ca="1" si="4">$G37-$H37</f>
        <v>33</v>
      </c>
      <c r="M37" s="52">
        <f t="shared" ref="M37:M50" ca="1" si="5">IFERROR(($H37/$G37),0)</f>
        <v>0.15384615384615385</v>
      </c>
      <c r="N37" s="52">
        <f t="shared" ref="N37:N50" ca="1" si="6">IFERROR($I37/$G37,0)</f>
        <v>0</v>
      </c>
      <c r="O37" s="52">
        <f t="shared" ref="O37:O50" ca="1" si="7">IFERROR($J37/$G37,0)</f>
        <v>0</v>
      </c>
      <c r="P37" s="53">
        <f t="shared" ref="P37:P50" ca="1" si="8">IFERROR($K37/$G37,0)</f>
        <v>0.15384615384615385</v>
      </c>
    </row>
    <row r="38" spans="4:16" ht="24" customHeight="1" x14ac:dyDescent="0.25">
      <c r="D38" s="49" t="s">
        <v>17</v>
      </c>
      <c r="E38" s="50" t="s">
        <v>18</v>
      </c>
      <c r="F38" s="50">
        <v>2</v>
      </c>
      <c r="G38" s="51">
        <f ca="1">COUNTIF(INDIRECT(ListSource!$F$28), $F12)</f>
        <v>69</v>
      </c>
      <c r="H38" s="55">
        <f t="shared" ca="1" si="3"/>
        <v>2</v>
      </c>
      <c r="I38" s="55">
        <f ca="1">SUM(COUNTIFS(INDIRECT(ListSource!$D$28), "Passed", INDIRECT(ListSource!$F$28), $F38))</f>
        <v>0</v>
      </c>
      <c r="J38" s="55">
        <f ca="1">SUM(COUNTIFS(INDIRECT(ListSource!$D$28), "Failed", INDIRECT(ListSource!$F$28), $F38))</f>
        <v>0</v>
      </c>
      <c r="K38" s="55">
        <f ca="1">SUM(COUNTIFS(INDIRECT(ListSource!$D$28), "Blocked", INDIRECT(ListSource!$F$28), $F38))</f>
        <v>2</v>
      </c>
      <c r="L38" s="55">
        <f t="shared" ca="1" si="4"/>
        <v>67</v>
      </c>
      <c r="M38" s="52">
        <f t="shared" ca="1" si="5"/>
        <v>2.8985507246376812E-2</v>
      </c>
      <c r="N38" s="52">
        <f t="shared" ca="1" si="6"/>
        <v>0</v>
      </c>
      <c r="O38" s="52">
        <f t="shared" ca="1" si="7"/>
        <v>0</v>
      </c>
      <c r="P38" s="53">
        <f t="shared" ca="1" si="8"/>
        <v>2.8985507246376812E-2</v>
      </c>
    </row>
    <row r="39" spans="4:16" ht="24" customHeight="1" x14ac:dyDescent="0.25">
      <c r="D39" s="49" t="s">
        <v>17</v>
      </c>
      <c r="E39" s="50" t="s">
        <v>18</v>
      </c>
      <c r="F39" s="50">
        <v>3</v>
      </c>
      <c r="G39" s="51">
        <f ca="1">COUNTIF(INDIRECT(ListSource!$F$28), $F13)</f>
        <v>45</v>
      </c>
      <c r="H39" s="55">
        <f t="shared" ca="1" si="3"/>
        <v>1</v>
      </c>
      <c r="I39" s="55">
        <f ca="1">SUM(COUNTIFS(INDIRECT(ListSource!$D$28), "Passed", INDIRECT(ListSource!$F$28), $F39))</f>
        <v>0</v>
      </c>
      <c r="J39" s="55">
        <f ca="1">SUM(COUNTIFS(INDIRECT(ListSource!$D$28), "Failed", INDIRECT(ListSource!$F$28), $F39))</f>
        <v>0</v>
      </c>
      <c r="K39" s="55">
        <f ca="1">SUM(COUNTIFS(INDIRECT(ListSource!$D$28), "Blocked", INDIRECT(ListSource!$F$28), $F39))</f>
        <v>1</v>
      </c>
      <c r="L39" s="55">
        <f t="shared" ca="1" si="4"/>
        <v>44</v>
      </c>
      <c r="M39" s="52">
        <f t="shared" ca="1" si="5"/>
        <v>2.2222222222222223E-2</v>
      </c>
      <c r="N39" s="52">
        <f t="shared" ca="1" si="6"/>
        <v>0</v>
      </c>
      <c r="O39" s="52">
        <f t="shared" ca="1" si="7"/>
        <v>0</v>
      </c>
      <c r="P39" s="53">
        <f t="shared" ca="1" si="8"/>
        <v>2.2222222222222223E-2</v>
      </c>
    </row>
    <row r="40" spans="4:16" ht="24" customHeight="1" x14ac:dyDescent="0.25">
      <c r="D40" s="49" t="s">
        <v>17</v>
      </c>
      <c r="E40" s="50" t="s">
        <v>18</v>
      </c>
      <c r="F40" s="50">
        <v>4</v>
      </c>
      <c r="G40" s="51">
        <f ca="1" xml:space="preserve"> COUNTIF(INDIRECT(ListSource!$F$28),#REF!)</f>
        <v>0</v>
      </c>
      <c r="H40" s="55">
        <f t="shared" ca="1" si="3"/>
        <v>0</v>
      </c>
      <c r="I40" s="55">
        <f ca="1">SUM(COUNTIFS(INDIRECT(ListSource!$D$28), "Passed", INDIRECT(ListSource!$F$28), $F40))</f>
        <v>0</v>
      </c>
      <c r="J40" s="55">
        <f ca="1">SUM(COUNTIFS(INDIRECT(ListSource!$D$28), "Failed", INDIRECT(ListSource!$F$28), $F40))</f>
        <v>0</v>
      </c>
      <c r="K40" s="55">
        <f ca="1">SUM(COUNTIFS(INDIRECT(ListSource!$D$28), "Blocked", INDIRECT(ListSource!$F$28), $F40))</f>
        <v>0</v>
      </c>
      <c r="L40" s="55">
        <f t="shared" ca="1" si="4"/>
        <v>0</v>
      </c>
      <c r="M40" s="52">
        <f t="shared" ca="1" si="5"/>
        <v>0</v>
      </c>
      <c r="N40" s="52">
        <f t="shared" ca="1" si="6"/>
        <v>0</v>
      </c>
      <c r="O40" s="52">
        <f t="shared" ca="1" si="7"/>
        <v>0</v>
      </c>
      <c r="P40" s="53">
        <f t="shared" ca="1" si="8"/>
        <v>0</v>
      </c>
    </row>
    <row r="41" spans="4:16" ht="24" customHeight="1" x14ac:dyDescent="0.25">
      <c r="D41" s="49" t="s">
        <v>17</v>
      </c>
      <c r="E41" s="50" t="s">
        <v>18</v>
      </c>
      <c r="F41" s="50">
        <v>5</v>
      </c>
      <c r="G41" s="51">
        <f ca="1">COUNTIF(INDIRECT(ListSource!$F$28), $F14)</f>
        <v>36</v>
      </c>
      <c r="H41" s="55">
        <f t="shared" ca="1" si="3"/>
        <v>0</v>
      </c>
      <c r="I41" s="55">
        <f ca="1">SUM(COUNTIFS(INDIRECT(ListSource!$D$28), "Passed", INDIRECT(ListSource!$F$28), $F41))</f>
        <v>0</v>
      </c>
      <c r="J41" s="55">
        <f ca="1">SUM(COUNTIFS(INDIRECT(ListSource!$D$28), "Failed", INDIRECT(ListSource!$F$28), $F41))</f>
        <v>0</v>
      </c>
      <c r="K41" s="55">
        <f ca="1">SUM(COUNTIFS(INDIRECT(ListSource!$D$28), "Blocked", INDIRECT(ListSource!$F$28), $F41))</f>
        <v>0</v>
      </c>
      <c r="L41" s="55">
        <f t="shared" ca="1" si="4"/>
        <v>36</v>
      </c>
      <c r="M41" s="52">
        <f t="shared" ca="1" si="5"/>
        <v>0</v>
      </c>
      <c r="N41" s="52">
        <f t="shared" ca="1" si="6"/>
        <v>0</v>
      </c>
      <c r="O41" s="52">
        <f t="shared" ca="1" si="7"/>
        <v>0</v>
      </c>
      <c r="P41" s="53">
        <f t="shared" ca="1" si="8"/>
        <v>0</v>
      </c>
    </row>
    <row r="42" spans="4:16" ht="24" customHeight="1" x14ac:dyDescent="0.25">
      <c r="D42" s="49" t="s">
        <v>17</v>
      </c>
      <c r="E42" s="50" t="s">
        <v>18</v>
      </c>
      <c r="F42" s="50">
        <v>6</v>
      </c>
      <c r="G42" s="51">
        <f ca="1">COUNTIF(INDIRECT(ListSource!$F$28), $F15)</f>
        <v>55</v>
      </c>
      <c r="H42" s="55">
        <f t="shared" ca="1" si="3"/>
        <v>0</v>
      </c>
      <c r="I42" s="55">
        <f ca="1">SUM(COUNTIFS(INDIRECT(ListSource!$D$28), "Passed", INDIRECT(ListSource!$F$28), $F42))</f>
        <v>0</v>
      </c>
      <c r="J42" s="55">
        <f ca="1">SUM(COUNTIFS(INDIRECT(ListSource!$D$28), "Failed", INDIRECT(ListSource!$F$28), $F42))</f>
        <v>0</v>
      </c>
      <c r="K42" s="55">
        <f ca="1">SUM(COUNTIFS(INDIRECT(ListSource!$D$28), "Blocked", INDIRECT(ListSource!$F$28), $F42))</f>
        <v>0</v>
      </c>
      <c r="L42" s="55">
        <f t="shared" ca="1" si="4"/>
        <v>55</v>
      </c>
      <c r="M42" s="52">
        <f t="shared" ca="1" si="5"/>
        <v>0</v>
      </c>
      <c r="N42" s="52">
        <f t="shared" ca="1" si="6"/>
        <v>0</v>
      </c>
      <c r="O42" s="52">
        <f t="shared" ca="1" si="7"/>
        <v>0</v>
      </c>
      <c r="P42" s="53">
        <f t="shared" ca="1" si="8"/>
        <v>0</v>
      </c>
    </row>
    <row r="43" spans="4:16" ht="24" customHeight="1" x14ac:dyDescent="0.25">
      <c r="D43" s="49" t="s">
        <v>17</v>
      </c>
      <c r="E43" s="50" t="s">
        <v>18</v>
      </c>
      <c r="F43" s="50">
        <v>7</v>
      </c>
      <c r="G43" s="51">
        <f ca="1">COUNTIF(INDIRECT(ListSource!$F$28), $F16)</f>
        <v>60</v>
      </c>
      <c r="H43" s="55">
        <f t="shared" ca="1" si="3"/>
        <v>18</v>
      </c>
      <c r="I43" s="55">
        <f ca="1">SUM(COUNTIFS(INDIRECT(ListSource!$D$28), "Passed", INDIRECT(ListSource!$F$28), $F43))</f>
        <v>0</v>
      </c>
      <c r="J43" s="55">
        <f ca="1">SUM(COUNTIFS(INDIRECT(ListSource!$D$28), "Failed", INDIRECT(ListSource!$F$28), $F43))</f>
        <v>0</v>
      </c>
      <c r="K43" s="55">
        <f ca="1">SUM(COUNTIFS(INDIRECT(ListSource!$D$28), "Blocked", INDIRECT(ListSource!$F$28), $F43))</f>
        <v>18</v>
      </c>
      <c r="L43" s="55">
        <f t="shared" ca="1" si="4"/>
        <v>42</v>
      </c>
      <c r="M43" s="52">
        <f t="shared" ca="1" si="5"/>
        <v>0.3</v>
      </c>
      <c r="N43" s="52">
        <f t="shared" ca="1" si="6"/>
        <v>0</v>
      </c>
      <c r="O43" s="52">
        <f t="shared" ca="1" si="7"/>
        <v>0</v>
      </c>
      <c r="P43" s="53">
        <f t="shared" ca="1" si="8"/>
        <v>0.3</v>
      </c>
    </row>
    <row r="44" spans="4:16" ht="24" customHeight="1" x14ac:dyDescent="0.25">
      <c r="D44" s="49" t="s">
        <v>17</v>
      </c>
      <c r="E44" s="50" t="s">
        <v>18</v>
      </c>
      <c r="F44" s="50">
        <v>8</v>
      </c>
      <c r="G44" s="51">
        <f ca="1">COUNTIF(INDIRECT(ListSource!$F$28), $F17)</f>
        <v>55</v>
      </c>
      <c r="H44" s="55">
        <f t="shared" ca="1" si="3"/>
        <v>1</v>
      </c>
      <c r="I44" s="55">
        <f ca="1">SUM(COUNTIFS(INDIRECT(ListSource!$D$28), "Passed", INDIRECT(ListSource!$F$28), $F44))</f>
        <v>0</v>
      </c>
      <c r="J44" s="55">
        <f ca="1">SUM(COUNTIFS(INDIRECT(ListSource!$D$28), "Failed", INDIRECT(ListSource!$F$28), $F44))</f>
        <v>0</v>
      </c>
      <c r="K44" s="55">
        <f ca="1">SUM(COUNTIFS(INDIRECT(ListSource!$D$28), "Blocked", INDIRECT(ListSource!$F$28), $F44))</f>
        <v>1</v>
      </c>
      <c r="L44" s="55">
        <f t="shared" ca="1" si="4"/>
        <v>54</v>
      </c>
      <c r="M44" s="52">
        <f t="shared" ca="1" si="5"/>
        <v>1.8181818181818181E-2</v>
      </c>
      <c r="N44" s="52">
        <f t="shared" ca="1" si="6"/>
        <v>0</v>
      </c>
      <c r="O44" s="52">
        <f t="shared" ca="1" si="7"/>
        <v>0</v>
      </c>
      <c r="P44" s="53">
        <f t="shared" ca="1" si="8"/>
        <v>1.8181818181818181E-2</v>
      </c>
    </row>
    <row r="45" spans="4:16" ht="24" customHeight="1" x14ac:dyDescent="0.25">
      <c r="D45" s="49" t="s">
        <v>17</v>
      </c>
      <c r="E45" s="50" t="s">
        <v>18</v>
      </c>
      <c r="F45" s="50">
        <v>10</v>
      </c>
      <c r="G45" s="51">
        <f ca="1">COUNTIF(INDIRECT(ListSource!$F$28), $F18)</f>
        <v>95</v>
      </c>
      <c r="H45" s="55">
        <f t="shared" ca="1" si="3"/>
        <v>24</v>
      </c>
      <c r="I45" s="55">
        <f ca="1">SUM(COUNTIFS(INDIRECT(ListSource!$D$28), "Passed", INDIRECT(ListSource!$F$28), $F45))</f>
        <v>0</v>
      </c>
      <c r="J45" s="55">
        <f ca="1">SUM(COUNTIFS(INDIRECT(ListSource!$D$28), "Failed", INDIRECT(ListSource!$F$28), $F45))</f>
        <v>0</v>
      </c>
      <c r="K45" s="55">
        <f ca="1">SUM(COUNTIFS(INDIRECT(ListSource!$D$28), "Blocked", INDIRECT(ListSource!$F$28), $F45))</f>
        <v>24</v>
      </c>
      <c r="L45" s="55">
        <f t="shared" ca="1" si="4"/>
        <v>71</v>
      </c>
      <c r="M45" s="52">
        <f t="shared" ca="1" si="5"/>
        <v>0.25263157894736843</v>
      </c>
      <c r="N45" s="52">
        <f t="shared" ca="1" si="6"/>
        <v>0</v>
      </c>
      <c r="O45" s="52">
        <f t="shared" ca="1" si="7"/>
        <v>0</v>
      </c>
      <c r="P45" s="53">
        <f t="shared" ca="1" si="8"/>
        <v>0.25263157894736843</v>
      </c>
    </row>
    <row r="46" spans="4:16" ht="24" customHeight="1" x14ac:dyDescent="0.25">
      <c r="D46" s="49" t="s">
        <v>17</v>
      </c>
      <c r="E46" s="50" t="s">
        <v>18</v>
      </c>
      <c r="F46" s="50">
        <v>11</v>
      </c>
      <c r="G46" s="51">
        <f ca="1">COUNTIF(INDIRECT(ListSource!$F$28), $F19)</f>
        <v>95</v>
      </c>
      <c r="H46" s="55">
        <f t="shared" ca="1" si="3"/>
        <v>6</v>
      </c>
      <c r="I46" s="55">
        <f ca="1">SUM(COUNTIFS(INDIRECT(ListSource!$D$28), "Passed", INDIRECT(ListSource!$F$28), $F46))</f>
        <v>0</v>
      </c>
      <c r="J46" s="55">
        <f ca="1">SUM(COUNTIFS(INDIRECT(ListSource!$D$28), "Failed", INDIRECT(ListSource!$F$28), $F46))</f>
        <v>0</v>
      </c>
      <c r="K46" s="55">
        <f ca="1">SUM(COUNTIFS(INDIRECT(ListSource!$D$28), "Blocked", INDIRECT(ListSource!$F$28), $F46))</f>
        <v>6</v>
      </c>
      <c r="L46" s="55">
        <f t="shared" ca="1" si="4"/>
        <v>89</v>
      </c>
      <c r="M46" s="52">
        <f t="shared" ca="1" si="5"/>
        <v>6.3157894736842107E-2</v>
      </c>
      <c r="N46" s="52">
        <f t="shared" ca="1" si="6"/>
        <v>0</v>
      </c>
      <c r="O46" s="52">
        <f t="shared" ca="1" si="7"/>
        <v>0</v>
      </c>
      <c r="P46" s="53">
        <f t="shared" ca="1" si="8"/>
        <v>6.3157894736842107E-2</v>
      </c>
    </row>
    <row r="47" spans="4:16" ht="24" customHeight="1" x14ac:dyDescent="0.25">
      <c r="D47" s="49" t="s">
        <v>17</v>
      </c>
      <c r="E47" s="50" t="s">
        <v>18</v>
      </c>
      <c r="F47" s="50">
        <v>12</v>
      </c>
      <c r="G47" s="51">
        <f ca="1">COUNTIF(INDIRECT(ListSource!$F$28), $F20)</f>
        <v>105</v>
      </c>
      <c r="H47" s="55">
        <f t="shared" ca="1" si="3"/>
        <v>12</v>
      </c>
      <c r="I47" s="55">
        <f ca="1">SUM(COUNTIFS(INDIRECT(ListSource!$D$28), "Passed", INDIRECT(ListSource!$F$28), $F47))</f>
        <v>0</v>
      </c>
      <c r="J47" s="55">
        <f ca="1">SUM(COUNTIFS(INDIRECT(ListSource!$D$28), "Failed", INDIRECT(ListSource!$F$28), $F47))</f>
        <v>0</v>
      </c>
      <c r="K47" s="55">
        <f ca="1">SUM(COUNTIFS(INDIRECT(ListSource!$D$28), "Blocked", INDIRECT(ListSource!$F$28), $F47))</f>
        <v>12</v>
      </c>
      <c r="L47" s="55">
        <f t="shared" ca="1" si="4"/>
        <v>93</v>
      </c>
      <c r="M47" s="52">
        <f t="shared" ca="1" si="5"/>
        <v>0.11428571428571428</v>
      </c>
      <c r="N47" s="52">
        <f t="shared" ca="1" si="6"/>
        <v>0</v>
      </c>
      <c r="O47" s="52">
        <f t="shared" ca="1" si="7"/>
        <v>0</v>
      </c>
      <c r="P47" s="53">
        <f t="shared" ca="1" si="8"/>
        <v>0.11428571428571428</v>
      </c>
    </row>
    <row r="48" spans="4:16" ht="24" customHeight="1" x14ac:dyDescent="0.25">
      <c r="D48" s="49" t="s">
        <v>17</v>
      </c>
      <c r="E48" s="50" t="s">
        <v>18</v>
      </c>
      <c r="F48" s="50">
        <v>13</v>
      </c>
      <c r="G48" s="51">
        <f ca="1">COUNTIF(INDIRECT(ListSource!$F$28), $F21)</f>
        <v>73</v>
      </c>
      <c r="H48" s="55">
        <f t="shared" ca="1" si="3"/>
        <v>4</v>
      </c>
      <c r="I48" s="55">
        <f ca="1">SUM(COUNTIFS(INDIRECT(ListSource!$D$28), "Passed", INDIRECT(ListSource!$F$28), $F48))</f>
        <v>0</v>
      </c>
      <c r="J48" s="55">
        <f ca="1">SUM(COUNTIFS(INDIRECT(ListSource!$D$28), "Failed", INDIRECT(ListSource!$F$28), $F48))</f>
        <v>0</v>
      </c>
      <c r="K48" s="55">
        <f ca="1">SUM(COUNTIFS(INDIRECT(ListSource!$D$28), "Blocked", INDIRECT(ListSource!$F$28), $F48))</f>
        <v>4</v>
      </c>
      <c r="L48" s="55">
        <f t="shared" ca="1" si="4"/>
        <v>69</v>
      </c>
      <c r="M48" s="52">
        <f t="shared" ca="1" si="5"/>
        <v>5.4794520547945202E-2</v>
      </c>
      <c r="N48" s="52">
        <f t="shared" ca="1" si="6"/>
        <v>0</v>
      </c>
      <c r="O48" s="52">
        <f t="shared" ca="1" si="7"/>
        <v>0</v>
      </c>
      <c r="P48" s="53">
        <f t="shared" ca="1" si="8"/>
        <v>5.4794520547945202E-2</v>
      </c>
    </row>
    <row r="49" spans="4:16" ht="24" customHeight="1" x14ac:dyDescent="0.25">
      <c r="D49" s="49" t="s">
        <v>17</v>
      </c>
      <c r="E49" s="50" t="s">
        <v>18</v>
      </c>
      <c r="F49" s="50">
        <v>14</v>
      </c>
      <c r="G49" s="51">
        <f ca="1">COUNTIF(INDIRECT(ListSource!$F$28), $F22)</f>
        <v>0</v>
      </c>
      <c r="H49" s="55">
        <f t="shared" ca="1" si="3"/>
        <v>0</v>
      </c>
      <c r="I49" s="55">
        <f ca="1">SUM(COUNTIFS(INDIRECT(ListSource!$D$28), "Passed", INDIRECT(ListSource!$F$28), $F49))</f>
        <v>0</v>
      </c>
      <c r="J49" s="55">
        <f ca="1">SUM(COUNTIFS(INDIRECT(ListSource!$D$28), "Failed", INDIRECT(ListSource!$F$28), $F49))</f>
        <v>0</v>
      </c>
      <c r="K49" s="55">
        <f ca="1">SUM(COUNTIFS(INDIRECT(ListSource!$D$28), "Blocked", INDIRECT(ListSource!$F$28), $F49))</f>
        <v>0</v>
      </c>
      <c r="L49" s="55">
        <f t="shared" ca="1" si="4"/>
        <v>0</v>
      </c>
      <c r="M49" s="52">
        <f t="shared" ca="1" si="5"/>
        <v>0</v>
      </c>
      <c r="N49" s="52">
        <f t="shared" ca="1" si="6"/>
        <v>0</v>
      </c>
      <c r="O49" s="52">
        <f t="shared" ca="1" si="7"/>
        <v>0</v>
      </c>
      <c r="P49" s="53">
        <f t="shared" ca="1" si="8"/>
        <v>0</v>
      </c>
    </row>
    <row r="50" spans="4:16" ht="24" customHeight="1" x14ac:dyDescent="0.25">
      <c r="D50" s="49" t="s">
        <v>17</v>
      </c>
      <c r="E50" s="50" t="s">
        <v>18</v>
      </c>
      <c r="F50" s="50">
        <v>15</v>
      </c>
      <c r="G50" s="51">
        <f ca="1">COUNTIF(INDIRECT(ListSource!$F$28), $F23)</f>
        <v>60</v>
      </c>
      <c r="H50" s="55">
        <f t="shared" ca="1" si="3"/>
        <v>0</v>
      </c>
      <c r="I50" s="55">
        <f ca="1">SUM(COUNTIFS(INDIRECT(ListSource!$D$28), "Passed", INDIRECT(ListSource!$F$28), $F50))</f>
        <v>0</v>
      </c>
      <c r="J50" s="55">
        <f ca="1">SUM(COUNTIFS(INDIRECT(ListSource!$D$28), "Failed", INDIRECT(ListSource!$F$28), $F50))</f>
        <v>0</v>
      </c>
      <c r="K50" s="55">
        <f ca="1">SUM(COUNTIFS(INDIRECT(ListSource!$D$28), "Blocked", INDIRECT(ListSource!$F$28), $F50))</f>
        <v>0</v>
      </c>
      <c r="L50" s="55">
        <f t="shared" ca="1" si="4"/>
        <v>60</v>
      </c>
      <c r="M50" s="52">
        <f t="shared" ca="1" si="5"/>
        <v>0</v>
      </c>
      <c r="N50" s="52">
        <f t="shared" ca="1" si="6"/>
        <v>0</v>
      </c>
      <c r="O50" s="52">
        <f t="shared" ca="1" si="7"/>
        <v>0</v>
      </c>
      <c r="P50" s="53">
        <f t="shared" ca="1" si="8"/>
        <v>0</v>
      </c>
    </row>
    <row r="51" spans="4:16" ht="24" hidden="1" customHeight="1" x14ac:dyDescent="0.25">
      <c r="D51" s="49"/>
      <c r="E51" s="50"/>
      <c r="F51" s="50"/>
      <c r="G51" s="51"/>
      <c r="H51" s="55"/>
      <c r="I51" s="55"/>
      <c r="J51" s="55"/>
      <c r="K51" s="55"/>
      <c r="L51" s="55"/>
      <c r="M51" s="52"/>
      <c r="N51" s="52"/>
      <c r="O51" s="52"/>
      <c r="P51" s="53"/>
    </row>
    <row r="52" spans="4:16" ht="24" hidden="1" customHeight="1" x14ac:dyDescent="0.25">
      <c r="D52" s="49"/>
      <c r="E52" s="50"/>
      <c r="F52" s="50"/>
      <c r="G52" s="51"/>
      <c r="H52" s="55"/>
      <c r="I52" s="55"/>
      <c r="J52" s="55"/>
      <c r="K52" s="55"/>
      <c r="L52" s="55"/>
      <c r="M52" s="52"/>
      <c r="N52" s="52"/>
      <c r="O52" s="52"/>
      <c r="P52" s="53"/>
    </row>
    <row r="53" spans="4:16" ht="24" hidden="1" customHeight="1" x14ac:dyDescent="0.25">
      <c r="D53" s="49"/>
      <c r="E53" s="50"/>
      <c r="F53" s="50"/>
      <c r="G53" s="51"/>
      <c r="H53" s="55"/>
      <c r="I53" s="55"/>
      <c r="J53" s="55"/>
      <c r="K53" s="55"/>
      <c r="L53" s="55"/>
      <c r="M53" s="52"/>
      <c r="N53" s="52"/>
      <c r="O53" s="52"/>
      <c r="P53" s="53"/>
    </row>
    <row r="54" spans="4:16" ht="24" hidden="1" customHeight="1" x14ac:dyDescent="0.25">
      <c r="D54" s="49"/>
      <c r="E54" s="50"/>
      <c r="F54" s="50"/>
      <c r="G54" s="51"/>
      <c r="H54" s="55"/>
      <c r="I54" s="55"/>
      <c r="J54" s="55"/>
      <c r="K54" s="55"/>
      <c r="L54" s="55"/>
      <c r="M54" s="52"/>
      <c r="N54" s="52"/>
      <c r="O54" s="52"/>
      <c r="P54" s="53"/>
    </row>
    <row r="55" spans="4:16" ht="24" hidden="1" customHeight="1" x14ac:dyDescent="0.25">
      <c r="D55" s="49"/>
      <c r="E55" s="50"/>
      <c r="F55" s="50"/>
      <c r="G55" s="51"/>
      <c r="H55" s="55"/>
      <c r="I55" s="55"/>
      <c r="J55" s="55"/>
      <c r="K55" s="55"/>
      <c r="L55" s="55"/>
      <c r="M55" s="52"/>
      <c r="N55" s="52"/>
      <c r="O55" s="52"/>
      <c r="P55" s="53"/>
    </row>
    <row r="56" spans="4:16" ht="16.5" thickBot="1" x14ac:dyDescent="0.3">
      <c r="D56" s="335" t="s">
        <v>19</v>
      </c>
      <c r="E56" s="336"/>
      <c r="F56" s="337"/>
      <c r="G56" s="54">
        <f t="shared" ref="G56:L56" ca="1" si="9">SUM(G36:G55)</f>
        <v>797</v>
      </c>
      <c r="H56" s="54">
        <f t="shared" ca="1" si="9"/>
        <v>74</v>
      </c>
      <c r="I56" s="54">
        <f t="shared" ca="1" si="9"/>
        <v>0</v>
      </c>
      <c r="J56" s="54">
        <f t="shared" ca="1" si="9"/>
        <v>0</v>
      </c>
      <c r="K56" s="54">
        <f t="shared" ca="1" si="9"/>
        <v>74</v>
      </c>
      <c r="L56" s="54">
        <f t="shared" ca="1" si="9"/>
        <v>723</v>
      </c>
      <c r="M56" s="338"/>
      <c r="N56" s="339"/>
      <c r="O56" s="339"/>
      <c r="P56" s="340"/>
    </row>
  </sheetData>
  <mergeCells count="12">
    <mergeCell ref="D8:D9"/>
    <mergeCell ref="E8:E9"/>
    <mergeCell ref="F8:F9"/>
    <mergeCell ref="G8:M8"/>
    <mergeCell ref="D30:F30"/>
    <mergeCell ref="K30:M30"/>
    <mergeCell ref="D34:D35"/>
    <mergeCell ref="E34:E35"/>
    <mergeCell ref="F34:F35"/>
    <mergeCell ref="G34:P34"/>
    <mergeCell ref="D56:F56"/>
    <mergeCell ref="M56:P56"/>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filterMode="1"/>
  <dimension ref="A1:M1060"/>
  <sheetViews>
    <sheetView tabSelected="1" zoomScale="80" zoomScaleNormal="80" workbookViewId="0">
      <pane ySplit="1" topLeftCell="A12" activePane="bottomLeft" state="frozen"/>
      <selection pane="bottomLeft" activeCell="E130" sqref="E130"/>
    </sheetView>
  </sheetViews>
  <sheetFormatPr defaultColWidth="9.140625" defaultRowHeight="15" x14ac:dyDescent="0.2"/>
  <cols>
    <col min="1" max="1" width="12.7109375" style="87" customWidth="1"/>
    <col min="2" max="2" width="24.5703125" style="87" customWidth="1"/>
    <col min="3" max="3" width="23" style="118" customWidth="1"/>
    <col min="4" max="4" width="70.7109375" style="85" customWidth="1"/>
    <col min="5" max="5" width="94" style="85" customWidth="1"/>
    <col min="6" max="6" width="23.7109375" style="87" customWidth="1"/>
    <col min="7" max="7" width="17.85546875" style="87" customWidth="1"/>
    <col min="8" max="8" width="27.140625" style="87" customWidth="1"/>
    <col min="9" max="9" width="31.140625" style="87" customWidth="1"/>
    <col min="10" max="10" width="23.28515625" style="86" customWidth="1"/>
    <col min="11" max="11" width="46.7109375" style="86" customWidth="1"/>
    <col min="12" max="12" width="19" style="86" customWidth="1"/>
    <col min="13" max="13" width="30.140625" style="86" customWidth="1"/>
    <col min="14" max="16384" width="9.140625" style="83"/>
  </cols>
  <sheetData>
    <row r="1" spans="1:13" s="80" customFormat="1" ht="36.75" customHeight="1" x14ac:dyDescent="0.2">
      <c r="A1" s="79" t="s">
        <v>33</v>
      </c>
      <c r="B1" s="79" t="s">
        <v>21</v>
      </c>
      <c r="C1" s="79" t="s">
        <v>34</v>
      </c>
      <c r="D1" s="79" t="s">
        <v>35</v>
      </c>
      <c r="E1" s="79" t="s">
        <v>36</v>
      </c>
      <c r="F1" s="79" t="s">
        <v>37</v>
      </c>
      <c r="G1" s="79" t="s">
        <v>38</v>
      </c>
      <c r="H1" s="79" t="s">
        <v>39</v>
      </c>
      <c r="I1" s="79" t="s">
        <v>40</v>
      </c>
      <c r="J1" s="79" t="s">
        <v>888</v>
      </c>
      <c r="K1" s="79" t="s">
        <v>42</v>
      </c>
      <c r="L1" s="79" t="s">
        <v>43</v>
      </c>
      <c r="M1" s="79" t="s">
        <v>2401</v>
      </c>
    </row>
    <row r="2" spans="1:13" ht="31.5" hidden="1" customHeight="1" x14ac:dyDescent="0.2">
      <c r="A2" s="81">
        <v>1</v>
      </c>
      <c r="B2" s="81" t="s">
        <v>64</v>
      </c>
      <c r="C2" s="170" t="s">
        <v>45</v>
      </c>
      <c r="D2" s="174" t="s">
        <v>46</v>
      </c>
      <c r="E2" s="98" t="s">
        <v>47</v>
      </c>
      <c r="F2" s="84" t="s">
        <v>48</v>
      </c>
      <c r="G2" s="82">
        <v>0</v>
      </c>
      <c r="H2" s="96" t="s">
        <v>49</v>
      </c>
      <c r="I2" s="82" t="s">
        <v>2</v>
      </c>
      <c r="J2" s="99" t="s">
        <v>47</v>
      </c>
      <c r="K2" s="175"/>
      <c r="L2" s="99"/>
      <c r="M2" s="307" t="s">
        <v>49</v>
      </c>
    </row>
    <row r="3" spans="1:13" ht="31.5" hidden="1" customHeight="1" x14ac:dyDescent="0.2">
      <c r="A3" s="81">
        <f t="shared" ref="A3:A66" si="0">A2+1</f>
        <v>2</v>
      </c>
      <c r="B3" s="81" t="s">
        <v>64</v>
      </c>
      <c r="C3" s="170" t="s">
        <v>45</v>
      </c>
      <c r="D3" s="94" t="s">
        <v>52</v>
      </c>
      <c r="E3" s="98" t="s">
        <v>53</v>
      </c>
      <c r="F3" s="84" t="s">
        <v>48</v>
      </c>
      <c r="G3" s="82">
        <v>0</v>
      </c>
      <c r="H3" s="96" t="s">
        <v>49</v>
      </c>
      <c r="I3" s="82" t="s">
        <v>2</v>
      </c>
      <c r="J3" s="84" t="s">
        <v>53</v>
      </c>
      <c r="K3" s="175"/>
      <c r="L3" s="99"/>
      <c r="M3" s="307" t="s">
        <v>49</v>
      </c>
    </row>
    <row r="4" spans="1:13" ht="31.5" hidden="1" customHeight="1" x14ac:dyDescent="0.2">
      <c r="A4" s="81">
        <f t="shared" si="0"/>
        <v>3</v>
      </c>
      <c r="B4" s="81" t="s">
        <v>64</v>
      </c>
      <c r="C4" s="170" t="s">
        <v>45</v>
      </c>
      <c r="D4" s="98" t="s">
        <v>54</v>
      </c>
      <c r="E4" s="98" t="s">
        <v>55</v>
      </c>
      <c r="F4" s="84" t="s">
        <v>48</v>
      </c>
      <c r="G4" s="82">
        <v>0</v>
      </c>
      <c r="H4" s="96" t="s">
        <v>49</v>
      </c>
      <c r="I4" s="82" t="s">
        <v>2</v>
      </c>
      <c r="J4" s="84" t="s">
        <v>55</v>
      </c>
      <c r="K4" s="175"/>
      <c r="L4" s="99"/>
      <c r="M4" s="307" t="s">
        <v>49</v>
      </c>
    </row>
    <row r="5" spans="1:13" ht="31.5" hidden="1" customHeight="1" x14ac:dyDescent="0.2">
      <c r="A5" s="81">
        <f t="shared" si="0"/>
        <v>4</v>
      </c>
      <c r="B5" s="81" t="s">
        <v>64</v>
      </c>
      <c r="C5" s="170" t="s">
        <v>45</v>
      </c>
      <c r="D5" s="98" t="s">
        <v>56</v>
      </c>
      <c r="E5" s="98" t="s">
        <v>57</v>
      </c>
      <c r="F5" s="84" t="s">
        <v>48</v>
      </c>
      <c r="G5" s="82">
        <v>0</v>
      </c>
      <c r="H5" s="96" t="s">
        <v>49</v>
      </c>
      <c r="I5" s="82" t="s">
        <v>2</v>
      </c>
      <c r="J5" s="84" t="s">
        <v>57</v>
      </c>
      <c r="K5" s="175"/>
      <c r="L5" s="99"/>
      <c r="M5" s="307" t="s">
        <v>49</v>
      </c>
    </row>
    <row r="6" spans="1:13" ht="31.5" hidden="1" customHeight="1" x14ac:dyDescent="0.2">
      <c r="A6" s="81">
        <f t="shared" si="0"/>
        <v>5</v>
      </c>
      <c r="B6" s="81" t="s">
        <v>64</v>
      </c>
      <c r="C6" s="170" t="s">
        <v>45</v>
      </c>
      <c r="D6" s="98" t="s">
        <v>58</v>
      </c>
      <c r="E6" s="98" t="s">
        <v>59</v>
      </c>
      <c r="F6" s="84" t="s">
        <v>60</v>
      </c>
      <c r="G6" s="82">
        <v>0</v>
      </c>
      <c r="H6" s="96" t="s">
        <v>49</v>
      </c>
      <c r="I6" s="82" t="s">
        <v>889</v>
      </c>
      <c r="J6" s="84" t="s">
        <v>59</v>
      </c>
      <c r="K6" s="99"/>
      <c r="L6" s="99"/>
      <c r="M6" s="307" t="s">
        <v>49</v>
      </c>
    </row>
    <row r="7" spans="1:13" ht="31.5" hidden="1" customHeight="1" x14ac:dyDescent="0.2">
      <c r="A7" s="81">
        <f t="shared" si="0"/>
        <v>6</v>
      </c>
      <c r="B7" s="81" t="s">
        <v>64</v>
      </c>
      <c r="C7" s="170" t="s">
        <v>45</v>
      </c>
      <c r="D7" s="98" t="s">
        <v>62</v>
      </c>
      <c r="E7" s="98" t="s">
        <v>63</v>
      </c>
      <c r="F7" s="84" t="s">
        <v>48</v>
      </c>
      <c r="G7" s="82">
        <v>0</v>
      </c>
      <c r="H7" s="96" t="s">
        <v>49</v>
      </c>
      <c r="I7" s="82" t="s">
        <v>2</v>
      </c>
      <c r="J7" s="84" t="s">
        <v>63</v>
      </c>
      <c r="K7" s="175"/>
      <c r="L7" s="99"/>
      <c r="M7" s="307" t="s">
        <v>49</v>
      </c>
    </row>
    <row r="8" spans="1:13" ht="31.5" hidden="1" customHeight="1" x14ac:dyDescent="0.2">
      <c r="A8" s="81">
        <f t="shared" si="0"/>
        <v>7</v>
      </c>
      <c r="B8" s="81" t="s">
        <v>64</v>
      </c>
      <c r="C8" s="170" t="s">
        <v>65</v>
      </c>
      <c r="D8" s="98" t="s">
        <v>66</v>
      </c>
      <c r="E8" s="98" t="s">
        <v>66</v>
      </c>
      <c r="F8" s="84" t="s">
        <v>48</v>
      </c>
      <c r="G8" s="82">
        <v>0</v>
      </c>
      <c r="H8" s="96" t="s">
        <v>49</v>
      </c>
      <c r="I8" s="82" t="s">
        <v>2</v>
      </c>
      <c r="J8" s="84" t="s">
        <v>66</v>
      </c>
      <c r="K8" s="99" t="s">
        <v>50</v>
      </c>
      <c r="L8" s="99"/>
      <c r="M8" s="307" t="s">
        <v>49</v>
      </c>
    </row>
    <row r="9" spans="1:13" ht="31.5" hidden="1" customHeight="1" x14ac:dyDescent="0.2">
      <c r="A9" s="81">
        <f t="shared" si="0"/>
        <v>8</v>
      </c>
      <c r="B9" s="81" t="s">
        <v>64</v>
      </c>
      <c r="C9" s="170" t="s">
        <v>65</v>
      </c>
      <c r="D9" s="98" t="s">
        <v>67</v>
      </c>
      <c r="E9" s="98" t="s">
        <v>68</v>
      </c>
      <c r="F9" s="84" t="s">
        <v>48</v>
      </c>
      <c r="G9" s="82">
        <v>0</v>
      </c>
      <c r="H9" s="96" t="s">
        <v>49</v>
      </c>
      <c r="I9" s="82" t="s">
        <v>2</v>
      </c>
      <c r="J9" s="84" t="s">
        <v>69</v>
      </c>
      <c r="K9" s="99" t="s">
        <v>50</v>
      </c>
      <c r="L9" s="99"/>
      <c r="M9" s="307" t="s">
        <v>49</v>
      </c>
    </row>
    <row r="10" spans="1:13" ht="31.5" hidden="1" customHeight="1" x14ac:dyDescent="0.2">
      <c r="A10" s="81">
        <f t="shared" si="0"/>
        <v>9</v>
      </c>
      <c r="B10" s="81" t="s">
        <v>64</v>
      </c>
      <c r="C10" s="170" t="s">
        <v>65</v>
      </c>
      <c r="D10" s="98" t="s">
        <v>70</v>
      </c>
      <c r="E10" s="98" t="s">
        <v>70</v>
      </c>
      <c r="F10" s="84" t="s">
        <v>48</v>
      </c>
      <c r="G10" s="82">
        <v>0</v>
      </c>
      <c r="H10" s="96" t="s">
        <v>49</v>
      </c>
      <c r="I10" s="82" t="s">
        <v>2</v>
      </c>
      <c r="J10" s="84" t="s">
        <v>70</v>
      </c>
      <c r="K10" s="99" t="s">
        <v>71</v>
      </c>
      <c r="L10" s="99"/>
      <c r="M10" s="307" t="s">
        <v>49</v>
      </c>
    </row>
    <row r="11" spans="1:13" ht="31.5" hidden="1" customHeight="1" x14ac:dyDescent="0.2">
      <c r="A11" s="81">
        <f t="shared" si="0"/>
        <v>10</v>
      </c>
      <c r="B11" s="81" t="s">
        <v>64</v>
      </c>
      <c r="C11" s="170" t="s">
        <v>65</v>
      </c>
      <c r="D11" s="98" t="s">
        <v>72</v>
      </c>
      <c r="E11" s="98" t="s">
        <v>72</v>
      </c>
      <c r="F11" s="84" t="s">
        <v>48</v>
      </c>
      <c r="G11" s="82">
        <v>0</v>
      </c>
      <c r="H11" s="96" t="s">
        <v>49</v>
      </c>
      <c r="I11" s="82" t="s">
        <v>2</v>
      </c>
      <c r="J11" s="84" t="s">
        <v>72</v>
      </c>
      <c r="K11" s="99" t="s">
        <v>71</v>
      </c>
      <c r="L11" s="99"/>
      <c r="M11" s="307" t="s">
        <v>49</v>
      </c>
    </row>
    <row r="12" spans="1:13" ht="31.5" customHeight="1" x14ac:dyDescent="0.2">
      <c r="A12" s="295">
        <f t="shared" si="0"/>
        <v>11</v>
      </c>
      <c r="B12" s="295" t="s">
        <v>64</v>
      </c>
      <c r="C12" s="296" t="s">
        <v>73</v>
      </c>
      <c r="D12" s="297" t="s">
        <v>74</v>
      </c>
      <c r="E12" s="298" t="s">
        <v>75</v>
      </c>
      <c r="F12" s="84" t="s">
        <v>48</v>
      </c>
      <c r="G12" s="82">
        <v>1</v>
      </c>
      <c r="H12" s="96" t="s">
        <v>61</v>
      </c>
      <c r="I12" s="82" t="s">
        <v>2</v>
      </c>
      <c r="J12" s="99" t="s">
        <v>76</v>
      </c>
      <c r="K12" s="268" t="s">
        <v>1718</v>
      </c>
      <c r="L12" s="99"/>
      <c r="M12" s="307" t="s">
        <v>61</v>
      </c>
    </row>
    <row r="13" spans="1:13" ht="31.5" customHeight="1" x14ac:dyDescent="0.2">
      <c r="A13" s="81">
        <f t="shared" si="0"/>
        <v>12</v>
      </c>
      <c r="B13" s="81" t="s">
        <v>64</v>
      </c>
      <c r="C13" s="170" t="s">
        <v>77</v>
      </c>
      <c r="D13" s="308" t="s">
        <v>74</v>
      </c>
      <c r="E13" s="305" t="s">
        <v>78</v>
      </c>
      <c r="F13" s="84" t="s">
        <v>48</v>
      </c>
      <c r="G13" s="82">
        <v>1</v>
      </c>
      <c r="H13" s="96" t="s">
        <v>61</v>
      </c>
      <c r="I13" s="82" t="s">
        <v>2</v>
      </c>
      <c r="J13" s="84" t="s">
        <v>76</v>
      </c>
      <c r="K13" s="304" t="s">
        <v>2387</v>
      </c>
      <c r="L13" s="84"/>
      <c r="M13" s="307" t="s">
        <v>49</v>
      </c>
    </row>
    <row r="14" spans="1:13" ht="31.5" customHeight="1" x14ac:dyDescent="0.2">
      <c r="A14" s="81">
        <f t="shared" si="0"/>
        <v>13</v>
      </c>
      <c r="B14" s="81" t="s">
        <v>64</v>
      </c>
      <c r="C14" s="170" t="s">
        <v>77</v>
      </c>
      <c r="D14" s="98" t="s">
        <v>74</v>
      </c>
      <c r="E14" s="267" t="s">
        <v>79</v>
      </c>
      <c r="F14" s="84" t="s">
        <v>48</v>
      </c>
      <c r="G14" s="82">
        <v>1</v>
      </c>
      <c r="H14" s="96" t="s">
        <v>61</v>
      </c>
      <c r="I14" s="82" t="s">
        <v>2</v>
      </c>
      <c r="J14" s="84" t="s">
        <v>76</v>
      </c>
      <c r="K14" s="176" t="s">
        <v>1718</v>
      </c>
      <c r="L14" s="84"/>
      <c r="M14" s="307" t="s">
        <v>61</v>
      </c>
    </row>
    <row r="15" spans="1:13" ht="31.5" customHeight="1" x14ac:dyDescent="0.2">
      <c r="A15" s="81">
        <f t="shared" si="0"/>
        <v>14</v>
      </c>
      <c r="B15" s="81" t="s">
        <v>64</v>
      </c>
      <c r="C15" s="170" t="s">
        <v>77</v>
      </c>
      <c r="D15" s="98" t="s">
        <v>74</v>
      </c>
      <c r="E15" s="267" t="s">
        <v>80</v>
      </c>
      <c r="F15" s="84" t="s">
        <v>48</v>
      </c>
      <c r="G15" s="82">
        <v>1</v>
      </c>
      <c r="H15" s="96" t="s">
        <v>61</v>
      </c>
      <c r="I15" s="82" t="s">
        <v>2</v>
      </c>
      <c r="J15" s="84" t="s">
        <v>76</v>
      </c>
      <c r="K15" s="176" t="s">
        <v>1718</v>
      </c>
      <c r="L15" s="84"/>
      <c r="M15" s="307" t="s">
        <v>61</v>
      </c>
    </row>
    <row r="16" spans="1:13" ht="31.5" customHeight="1" x14ac:dyDescent="0.2">
      <c r="A16" s="81">
        <f t="shared" si="0"/>
        <v>15</v>
      </c>
      <c r="B16" s="81" t="s">
        <v>64</v>
      </c>
      <c r="C16" s="170" t="s">
        <v>77</v>
      </c>
      <c r="D16" s="98" t="s">
        <v>74</v>
      </c>
      <c r="E16" s="267" t="s">
        <v>81</v>
      </c>
      <c r="F16" s="84" t="s">
        <v>48</v>
      </c>
      <c r="G16" s="82">
        <v>1</v>
      </c>
      <c r="H16" s="96" t="s">
        <v>61</v>
      </c>
      <c r="I16" s="82" t="s">
        <v>2</v>
      </c>
      <c r="J16" s="84" t="s">
        <v>76</v>
      </c>
      <c r="K16" s="176" t="s">
        <v>1718</v>
      </c>
      <c r="L16" s="84"/>
      <c r="M16" s="307" t="s">
        <v>61</v>
      </c>
    </row>
    <row r="17" spans="1:13" ht="31.5" customHeight="1" x14ac:dyDescent="0.2">
      <c r="A17" s="81">
        <f t="shared" si="0"/>
        <v>16</v>
      </c>
      <c r="B17" s="81" t="s">
        <v>64</v>
      </c>
      <c r="C17" s="170" t="s">
        <v>77</v>
      </c>
      <c r="D17" s="267" t="s">
        <v>74</v>
      </c>
      <c r="E17" s="267" t="s">
        <v>82</v>
      </c>
      <c r="F17" s="84" t="s">
        <v>48</v>
      </c>
      <c r="G17" s="82">
        <v>1</v>
      </c>
      <c r="H17" s="96" t="s">
        <v>61</v>
      </c>
      <c r="I17" s="82" t="s">
        <v>2</v>
      </c>
      <c r="J17" s="84" t="s">
        <v>76</v>
      </c>
      <c r="K17" s="176" t="s">
        <v>1718</v>
      </c>
      <c r="L17" s="84"/>
      <c r="M17" s="307" t="s">
        <v>61</v>
      </c>
    </row>
    <row r="18" spans="1:13" ht="31.5" hidden="1" customHeight="1" x14ac:dyDescent="0.2">
      <c r="A18" s="81">
        <f t="shared" si="0"/>
        <v>17</v>
      </c>
      <c r="B18" s="81" t="s">
        <v>64</v>
      </c>
      <c r="C18" s="170" t="s">
        <v>73</v>
      </c>
      <c r="D18" s="98" t="s">
        <v>83</v>
      </c>
      <c r="E18" s="267" t="s">
        <v>84</v>
      </c>
      <c r="F18" s="84" t="s">
        <v>60</v>
      </c>
      <c r="G18" s="82">
        <v>1</v>
      </c>
      <c r="H18" s="275" t="s">
        <v>49</v>
      </c>
      <c r="I18" s="82" t="s">
        <v>889</v>
      </c>
      <c r="J18" s="84" t="s">
        <v>84</v>
      </c>
      <c r="K18" s="99" t="s">
        <v>85</v>
      </c>
      <c r="L18" s="99"/>
      <c r="M18" s="307" t="s">
        <v>49</v>
      </c>
    </row>
    <row r="19" spans="1:13" ht="31.5" hidden="1" customHeight="1" x14ac:dyDescent="0.2">
      <c r="A19" s="81">
        <f t="shared" si="0"/>
        <v>18</v>
      </c>
      <c r="B19" s="81" t="s">
        <v>64</v>
      </c>
      <c r="C19" s="170" t="s">
        <v>86</v>
      </c>
      <c r="D19" s="98" t="s">
        <v>87</v>
      </c>
      <c r="E19" s="98" t="s">
        <v>88</v>
      </c>
      <c r="F19" s="84" t="s">
        <v>48</v>
      </c>
      <c r="G19" s="82">
        <v>1</v>
      </c>
      <c r="H19" s="96" t="s">
        <v>49</v>
      </c>
      <c r="I19" s="82" t="s">
        <v>2</v>
      </c>
      <c r="J19" s="84" t="s">
        <v>88</v>
      </c>
      <c r="K19" s="84"/>
      <c r="L19" s="84"/>
      <c r="M19" s="307" t="s">
        <v>49</v>
      </c>
    </row>
    <row r="20" spans="1:13" ht="31.5" hidden="1" customHeight="1" x14ac:dyDescent="0.2">
      <c r="A20" s="81">
        <f t="shared" si="0"/>
        <v>19</v>
      </c>
      <c r="B20" s="81" t="s">
        <v>44</v>
      </c>
      <c r="C20" s="170" t="s">
        <v>89</v>
      </c>
      <c r="D20" s="116" t="s">
        <v>90</v>
      </c>
      <c r="E20" s="98" t="s">
        <v>91</v>
      </c>
      <c r="F20" s="84" t="s">
        <v>48</v>
      </c>
      <c r="G20" s="82">
        <v>1</v>
      </c>
      <c r="H20" s="96" t="s">
        <v>49</v>
      </c>
      <c r="I20" s="82" t="s">
        <v>889</v>
      </c>
      <c r="J20" s="84" t="s">
        <v>91</v>
      </c>
      <c r="K20" s="175" t="s">
        <v>1700</v>
      </c>
      <c r="L20" s="84"/>
      <c r="M20" s="307" t="s">
        <v>49</v>
      </c>
    </row>
    <row r="21" spans="1:13" ht="31.5" hidden="1" customHeight="1" x14ac:dyDescent="0.2">
      <c r="A21" s="81">
        <f t="shared" si="0"/>
        <v>20</v>
      </c>
      <c r="B21" s="81" t="s">
        <v>44</v>
      </c>
      <c r="C21" s="170" t="s">
        <v>89</v>
      </c>
      <c r="D21" s="98" t="s">
        <v>92</v>
      </c>
      <c r="E21" s="98" t="s">
        <v>93</v>
      </c>
      <c r="F21" s="84" t="s">
        <v>48</v>
      </c>
      <c r="G21" s="82">
        <v>1</v>
      </c>
      <c r="H21" s="96" t="s">
        <v>49</v>
      </c>
      <c r="I21" s="82" t="s">
        <v>889</v>
      </c>
      <c r="J21" s="84" t="s">
        <v>93</v>
      </c>
      <c r="K21" s="175" t="s">
        <v>1700</v>
      </c>
      <c r="L21" s="84"/>
      <c r="M21" s="307" t="s">
        <v>49</v>
      </c>
    </row>
    <row r="22" spans="1:13" ht="31.5" hidden="1" customHeight="1" x14ac:dyDescent="0.2">
      <c r="A22" s="81">
        <f t="shared" si="0"/>
        <v>21</v>
      </c>
      <c r="B22" s="81" t="s">
        <v>44</v>
      </c>
      <c r="C22" s="170" t="s">
        <v>94</v>
      </c>
      <c r="D22" s="116" t="s">
        <v>95</v>
      </c>
      <c r="E22" s="124" t="s">
        <v>96</v>
      </c>
      <c r="F22" s="84" t="s">
        <v>48</v>
      </c>
      <c r="G22" s="82">
        <v>1</v>
      </c>
      <c r="H22" s="96" t="s">
        <v>49</v>
      </c>
      <c r="I22" s="82" t="s">
        <v>889</v>
      </c>
      <c r="J22" s="84" t="s">
        <v>97</v>
      </c>
      <c r="K22" s="175" t="s">
        <v>1700</v>
      </c>
      <c r="L22" s="99"/>
      <c r="M22" s="307" t="s">
        <v>49</v>
      </c>
    </row>
    <row r="23" spans="1:13" ht="31.5" hidden="1" customHeight="1" x14ac:dyDescent="0.2">
      <c r="A23" s="81">
        <f t="shared" si="0"/>
        <v>22</v>
      </c>
      <c r="B23" s="81" t="s">
        <v>44</v>
      </c>
      <c r="C23" s="170" t="s">
        <v>94</v>
      </c>
      <c r="D23" s="98" t="s">
        <v>95</v>
      </c>
      <c r="E23" s="124" t="s">
        <v>98</v>
      </c>
      <c r="F23" s="84" t="s">
        <v>48</v>
      </c>
      <c r="G23" s="82">
        <v>1</v>
      </c>
      <c r="H23" s="96" t="s">
        <v>49</v>
      </c>
      <c r="I23" s="82" t="s">
        <v>889</v>
      </c>
      <c r="J23" s="84" t="s">
        <v>97</v>
      </c>
      <c r="K23" s="175" t="s">
        <v>1700</v>
      </c>
      <c r="L23" s="99"/>
      <c r="M23" s="307" t="s">
        <v>49</v>
      </c>
    </row>
    <row r="24" spans="1:13" ht="31.5" hidden="1" customHeight="1" x14ac:dyDescent="0.2">
      <c r="A24" s="81">
        <f t="shared" si="0"/>
        <v>23</v>
      </c>
      <c r="B24" s="81" t="s">
        <v>44</v>
      </c>
      <c r="C24" s="170" t="s">
        <v>94</v>
      </c>
      <c r="D24" s="98" t="s">
        <v>95</v>
      </c>
      <c r="E24" s="124" t="s">
        <v>99</v>
      </c>
      <c r="F24" s="84" t="s">
        <v>48</v>
      </c>
      <c r="G24" s="82">
        <v>1</v>
      </c>
      <c r="H24" s="96" t="s">
        <v>49</v>
      </c>
      <c r="I24" s="82" t="s">
        <v>889</v>
      </c>
      <c r="J24" s="84" t="s">
        <v>97</v>
      </c>
      <c r="K24" s="175" t="s">
        <v>1700</v>
      </c>
      <c r="L24" s="99"/>
      <c r="M24" s="307" t="s">
        <v>49</v>
      </c>
    </row>
    <row r="25" spans="1:13" ht="31.5" hidden="1" customHeight="1" x14ac:dyDescent="0.2">
      <c r="A25" s="81">
        <f t="shared" si="0"/>
        <v>24</v>
      </c>
      <c r="B25" s="81" t="s">
        <v>44</v>
      </c>
      <c r="C25" s="170" t="s">
        <v>94</v>
      </c>
      <c r="D25" s="98" t="s">
        <v>95</v>
      </c>
      <c r="E25" s="124" t="s">
        <v>100</v>
      </c>
      <c r="F25" s="84" t="s">
        <v>48</v>
      </c>
      <c r="G25" s="82">
        <v>1</v>
      </c>
      <c r="H25" s="96" t="s">
        <v>49</v>
      </c>
      <c r="I25" s="82" t="s">
        <v>889</v>
      </c>
      <c r="J25" s="84" t="s">
        <v>97</v>
      </c>
      <c r="K25" s="175" t="s">
        <v>1700</v>
      </c>
      <c r="L25" s="99"/>
      <c r="M25" s="307" t="s">
        <v>49</v>
      </c>
    </row>
    <row r="26" spans="1:13" ht="31.5" hidden="1" customHeight="1" x14ac:dyDescent="0.2">
      <c r="A26" s="81">
        <f t="shared" si="0"/>
        <v>25</v>
      </c>
      <c r="B26" s="81" t="s">
        <v>44</v>
      </c>
      <c r="C26" s="170" t="s">
        <v>94</v>
      </c>
      <c r="D26" s="98" t="s">
        <v>95</v>
      </c>
      <c r="E26" s="98" t="s">
        <v>101</v>
      </c>
      <c r="F26" s="84" t="s">
        <v>48</v>
      </c>
      <c r="G26" s="82">
        <v>1</v>
      </c>
      <c r="H26" s="96" t="s">
        <v>49</v>
      </c>
      <c r="I26" s="82" t="s">
        <v>889</v>
      </c>
      <c r="J26" s="84" t="s">
        <v>97</v>
      </c>
      <c r="K26" s="175" t="s">
        <v>1700</v>
      </c>
      <c r="L26" s="99"/>
      <c r="M26" s="307" t="s">
        <v>49</v>
      </c>
    </row>
    <row r="27" spans="1:13" ht="31.5" hidden="1" customHeight="1" x14ac:dyDescent="0.2">
      <c r="A27" s="81">
        <f t="shared" si="0"/>
        <v>26</v>
      </c>
      <c r="B27" s="81" t="s">
        <v>44</v>
      </c>
      <c r="C27" s="170" t="s">
        <v>102</v>
      </c>
      <c r="D27" s="125" t="s">
        <v>103</v>
      </c>
      <c r="E27" s="98" t="s">
        <v>104</v>
      </c>
      <c r="F27" s="84" t="s">
        <v>48</v>
      </c>
      <c r="G27" s="82">
        <v>1</v>
      </c>
      <c r="H27" s="96" t="s">
        <v>49</v>
      </c>
      <c r="I27" s="82" t="s">
        <v>889</v>
      </c>
      <c r="J27" s="84" t="s">
        <v>104</v>
      </c>
      <c r="K27" s="175" t="s">
        <v>1700</v>
      </c>
      <c r="L27" s="84"/>
      <c r="M27" s="307" t="s">
        <v>49</v>
      </c>
    </row>
    <row r="28" spans="1:13" ht="31.5" hidden="1" customHeight="1" x14ac:dyDescent="0.2">
      <c r="A28" s="81">
        <f t="shared" si="0"/>
        <v>27</v>
      </c>
      <c r="B28" s="81" t="s">
        <v>44</v>
      </c>
      <c r="C28" s="170" t="s">
        <v>102</v>
      </c>
      <c r="D28" s="98" t="s">
        <v>105</v>
      </c>
      <c r="E28" s="98" t="s">
        <v>106</v>
      </c>
      <c r="F28" s="84" t="s">
        <v>48</v>
      </c>
      <c r="G28" s="82">
        <v>1</v>
      </c>
      <c r="H28" s="96" t="s">
        <v>49</v>
      </c>
      <c r="I28" s="82" t="s">
        <v>889</v>
      </c>
      <c r="J28" s="84" t="s">
        <v>106</v>
      </c>
      <c r="K28" s="175" t="s">
        <v>1700</v>
      </c>
      <c r="L28" s="84"/>
      <c r="M28" s="307" t="s">
        <v>49</v>
      </c>
    </row>
    <row r="29" spans="1:13" ht="31.5" hidden="1" customHeight="1" x14ac:dyDescent="0.2">
      <c r="A29" s="81">
        <f t="shared" si="0"/>
        <v>28</v>
      </c>
      <c r="B29" s="81" t="s">
        <v>44</v>
      </c>
      <c r="C29" s="170" t="s">
        <v>102</v>
      </c>
      <c r="D29" s="98" t="s">
        <v>107</v>
      </c>
      <c r="E29" s="124" t="s">
        <v>108</v>
      </c>
      <c r="F29" s="84" t="s">
        <v>48</v>
      </c>
      <c r="G29" s="82">
        <v>1</v>
      </c>
      <c r="H29" s="96" t="s">
        <v>49</v>
      </c>
      <c r="I29" s="82" t="s">
        <v>889</v>
      </c>
      <c r="J29" s="84" t="s">
        <v>108</v>
      </c>
      <c r="K29" s="175" t="s">
        <v>1700</v>
      </c>
      <c r="L29" s="84"/>
      <c r="M29" s="307" t="s">
        <v>49</v>
      </c>
    </row>
    <row r="30" spans="1:13" ht="31.5" hidden="1" customHeight="1" x14ac:dyDescent="0.2">
      <c r="A30" s="81">
        <f t="shared" si="0"/>
        <v>29</v>
      </c>
      <c r="B30" s="81" t="s">
        <v>44</v>
      </c>
      <c r="C30" s="170" t="s">
        <v>109</v>
      </c>
      <c r="D30" s="98" t="s">
        <v>110</v>
      </c>
      <c r="E30" s="98" t="s">
        <v>111</v>
      </c>
      <c r="F30" s="84" t="s">
        <v>48</v>
      </c>
      <c r="G30" s="82">
        <v>1</v>
      </c>
      <c r="H30" s="96" t="s">
        <v>49</v>
      </c>
      <c r="I30" s="82" t="s">
        <v>889</v>
      </c>
      <c r="J30" s="84" t="s">
        <v>111</v>
      </c>
      <c r="K30" s="175" t="s">
        <v>1700</v>
      </c>
      <c r="L30" s="84"/>
      <c r="M30" s="307" t="s">
        <v>49</v>
      </c>
    </row>
    <row r="31" spans="1:13" ht="31.5" hidden="1" customHeight="1" x14ac:dyDescent="0.2">
      <c r="A31" s="81">
        <f t="shared" si="0"/>
        <v>30</v>
      </c>
      <c r="B31" s="81" t="s">
        <v>44</v>
      </c>
      <c r="C31" s="170" t="s">
        <v>109</v>
      </c>
      <c r="D31" s="98" t="s">
        <v>112</v>
      </c>
      <c r="E31" s="98" t="s">
        <v>113</v>
      </c>
      <c r="F31" s="84" t="s">
        <v>48</v>
      </c>
      <c r="G31" s="82">
        <v>1</v>
      </c>
      <c r="H31" s="96" t="s">
        <v>49</v>
      </c>
      <c r="I31" s="82" t="s">
        <v>889</v>
      </c>
      <c r="J31" s="84" t="s">
        <v>113</v>
      </c>
      <c r="K31" s="175" t="s">
        <v>1700</v>
      </c>
      <c r="L31" s="84"/>
      <c r="M31" s="307" t="s">
        <v>49</v>
      </c>
    </row>
    <row r="32" spans="1:13" ht="31.5" hidden="1" customHeight="1" x14ac:dyDescent="0.2">
      <c r="A32" s="81">
        <f t="shared" si="0"/>
        <v>31</v>
      </c>
      <c r="B32" s="81" t="s">
        <v>44</v>
      </c>
      <c r="C32" s="170" t="s">
        <v>109</v>
      </c>
      <c r="D32" s="98" t="s">
        <v>114</v>
      </c>
      <c r="E32" s="98" t="s">
        <v>115</v>
      </c>
      <c r="F32" s="84" t="s">
        <v>48</v>
      </c>
      <c r="G32" s="82">
        <v>1</v>
      </c>
      <c r="H32" s="96" t="s">
        <v>49</v>
      </c>
      <c r="I32" s="82" t="s">
        <v>889</v>
      </c>
      <c r="J32" s="84" t="s">
        <v>115</v>
      </c>
      <c r="K32" s="175" t="s">
        <v>1700</v>
      </c>
      <c r="L32" s="99"/>
      <c r="M32" s="307" t="s">
        <v>49</v>
      </c>
    </row>
    <row r="33" spans="1:13" ht="31.5" hidden="1" customHeight="1" x14ac:dyDescent="0.2">
      <c r="A33" s="81">
        <f t="shared" si="0"/>
        <v>32</v>
      </c>
      <c r="B33" s="81" t="s">
        <v>44</v>
      </c>
      <c r="C33" s="170" t="s">
        <v>109</v>
      </c>
      <c r="D33" s="98" t="s">
        <v>116</v>
      </c>
      <c r="E33" s="98" t="s">
        <v>117</v>
      </c>
      <c r="F33" s="84" t="s">
        <v>48</v>
      </c>
      <c r="G33" s="82">
        <v>1</v>
      </c>
      <c r="H33" s="96" t="s">
        <v>49</v>
      </c>
      <c r="I33" s="82" t="s">
        <v>889</v>
      </c>
      <c r="J33" s="84" t="s">
        <v>117</v>
      </c>
      <c r="K33" s="175" t="s">
        <v>1700</v>
      </c>
      <c r="L33" s="99"/>
      <c r="M33" s="307" t="s">
        <v>49</v>
      </c>
    </row>
    <row r="34" spans="1:13" ht="31.5" hidden="1" customHeight="1" x14ac:dyDescent="0.2">
      <c r="A34" s="81">
        <f t="shared" si="0"/>
        <v>33</v>
      </c>
      <c r="B34" s="81" t="s">
        <v>44</v>
      </c>
      <c r="C34" s="170" t="s">
        <v>109</v>
      </c>
      <c r="D34" s="154" t="s">
        <v>118</v>
      </c>
      <c r="E34" s="124" t="s">
        <v>119</v>
      </c>
      <c r="F34" s="84" t="s">
        <v>48</v>
      </c>
      <c r="G34" s="82">
        <v>1</v>
      </c>
      <c r="H34" s="96" t="s">
        <v>49</v>
      </c>
      <c r="I34" s="82" t="s">
        <v>889</v>
      </c>
      <c r="J34" s="84" t="s">
        <v>119</v>
      </c>
      <c r="K34" s="175" t="s">
        <v>1700</v>
      </c>
      <c r="L34" s="99"/>
      <c r="M34" s="307" t="s">
        <v>49</v>
      </c>
    </row>
    <row r="35" spans="1:13" ht="31.5" hidden="1" customHeight="1" x14ac:dyDescent="0.2">
      <c r="A35" s="81">
        <f t="shared" si="0"/>
        <v>34</v>
      </c>
      <c r="B35" s="81" t="s">
        <v>44</v>
      </c>
      <c r="C35" s="170" t="s">
        <v>120</v>
      </c>
      <c r="D35" s="98" t="s">
        <v>121</v>
      </c>
      <c r="E35" s="98" t="s">
        <v>122</v>
      </c>
      <c r="F35" s="84" t="s">
        <v>48</v>
      </c>
      <c r="G35" s="82">
        <v>1</v>
      </c>
      <c r="H35" s="96" t="s">
        <v>49</v>
      </c>
      <c r="I35" s="82" t="s">
        <v>889</v>
      </c>
      <c r="J35" s="84" t="s">
        <v>122</v>
      </c>
      <c r="K35" s="175" t="s">
        <v>1700</v>
      </c>
      <c r="L35" s="99"/>
      <c r="M35" s="307" t="s">
        <v>49</v>
      </c>
    </row>
    <row r="36" spans="1:13" ht="31.5" hidden="1" customHeight="1" x14ac:dyDescent="0.2">
      <c r="A36" s="81">
        <f t="shared" si="0"/>
        <v>35</v>
      </c>
      <c r="B36" s="81" t="s">
        <v>44</v>
      </c>
      <c r="C36" s="170" t="s">
        <v>123</v>
      </c>
      <c r="D36" s="98" t="s">
        <v>124</v>
      </c>
      <c r="E36" s="98" t="s">
        <v>125</v>
      </c>
      <c r="F36" s="84" t="s">
        <v>48</v>
      </c>
      <c r="G36" s="82">
        <v>1</v>
      </c>
      <c r="H36" s="96" t="s">
        <v>49</v>
      </c>
      <c r="I36" s="82" t="s">
        <v>889</v>
      </c>
      <c r="J36" s="84" t="s">
        <v>125</v>
      </c>
      <c r="K36" s="175" t="s">
        <v>1700</v>
      </c>
      <c r="L36" s="99"/>
      <c r="M36" s="307" t="s">
        <v>49</v>
      </c>
    </row>
    <row r="37" spans="1:13" ht="31.5" hidden="1" customHeight="1" x14ac:dyDescent="0.2">
      <c r="A37" s="81">
        <f t="shared" si="0"/>
        <v>36</v>
      </c>
      <c r="B37" s="81" t="s">
        <v>64</v>
      </c>
      <c r="C37" s="170" t="s">
        <v>126</v>
      </c>
      <c r="D37" s="98" t="s">
        <v>127</v>
      </c>
      <c r="E37" s="98" t="s">
        <v>127</v>
      </c>
      <c r="F37" s="84" t="s">
        <v>60</v>
      </c>
      <c r="G37" s="82">
        <v>1</v>
      </c>
      <c r="H37" s="96" t="s">
        <v>49</v>
      </c>
      <c r="I37" s="82" t="s">
        <v>890</v>
      </c>
      <c r="J37" s="84" t="s">
        <v>127</v>
      </c>
      <c r="K37" s="84"/>
      <c r="L37" s="84"/>
      <c r="M37" s="307" t="s">
        <v>49</v>
      </c>
    </row>
    <row r="38" spans="1:13" ht="31.5" hidden="1" customHeight="1" x14ac:dyDescent="0.2">
      <c r="A38" s="81">
        <f t="shared" si="0"/>
        <v>37</v>
      </c>
      <c r="B38" s="81" t="s">
        <v>64</v>
      </c>
      <c r="C38" s="170" t="s">
        <v>126</v>
      </c>
      <c r="D38" s="98" t="s">
        <v>128</v>
      </c>
      <c r="E38" s="98" t="s">
        <v>128</v>
      </c>
      <c r="F38" s="84" t="s">
        <v>60</v>
      </c>
      <c r="G38" s="82">
        <v>1</v>
      </c>
      <c r="H38" s="96" t="s">
        <v>49</v>
      </c>
      <c r="I38" s="82" t="s">
        <v>890</v>
      </c>
      <c r="J38" s="84" t="s">
        <v>128</v>
      </c>
      <c r="K38" s="84"/>
      <c r="L38" s="84"/>
      <c r="M38" s="307" t="s">
        <v>49</v>
      </c>
    </row>
    <row r="39" spans="1:13" ht="31.5" hidden="1" customHeight="1" x14ac:dyDescent="0.2">
      <c r="A39" s="81">
        <f t="shared" si="0"/>
        <v>38</v>
      </c>
      <c r="B39" s="81" t="s">
        <v>64</v>
      </c>
      <c r="C39" s="170" t="s">
        <v>129</v>
      </c>
      <c r="D39" s="98" t="s">
        <v>130</v>
      </c>
      <c r="E39" s="98" t="s">
        <v>130</v>
      </c>
      <c r="F39" s="84" t="s">
        <v>60</v>
      </c>
      <c r="G39" s="82">
        <v>1</v>
      </c>
      <c r="H39" s="96" t="s">
        <v>49</v>
      </c>
      <c r="I39" s="82" t="s">
        <v>890</v>
      </c>
      <c r="J39" s="84" t="s">
        <v>130</v>
      </c>
      <c r="K39" s="84"/>
      <c r="L39" s="84"/>
      <c r="M39" s="307" t="s">
        <v>49</v>
      </c>
    </row>
    <row r="40" spans="1:13" ht="31.5" hidden="1" customHeight="1" x14ac:dyDescent="0.2">
      <c r="A40" s="81">
        <f t="shared" si="0"/>
        <v>39</v>
      </c>
      <c r="B40" s="81" t="s">
        <v>64</v>
      </c>
      <c r="C40" s="170" t="s">
        <v>129</v>
      </c>
      <c r="D40" s="98" t="s">
        <v>131</v>
      </c>
      <c r="E40" s="98" t="s">
        <v>131</v>
      </c>
      <c r="F40" s="84" t="s">
        <v>60</v>
      </c>
      <c r="G40" s="82">
        <v>1</v>
      </c>
      <c r="H40" s="96" t="s">
        <v>49</v>
      </c>
      <c r="I40" s="82" t="s">
        <v>890</v>
      </c>
      <c r="J40" s="84" t="s">
        <v>131</v>
      </c>
      <c r="K40" s="84"/>
      <c r="L40" s="84"/>
      <c r="M40" s="307" t="s">
        <v>49</v>
      </c>
    </row>
    <row r="41" spans="1:13" ht="31.5" hidden="1" customHeight="1" x14ac:dyDescent="0.2">
      <c r="A41" s="81">
        <f t="shared" si="0"/>
        <v>40</v>
      </c>
      <c r="B41" s="81" t="s">
        <v>64</v>
      </c>
      <c r="C41" s="170" t="s">
        <v>129</v>
      </c>
      <c r="D41" s="98" t="s">
        <v>132</v>
      </c>
      <c r="E41" s="98" t="s">
        <v>132</v>
      </c>
      <c r="F41" s="84" t="s">
        <v>60</v>
      </c>
      <c r="G41" s="82">
        <v>1</v>
      </c>
      <c r="H41" s="96" t="s">
        <v>49</v>
      </c>
      <c r="I41" s="82" t="s">
        <v>890</v>
      </c>
      <c r="J41" s="84" t="s">
        <v>132</v>
      </c>
      <c r="K41" s="84"/>
      <c r="L41" s="84"/>
      <c r="M41" s="307" t="s">
        <v>49</v>
      </c>
    </row>
    <row r="42" spans="1:13" ht="31.5" hidden="1" customHeight="1" x14ac:dyDescent="0.2">
      <c r="A42" s="81">
        <f t="shared" si="0"/>
        <v>41</v>
      </c>
      <c r="B42" s="81" t="s">
        <v>64</v>
      </c>
      <c r="C42" s="170" t="s">
        <v>129</v>
      </c>
      <c r="D42" s="98" t="s">
        <v>133</v>
      </c>
      <c r="E42" s="98" t="s">
        <v>133</v>
      </c>
      <c r="F42" s="84" t="s">
        <v>60</v>
      </c>
      <c r="G42" s="82">
        <v>1</v>
      </c>
      <c r="H42" s="96" t="s">
        <v>49</v>
      </c>
      <c r="I42" s="82" t="s">
        <v>890</v>
      </c>
      <c r="J42" s="84" t="s">
        <v>133</v>
      </c>
      <c r="K42" s="84"/>
      <c r="L42" s="84"/>
      <c r="M42" s="307" t="s">
        <v>49</v>
      </c>
    </row>
    <row r="43" spans="1:13" ht="31.5" hidden="1" customHeight="1" x14ac:dyDescent="0.2">
      <c r="A43" s="81">
        <f t="shared" si="0"/>
        <v>42</v>
      </c>
      <c r="B43" s="81" t="s">
        <v>64</v>
      </c>
      <c r="C43" s="170" t="s">
        <v>134</v>
      </c>
      <c r="D43" s="98" t="s">
        <v>135</v>
      </c>
      <c r="E43" s="98" t="s">
        <v>135</v>
      </c>
      <c r="F43" s="84" t="s">
        <v>60</v>
      </c>
      <c r="G43" s="82">
        <v>1</v>
      </c>
      <c r="H43" s="96" t="s">
        <v>49</v>
      </c>
      <c r="I43" s="82" t="s">
        <v>890</v>
      </c>
      <c r="J43" s="84" t="s">
        <v>135</v>
      </c>
      <c r="K43" s="84"/>
      <c r="L43" s="84"/>
      <c r="M43" s="307" t="s">
        <v>49</v>
      </c>
    </row>
    <row r="44" spans="1:13" ht="31.5" hidden="1" customHeight="1" x14ac:dyDescent="0.2">
      <c r="A44" s="81">
        <f t="shared" si="0"/>
        <v>43</v>
      </c>
      <c r="B44" s="81" t="s">
        <v>64</v>
      </c>
      <c r="C44" s="170" t="s">
        <v>134</v>
      </c>
      <c r="D44" s="98" t="s">
        <v>136</v>
      </c>
      <c r="E44" s="98" t="s">
        <v>136</v>
      </c>
      <c r="F44" s="84" t="s">
        <v>60</v>
      </c>
      <c r="G44" s="82">
        <v>1</v>
      </c>
      <c r="H44" s="96" t="s">
        <v>49</v>
      </c>
      <c r="I44" s="82" t="s">
        <v>890</v>
      </c>
      <c r="J44" s="84" t="s">
        <v>136</v>
      </c>
      <c r="K44" s="84"/>
      <c r="L44" s="84"/>
      <c r="M44" s="307" t="s">
        <v>49</v>
      </c>
    </row>
    <row r="45" spans="1:13" ht="31.5" hidden="1" customHeight="1" x14ac:dyDescent="0.2">
      <c r="A45" s="81">
        <f t="shared" si="0"/>
        <v>44</v>
      </c>
      <c r="B45" s="81" t="s">
        <v>64</v>
      </c>
      <c r="C45" s="170" t="s">
        <v>134</v>
      </c>
      <c r="D45" s="98" t="s">
        <v>137</v>
      </c>
      <c r="E45" s="98" t="s">
        <v>137</v>
      </c>
      <c r="F45" s="84" t="s">
        <v>60</v>
      </c>
      <c r="G45" s="82">
        <v>1</v>
      </c>
      <c r="H45" s="96" t="s">
        <v>49</v>
      </c>
      <c r="I45" s="82" t="s">
        <v>890</v>
      </c>
      <c r="J45" s="84" t="s">
        <v>137</v>
      </c>
      <c r="K45" s="84"/>
      <c r="L45" s="84"/>
      <c r="M45" s="307" t="s">
        <v>49</v>
      </c>
    </row>
    <row r="46" spans="1:13" ht="31.5" hidden="1" customHeight="1" x14ac:dyDescent="0.2">
      <c r="A46" s="81">
        <f t="shared" si="0"/>
        <v>45</v>
      </c>
      <c r="B46" s="81" t="s">
        <v>64</v>
      </c>
      <c r="C46" s="170" t="s">
        <v>134</v>
      </c>
      <c r="D46" s="98" t="s">
        <v>138</v>
      </c>
      <c r="E46" s="98" t="s">
        <v>138</v>
      </c>
      <c r="F46" s="84" t="s">
        <v>60</v>
      </c>
      <c r="G46" s="82">
        <v>1</v>
      </c>
      <c r="H46" s="96" t="s">
        <v>49</v>
      </c>
      <c r="I46" s="82" t="s">
        <v>890</v>
      </c>
      <c r="J46" s="84" t="s">
        <v>138</v>
      </c>
      <c r="K46" s="84"/>
      <c r="L46" s="84"/>
      <c r="M46" s="307" t="s">
        <v>49</v>
      </c>
    </row>
    <row r="47" spans="1:13" ht="31.5" hidden="1" customHeight="1" x14ac:dyDescent="0.2">
      <c r="A47" s="81">
        <f t="shared" si="0"/>
        <v>46</v>
      </c>
      <c r="B47" s="81" t="s">
        <v>64</v>
      </c>
      <c r="C47" s="170" t="s">
        <v>134</v>
      </c>
      <c r="D47" s="98" t="s">
        <v>139</v>
      </c>
      <c r="E47" s="98" t="s">
        <v>139</v>
      </c>
      <c r="F47" s="84" t="s">
        <v>60</v>
      </c>
      <c r="G47" s="82">
        <v>1</v>
      </c>
      <c r="H47" s="96" t="s">
        <v>49</v>
      </c>
      <c r="I47" s="82" t="s">
        <v>890</v>
      </c>
      <c r="J47" s="84" t="s">
        <v>139</v>
      </c>
      <c r="K47" s="84"/>
      <c r="L47" s="84"/>
      <c r="M47" s="307" t="s">
        <v>49</v>
      </c>
    </row>
    <row r="48" spans="1:13" ht="31.5" hidden="1" customHeight="1" x14ac:dyDescent="0.2">
      <c r="A48" s="81">
        <f t="shared" si="0"/>
        <v>47</v>
      </c>
      <c r="B48" s="81" t="s">
        <v>64</v>
      </c>
      <c r="C48" s="170" t="s">
        <v>134</v>
      </c>
      <c r="D48" s="98" t="s">
        <v>140</v>
      </c>
      <c r="E48" s="98" t="s">
        <v>140</v>
      </c>
      <c r="F48" s="84" t="s">
        <v>60</v>
      </c>
      <c r="G48" s="82">
        <v>1</v>
      </c>
      <c r="H48" s="96" t="s">
        <v>49</v>
      </c>
      <c r="I48" s="82" t="s">
        <v>890</v>
      </c>
      <c r="J48" s="84" t="s">
        <v>140</v>
      </c>
      <c r="K48" s="84"/>
      <c r="L48" s="84"/>
      <c r="M48" s="307" t="s">
        <v>49</v>
      </c>
    </row>
    <row r="49" spans="1:13" ht="31.5" hidden="1" customHeight="1" x14ac:dyDescent="0.2">
      <c r="A49" s="81">
        <f t="shared" si="0"/>
        <v>48</v>
      </c>
      <c r="B49" s="81" t="s">
        <v>64</v>
      </c>
      <c r="C49" s="170" t="s">
        <v>134</v>
      </c>
      <c r="D49" s="98" t="s">
        <v>141</v>
      </c>
      <c r="E49" s="98" t="s">
        <v>141</v>
      </c>
      <c r="F49" s="84" t="s">
        <v>60</v>
      </c>
      <c r="G49" s="82">
        <v>1</v>
      </c>
      <c r="H49" s="96" t="s">
        <v>49</v>
      </c>
      <c r="I49" s="82" t="s">
        <v>890</v>
      </c>
      <c r="J49" s="84" t="s">
        <v>141</v>
      </c>
      <c r="K49" s="84"/>
      <c r="L49" s="84"/>
      <c r="M49" s="307" t="s">
        <v>49</v>
      </c>
    </row>
    <row r="50" spans="1:13" ht="31.5" hidden="1" customHeight="1" x14ac:dyDescent="0.2">
      <c r="A50" s="81">
        <f t="shared" si="0"/>
        <v>49</v>
      </c>
      <c r="B50" s="81" t="s">
        <v>64</v>
      </c>
      <c r="C50" s="170" t="s">
        <v>129</v>
      </c>
      <c r="D50" s="98" t="s">
        <v>142</v>
      </c>
      <c r="E50" s="98" t="s">
        <v>142</v>
      </c>
      <c r="F50" s="84" t="s">
        <v>60</v>
      </c>
      <c r="G50" s="82">
        <v>1</v>
      </c>
      <c r="H50" s="96" t="s">
        <v>49</v>
      </c>
      <c r="I50" s="82" t="s">
        <v>890</v>
      </c>
      <c r="J50" s="84" t="s">
        <v>142</v>
      </c>
      <c r="K50" s="84"/>
      <c r="L50" s="84"/>
      <c r="M50" s="307" t="s">
        <v>49</v>
      </c>
    </row>
    <row r="51" spans="1:13" ht="31.5" hidden="1" customHeight="1" x14ac:dyDescent="0.2">
      <c r="A51" s="81">
        <f t="shared" si="0"/>
        <v>50</v>
      </c>
      <c r="B51" s="81" t="s">
        <v>143</v>
      </c>
      <c r="C51" s="170" t="s">
        <v>144</v>
      </c>
      <c r="D51" s="98" t="s">
        <v>145</v>
      </c>
      <c r="E51" s="98" t="s">
        <v>146</v>
      </c>
      <c r="F51" s="84" t="s">
        <v>48</v>
      </c>
      <c r="G51" s="82">
        <v>2</v>
      </c>
      <c r="H51" s="96" t="s">
        <v>49</v>
      </c>
      <c r="I51" s="82" t="s">
        <v>2</v>
      </c>
      <c r="J51" s="84" t="s">
        <v>146</v>
      </c>
      <c r="K51" s="99" t="s">
        <v>147</v>
      </c>
      <c r="L51" s="99"/>
      <c r="M51" s="307" t="s">
        <v>49</v>
      </c>
    </row>
    <row r="52" spans="1:13" ht="31.5" hidden="1" customHeight="1" x14ac:dyDescent="0.2">
      <c r="A52" s="81">
        <f t="shared" si="0"/>
        <v>51</v>
      </c>
      <c r="B52" s="81" t="s">
        <v>143</v>
      </c>
      <c r="C52" s="170" t="s">
        <v>148</v>
      </c>
      <c r="D52" s="98" t="s">
        <v>149</v>
      </c>
      <c r="E52" s="98" t="s">
        <v>150</v>
      </c>
      <c r="F52" s="84" t="s">
        <v>48</v>
      </c>
      <c r="G52" s="82">
        <v>2</v>
      </c>
      <c r="H52" s="96" t="s">
        <v>49</v>
      </c>
      <c r="I52" s="82" t="s">
        <v>2</v>
      </c>
      <c r="J52" s="84" t="s">
        <v>151</v>
      </c>
      <c r="K52" s="99" t="s">
        <v>147</v>
      </c>
      <c r="L52" s="99"/>
      <c r="M52" s="307" t="s">
        <v>49</v>
      </c>
    </row>
    <row r="53" spans="1:13" ht="31.5" hidden="1" customHeight="1" x14ac:dyDescent="0.2">
      <c r="A53" s="81">
        <f t="shared" si="0"/>
        <v>52</v>
      </c>
      <c r="B53" s="81" t="s">
        <v>143</v>
      </c>
      <c r="C53" s="170" t="s">
        <v>148</v>
      </c>
      <c r="D53" s="98" t="s">
        <v>149</v>
      </c>
      <c r="E53" s="98" t="s">
        <v>152</v>
      </c>
      <c r="F53" s="84" t="s">
        <v>48</v>
      </c>
      <c r="G53" s="82">
        <v>2</v>
      </c>
      <c r="H53" s="96" t="s">
        <v>49</v>
      </c>
      <c r="I53" s="82" t="s">
        <v>2</v>
      </c>
      <c r="J53" s="84" t="s">
        <v>151</v>
      </c>
      <c r="K53" s="99" t="s">
        <v>147</v>
      </c>
      <c r="L53" s="99"/>
      <c r="M53" s="307" t="s">
        <v>49</v>
      </c>
    </row>
    <row r="54" spans="1:13" ht="31.5" hidden="1" customHeight="1" x14ac:dyDescent="0.2">
      <c r="A54" s="81">
        <f t="shared" si="0"/>
        <v>53</v>
      </c>
      <c r="B54" s="81" t="s">
        <v>143</v>
      </c>
      <c r="C54" s="170" t="s">
        <v>153</v>
      </c>
      <c r="D54" s="98" t="s">
        <v>149</v>
      </c>
      <c r="E54" s="98" t="s">
        <v>154</v>
      </c>
      <c r="F54" s="84" t="s">
        <v>48</v>
      </c>
      <c r="G54" s="82">
        <v>2</v>
      </c>
      <c r="H54" s="96" t="s">
        <v>49</v>
      </c>
      <c r="I54" s="82" t="s">
        <v>2</v>
      </c>
      <c r="J54" s="84" t="s">
        <v>151</v>
      </c>
      <c r="K54" s="99" t="s">
        <v>147</v>
      </c>
      <c r="L54" s="99"/>
      <c r="M54" s="307" t="s">
        <v>49</v>
      </c>
    </row>
    <row r="55" spans="1:13" ht="31.5" hidden="1" customHeight="1" x14ac:dyDescent="0.2">
      <c r="A55" s="81">
        <f t="shared" si="0"/>
        <v>54</v>
      </c>
      <c r="B55" s="81" t="s">
        <v>143</v>
      </c>
      <c r="C55" s="170" t="s">
        <v>155</v>
      </c>
      <c r="D55" s="100" t="s">
        <v>156</v>
      </c>
      <c r="E55" s="98" t="s">
        <v>156</v>
      </c>
      <c r="F55" s="84" t="s">
        <v>48</v>
      </c>
      <c r="G55" s="82">
        <v>2</v>
      </c>
      <c r="H55" s="96" t="s">
        <v>49</v>
      </c>
      <c r="I55" s="82" t="s">
        <v>2</v>
      </c>
      <c r="J55" s="84" t="s">
        <v>157</v>
      </c>
      <c r="K55" s="99" t="s">
        <v>147</v>
      </c>
      <c r="L55" s="99"/>
      <c r="M55" s="307" t="s">
        <v>49</v>
      </c>
    </row>
    <row r="56" spans="1:13" ht="31.5" hidden="1" customHeight="1" x14ac:dyDescent="0.2">
      <c r="A56" s="81">
        <f t="shared" si="0"/>
        <v>55</v>
      </c>
      <c r="B56" s="81" t="s">
        <v>143</v>
      </c>
      <c r="C56" s="170" t="s">
        <v>155</v>
      </c>
      <c r="D56" s="98" t="s">
        <v>156</v>
      </c>
      <c r="E56" s="98" t="s">
        <v>158</v>
      </c>
      <c r="F56" s="84" t="s">
        <v>48</v>
      </c>
      <c r="G56" s="82">
        <v>2</v>
      </c>
      <c r="H56" s="96" t="s">
        <v>49</v>
      </c>
      <c r="I56" s="82" t="s">
        <v>2</v>
      </c>
      <c r="J56" s="84" t="s">
        <v>157</v>
      </c>
      <c r="K56" s="99" t="s">
        <v>147</v>
      </c>
      <c r="L56" s="99"/>
      <c r="M56" s="307" t="s">
        <v>49</v>
      </c>
    </row>
    <row r="57" spans="1:13" ht="31.5" hidden="1" customHeight="1" x14ac:dyDescent="0.2">
      <c r="A57" s="81">
        <f t="shared" si="0"/>
        <v>56</v>
      </c>
      <c r="B57" s="81" t="s">
        <v>64</v>
      </c>
      <c r="C57" s="170" t="s">
        <v>159</v>
      </c>
      <c r="D57" s="98" t="s">
        <v>160</v>
      </c>
      <c r="E57" s="98" t="s">
        <v>161</v>
      </c>
      <c r="F57" s="84" t="s">
        <v>48</v>
      </c>
      <c r="G57" s="82">
        <v>2</v>
      </c>
      <c r="H57" s="96" t="s">
        <v>49</v>
      </c>
      <c r="I57" s="82" t="s">
        <v>2</v>
      </c>
      <c r="J57" s="84" t="s">
        <v>161</v>
      </c>
      <c r="K57" s="99" t="s">
        <v>71</v>
      </c>
      <c r="L57" s="99"/>
      <c r="M57" s="307" t="s">
        <v>49</v>
      </c>
    </row>
    <row r="58" spans="1:13" ht="31.5" hidden="1" customHeight="1" x14ac:dyDescent="0.2">
      <c r="A58" s="81">
        <f t="shared" si="0"/>
        <v>57</v>
      </c>
      <c r="B58" s="81" t="s">
        <v>64</v>
      </c>
      <c r="C58" s="170" t="s">
        <v>162</v>
      </c>
      <c r="D58" s="98" t="s">
        <v>163</v>
      </c>
      <c r="E58" s="98" t="s">
        <v>164</v>
      </c>
      <c r="F58" s="84" t="s">
        <v>48</v>
      </c>
      <c r="G58" s="82">
        <v>2</v>
      </c>
      <c r="H58" s="96" t="s">
        <v>49</v>
      </c>
      <c r="I58" s="82" t="s">
        <v>2</v>
      </c>
      <c r="J58" s="84" t="s">
        <v>164</v>
      </c>
      <c r="K58" s="99" t="s">
        <v>71</v>
      </c>
      <c r="L58" s="99"/>
      <c r="M58" s="307" t="s">
        <v>49</v>
      </c>
    </row>
    <row r="59" spans="1:13" ht="31.5" hidden="1" customHeight="1" x14ac:dyDescent="0.2">
      <c r="A59" s="81">
        <f t="shared" si="0"/>
        <v>58</v>
      </c>
      <c r="B59" s="81" t="s">
        <v>143</v>
      </c>
      <c r="C59" s="170" t="s">
        <v>165</v>
      </c>
      <c r="D59" s="169" t="s">
        <v>166</v>
      </c>
      <c r="E59" s="98" t="s">
        <v>167</v>
      </c>
      <c r="F59" s="84" t="s">
        <v>48</v>
      </c>
      <c r="G59" s="82">
        <v>2</v>
      </c>
      <c r="H59" s="96" t="s">
        <v>49</v>
      </c>
      <c r="I59" s="82" t="s">
        <v>2</v>
      </c>
      <c r="J59" s="84" t="s">
        <v>167</v>
      </c>
      <c r="K59" s="99" t="s">
        <v>147</v>
      </c>
      <c r="L59" s="99"/>
      <c r="M59" s="307" t="s">
        <v>49</v>
      </c>
    </row>
    <row r="60" spans="1:13" ht="31.5" hidden="1" customHeight="1" x14ac:dyDescent="0.2">
      <c r="A60" s="81">
        <f t="shared" si="0"/>
        <v>59</v>
      </c>
      <c r="B60" s="81" t="s">
        <v>143</v>
      </c>
      <c r="C60" s="170" t="s">
        <v>165</v>
      </c>
      <c r="D60" s="98" t="s">
        <v>168</v>
      </c>
      <c r="E60" s="98" t="s">
        <v>169</v>
      </c>
      <c r="F60" s="84" t="s">
        <v>48</v>
      </c>
      <c r="G60" s="82">
        <v>2</v>
      </c>
      <c r="H60" s="96" t="s">
        <v>49</v>
      </c>
      <c r="I60" s="82" t="s">
        <v>2</v>
      </c>
      <c r="J60" s="84" t="s">
        <v>170</v>
      </c>
      <c r="K60" s="99" t="s">
        <v>147</v>
      </c>
      <c r="L60" s="99"/>
      <c r="M60" s="307" t="s">
        <v>49</v>
      </c>
    </row>
    <row r="61" spans="1:13" ht="31.5" hidden="1" customHeight="1" x14ac:dyDescent="0.2">
      <c r="A61" s="81">
        <f t="shared" si="0"/>
        <v>60</v>
      </c>
      <c r="B61" s="81" t="s">
        <v>143</v>
      </c>
      <c r="C61" s="170" t="s">
        <v>165</v>
      </c>
      <c r="D61" s="98" t="s">
        <v>168</v>
      </c>
      <c r="E61" s="98" t="s">
        <v>171</v>
      </c>
      <c r="F61" s="84" t="s">
        <v>48</v>
      </c>
      <c r="G61" s="82">
        <v>2</v>
      </c>
      <c r="H61" s="96" t="s">
        <v>49</v>
      </c>
      <c r="I61" s="82" t="s">
        <v>2</v>
      </c>
      <c r="J61" s="84" t="s">
        <v>170</v>
      </c>
      <c r="K61" s="99" t="s">
        <v>147</v>
      </c>
      <c r="L61" s="99"/>
      <c r="M61" s="307" t="s">
        <v>49</v>
      </c>
    </row>
    <row r="62" spans="1:13" ht="31.5" hidden="1" customHeight="1" x14ac:dyDescent="0.2">
      <c r="A62" s="81">
        <f t="shared" si="0"/>
        <v>61</v>
      </c>
      <c r="B62" s="81" t="s">
        <v>143</v>
      </c>
      <c r="C62" s="170" t="s">
        <v>172</v>
      </c>
      <c r="D62" s="98" t="s">
        <v>173</v>
      </c>
      <c r="E62" s="305" t="s">
        <v>174</v>
      </c>
      <c r="F62" s="84" t="s">
        <v>48</v>
      </c>
      <c r="G62" s="82">
        <v>2</v>
      </c>
      <c r="H62" s="96" t="s">
        <v>49</v>
      </c>
      <c r="I62" s="82" t="s">
        <v>2</v>
      </c>
      <c r="J62" s="84" t="s">
        <v>175</v>
      </c>
      <c r="K62" s="99" t="s">
        <v>147</v>
      </c>
      <c r="L62" s="99"/>
      <c r="M62" s="307" t="s">
        <v>49</v>
      </c>
    </row>
    <row r="63" spans="1:13" ht="31.5" hidden="1" customHeight="1" x14ac:dyDescent="0.2">
      <c r="A63" s="81">
        <f t="shared" si="0"/>
        <v>62</v>
      </c>
      <c r="B63" s="81" t="s">
        <v>143</v>
      </c>
      <c r="C63" s="170" t="s">
        <v>172</v>
      </c>
      <c r="D63" s="98" t="s">
        <v>173</v>
      </c>
      <c r="E63" s="98" t="s">
        <v>176</v>
      </c>
      <c r="F63" s="84" t="s">
        <v>48</v>
      </c>
      <c r="G63" s="82">
        <v>2</v>
      </c>
      <c r="H63" s="96" t="s">
        <v>49</v>
      </c>
      <c r="I63" s="82" t="s">
        <v>2</v>
      </c>
      <c r="J63" s="84" t="s">
        <v>175</v>
      </c>
      <c r="K63" s="99" t="s">
        <v>147</v>
      </c>
      <c r="L63" s="99"/>
      <c r="M63" s="307" t="s">
        <v>49</v>
      </c>
    </row>
    <row r="64" spans="1:13" ht="31.5" hidden="1" customHeight="1" x14ac:dyDescent="0.2">
      <c r="A64" s="81">
        <f t="shared" si="0"/>
        <v>63</v>
      </c>
      <c r="B64" s="81" t="s">
        <v>143</v>
      </c>
      <c r="C64" s="170" t="s">
        <v>172</v>
      </c>
      <c r="D64" s="98" t="s">
        <v>173</v>
      </c>
      <c r="E64" s="98" t="s">
        <v>177</v>
      </c>
      <c r="F64" s="84" t="s">
        <v>48</v>
      </c>
      <c r="G64" s="82">
        <v>2</v>
      </c>
      <c r="H64" s="96" t="s">
        <v>49</v>
      </c>
      <c r="I64" s="82" t="s">
        <v>2</v>
      </c>
      <c r="J64" s="84" t="s">
        <v>175</v>
      </c>
      <c r="K64" s="99" t="s">
        <v>147</v>
      </c>
      <c r="L64" s="99"/>
      <c r="M64" s="307" t="s">
        <v>49</v>
      </c>
    </row>
    <row r="65" spans="1:13" ht="31.5" hidden="1" customHeight="1" x14ac:dyDescent="0.2">
      <c r="A65" s="81">
        <f t="shared" si="0"/>
        <v>64</v>
      </c>
      <c r="B65" s="81" t="s">
        <v>143</v>
      </c>
      <c r="C65" s="170" t="s">
        <v>172</v>
      </c>
      <c r="D65" s="98" t="s">
        <v>173</v>
      </c>
      <c r="E65" s="98" t="s">
        <v>178</v>
      </c>
      <c r="F65" s="84" t="s">
        <v>48</v>
      </c>
      <c r="G65" s="82">
        <v>2</v>
      </c>
      <c r="H65" s="96" t="s">
        <v>49</v>
      </c>
      <c r="I65" s="82" t="s">
        <v>2</v>
      </c>
      <c r="J65" s="84" t="s">
        <v>175</v>
      </c>
      <c r="K65" s="99" t="s">
        <v>147</v>
      </c>
      <c r="L65" s="99"/>
      <c r="M65" s="307" t="s">
        <v>49</v>
      </c>
    </row>
    <row r="66" spans="1:13" ht="31.5" customHeight="1" x14ac:dyDescent="0.2">
      <c r="A66" s="81">
        <f t="shared" si="0"/>
        <v>65</v>
      </c>
      <c r="B66" s="81" t="s">
        <v>143</v>
      </c>
      <c r="C66" s="170" t="s">
        <v>172</v>
      </c>
      <c r="D66" s="98" t="s">
        <v>173</v>
      </c>
      <c r="E66" s="305" t="s">
        <v>179</v>
      </c>
      <c r="F66" s="84" t="s">
        <v>48</v>
      </c>
      <c r="G66" s="82">
        <v>2</v>
      </c>
      <c r="H66" s="96" t="s">
        <v>61</v>
      </c>
      <c r="I66" s="82" t="s">
        <v>2</v>
      </c>
      <c r="J66" s="84" t="s">
        <v>175</v>
      </c>
      <c r="K66" s="304" t="s">
        <v>2386</v>
      </c>
      <c r="L66" s="99"/>
      <c r="M66" s="307" t="s">
        <v>49</v>
      </c>
    </row>
    <row r="67" spans="1:13" ht="31.5" hidden="1" customHeight="1" x14ac:dyDescent="0.2">
      <c r="A67" s="81">
        <f t="shared" ref="A67:A130" si="1">A66+1</f>
        <v>66</v>
      </c>
      <c r="B67" s="81" t="s">
        <v>143</v>
      </c>
      <c r="C67" s="170" t="s">
        <v>172</v>
      </c>
      <c r="D67" s="98" t="s">
        <v>173</v>
      </c>
      <c r="E67" s="98" t="s">
        <v>180</v>
      </c>
      <c r="F67" s="84" t="s">
        <v>48</v>
      </c>
      <c r="G67" s="82">
        <v>2</v>
      </c>
      <c r="H67" s="96" t="s">
        <v>49</v>
      </c>
      <c r="I67" s="82" t="s">
        <v>2</v>
      </c>
      <c r="J67" s="84" t="s">
        <v>175</v>
      </c>
      <c r="K67" s="99" t="s">
        <v>147</v>
      </c>
      <c r="L67" s="99"/>
      <c r="M67" s="307" t="s">
        <v>49</v>
      </c>
    </row>
    <row r="68" spans="1:13" ht="31.5" hidden="1" customHeight="1" x14ac:dyDescent="0.2">
      <c r="A68" s="81">
        <f t="shared" si="1"/>
        <v>67</v>
      </c>
      <c r="B68" s="81" t="s">
        <v>143</v>
      </c>
      <c r="C68" s="170" t="s">
        <v>172</v>
      </c>
      <c r="D68" s="98" t="s">
        <v>173</v>
      </c>
      <c r="E68" s="98" t="s">
        <v>181</v>
      </c>
      <c r="F68" s="84" t="s">
        <v>48</v>
      </c>
      <c r="G68" s="82">
        <v>2</v>
      </c>
      <c r="H68" s="96" t="s">
        <v>49</v>
      </c>
      <c r="I68" s="82" t="s">
        <v>2</v>
      </c>
      <c r="J68" s="84" t="s">
        <v>175</v>
      </c>
      <c r="K68" s="99" t="s">
        <v>147</v>
      </c>
      <c r="L68" s="99"/>
      <c r="M68" s="307" t="s">
        <v>49</v>
      </c>
    </row>
    <row r="69" spans="1:13" ht="31.5" hidden="1" customHeight="1" x14ac:dyDescent="0.2">
      <c r="A69" s="81">
        <f t="shared" si="1"/>
        <v>68</v>
      </c>
      <c r="B69" s="81" t="s">
        <v>143</v>
      </c>
      <c r="C69" s="170" t="s">
        <v>172</v>
      </c>
      <c r="D69" s="98" t="s">
        <v>173</v>
      </c>
      <c r="E69" s="98" t="s">
        <v>182</v>
      </c>
      <c r="F69" s="84" t="s">
        <v>48</v>
      </c>
      <c r="G69" s="82">
        <v>2</v>
      </c>
      <c r="H69" s="96" t="s">
        <v>49</v>
      </c>
      <c r="I69" s="82" t="s">
        <v>2</v>
      </c>
      <c r="J69" s="84" t="s">
        <v>175</v>
      </c>
      <c r="K69" s="99" t="s">
        <v>147</v>
      </c>
      <c r="L69" s="99"/>
      <c r="M69" s="307" t="s">
        <v>49</v>
      </c>
    </row>
    <row r="70" spans="1:13" ht="31.5" hidden="1" customHeight="1" x14ac:dyDescent="0.2">
      <c r="A70" s="81">
        <f t="shared" si="1"/>
        <v>69</v>
      </c>
      <c r="B70" s="81" t="s">
        <v>143</v>
      </c>
      <c r="C70" s="170" t="s">
        <v>172</v>
      </c>
      <c r="D70" s="98" t="s">
        <v>173</v>
      </c>
      <c r="E70" s="98" t="s">
        <v>183</v>
      </c>
      <c r="F70" s="84" t="s">
        <v>48</v>
      </c>
      <c r="G70" s="82">
        <v>2</v>
      </c>
      <c r="H70" s="96" t="s">
        <v>49</v>
      </c>
      <c r="I70" s="82" t="s">
        <v>2</v>
      </c>
      <c r="J70" s="84" t="s">
        <v>175</v>
      </c>
      <c r="K70" s="99" t="s">
        <v>147</v>
      </c>
      <c r="L70" s="99"/>
      <c r="M70" s="307" t="s">
        <v>49</v>
      </c>
    </row>
    <row r="71" spans="1:13" ht="31.5" hidden="1" customHeight="1" x14ac:dyDescent="0.2">
      <c r="A71" s="81">
        <f t="shared" si="1"/>
        <v>70</v>
      </c>
      <c r="B71" s="81" t="s">
        <v>143</v>
      </c>
      <c r="C71" s="170" t="s">
        <v>172</v>
      </c>
      <c r="D71" s="98" t="s">
        <v>173</v>
      </c>
      <c r="E71" s="98" t="s">
        <v>184</v>
      </c>
      <c r="F71" s="84" t="s">
        <v>48</v>
      </c>
      <c r="G71" s="82">
        <v>2</v>
      </c>
      <c r="H71" s="96" t="s">
        <v>49</v>
      </c>
      <c r="I71" s="82" t="s">
        <v>2</v>
      </c>
      <c r="J71" s="84" t="s">
        <v>175</v>
      </c>
      <c r="K71" s="99" t="s">
        <v>147</v>
      </c>
      <c r="L71" s="99"/>
      <c r="M71" s="307" t="s">
        <v>49</v>
      </c>
    </row>
    <row r="72" spans="1:13" ht="31.5" hidden="1" customHeight="1" x14ac:dyDescent="0.2">
      <c r="A72" s="81">
        <f t="shared" si="1"/>
        <v>71</v>
      </c>
      <c r="B72" s="81" t="s">
        <v>143</v>
      </c>
      <c r="C72" s="170" t="s">
        <v>172</v>
      </c>
      <c r="D72" s="98" t="s">
        <v>173</v>
      </c>
      <c r="E72" s="98" t="s">
        <v>185</v>
      </c>
      <c r="F72" s="84" t="s">
        <v>48</v>
      </c>
      <c r="G72" s="82">
        <v>2</v>
      </c>
      <c r="H72" s="96" t="s">
        <v>49</v>
      </c>
      <c r="I72" s="82" t="s">
        <v>2</v>
      </c>
      <c r="J72" s="84" t="s">
        <v>175</v>
      </c>
      <c r="K72" s="99" t="s">
        <v>147</v>
      </c>
      <c r="L72" s="99"/>
      <c r="M72" s="307" t="s">
        <v>49</v>
      </c>
    </row>
    <row r="73" spans="1:13" ht="31.5" hidden="1" customHeight="1" x14ac:dyDescent="0.2">
      <c r="A73" s="81">
        <f t="shared" si="1"/>
        <v>72</v>
      </c>
      <c r="B73" s="81" t="s">
        <v>143</v>
      </c>
      <c r="C73" s="170" t="s">
        <v>172</v>
      </c>
      <c r="D73" s="98" t="s">
        <v>173</v>
      </c>
      <c r="E73" s="98" t="s">
        <v>186</v>
      </c>
      <c r="F73" s="84" t="s">
        <v>48</v>
      </c>
      <c r="G73" s="82">
        <v>2</v>
      </c>
      <c r="H73" s="96" t="s">
        <v>49</v>
      </c>
      <c r="I73" s="82" t="s">
        <v>2</v>
      </c>
      <c r="J73" s="84" t="s">
        <v>175</v>
      </c>
      <c r="K73" s="99" t="s">
        <v>147</v>
      </c>
      <c r="L73" s="99"/>
      <c r="M73" s="307" t="s">
        <v>49</v>
      </c>
    </row>
    <row r="74" spans="1:13" ht="31.5" hidden="1" customHeight="1" x14ac:dyDescent="0.2">
      <c r="A74" s="81">
        <f t="shared" si="1"/>
        <v>73</v>
      </c>
      <c r="B74" s="81" t="s">
        <v>143</v>
      </c>
      <c r="C74" s="170" t="s">
        <v>187</v>
      </c>
      <c r="D74" s="98" t="s">
        <v>188</v>
      </c>
      <c r="E74" s="98" t="s">
        <v>189</v>
      </c>
      <c r="F74" s="84" t="s">
        <v>48</v>
      </c>
      <c r="G74" s="82">
        <v>2</v>
      </c>
      <c r="H74" s="96" t="s">
        <v>49</v>
      </c>
      <c r="I74" s="82" t="s">
        <v>2</v>
      </c>
      <c r="J74" s="84" t="s">
        <v>190</v>
      </c>
      <c r="K74" s="99" t="s">
        <v>147</v>
      </c>
      <c r="L74" s="99"/>
      <c r="M74" s="307" t="s">
        <v>49</v>
      </c>
    </row>
    <row r="75" spans="1:13" ht="31.5" hidden="1" customHeight="1" x14ac:dyDescent="0.2">
      <c r="A75" s="81">
        <f t="shared" si="1"/>
        <v>74</v>
      </c>
      <c r="B75" s="81" t="s">
        <v>143</v>
      </c>
      <c r="C75" s="170" t="s">
        <v>187</v>
      </c>
      <c r="D75" s="98" t="s">
        <v>188</v>
      </c>
      <c r="E75" s="98" t="s">
        <v>191</v>
      </c>
      <c r="F75" s="84" t="s">
        <v>48</v>
      </c>
      <c r="G75" s="82">
        <v>2</v>
      </c>
      <c r="H75" s="96" t="s">
        <v>49</v>
      </c>
      <c r="I75" s="82" t="s">
        <v>2</v>
      </c>
      <c r="J75" s="84" t="s">
        <v>190</v>
      </c>
      <c r="K75" s="99" t="s">
        <v>147</v>
      </c>
      <c r="L75" s="99"/>
      <c r="M75" s="307" t="s">
        <v>49</v>
      </c>
    </row>
    <row r="76" spans="1:13" ht="31.5" hidden="1" customHeight="1" x14ac:dyDescent="0.2">
      <c r="A76" s="81">
        <f t="shared" si="1"/>
        <v>75</v>
      </c>
      <c r="B76" s="81" t="s">
        <v>143</v>
      </c>
      <c r="C76" s="170" t="s">
        <v>187</v>
      </c>
      <c r="D76" s="98" t="s">
        <v>188</v>
      </c>
      <c r="E76" s="98" t="s">
        <v>192</v>
      </c>
      <c r="F76" s="84" t="s">
        <v>48</v>
      </c>
      <c r="G76" s="82">
        <v>2</v>
      </c>
      <c r="H76" s="96" t="s">
        <v>49</v>
      </c>
      <c r="I76" s="82" t="s">
        <v>2</v>
      </c>
      <c r="J76" s="84" t="s">
        <v>190</v>
      </c>
      <c r="K76" s="99" t="s">
        <v>147</v>
      </c>
      <c r="L76" s="99"/>
      <c r="M76" s="307" t="s">
        <v>49</v>
      </c>
    </row>
    <row r="77" spans="1:13" ht="31.5" hidden="1" customHeight="1" x14ac:dyDescent="0.2">
      <c r="A77" s="81">
        <f t="shared" si="1"/>
        <v>76</v>
      </c>
      <c r="B77" s="81" t="s">
        <v>143</v>
      </c>
      <c r="C77" s="170" t="s">
        <v>187</v>
      </c>
      <c r="D77" s="98" t="s">
        <v>188</v>
      </c>
      <c r="E77" s="98" t="s">
        <v>193</v>
      </c>
      <c r="F77" s="84" t="s">
        <v>48</v>
      </c>
      <c r="G77" s="82">
        <v>2</v>
      </c>
      <c r="H77" s="96" t="s">
        <v>49</v>
      </c>
      <c r="I77" s="82" t="s">
        <v>2</v>
      </c>
      <c r="J77" s="84" t="s">
        <v>190</v>
      </c>
      <c r="K77" s="99" t="s">
        <v>147</v>
      </c>
      <c r="L77" s="99"/>
      <c r="M77" s="307" t="s">
        <v>49</v>
      </c>
    </row>
    <row r="78" spans="1:13" ht="31.5" hidden="1" customHeight="1" x14ac:dyDescent="0.2">
      <c r="A78" s="81">
        <f t="shared" si="1"/>
        <v>77</v>
      </c>
      <c r="B78" s="81" t="s">
        <v>143</v>
      </c>
      <c r="C78" s="170" t="s">
        <v>187</v>
      </c>
      <c r="D78" s="98" t="s">
        <v>188</v>
      </c>
      <c r="E78" s="98" t="s">
        <v>194</v>
      </c>
      <c r="F78" s="84" t="s">
        <v>48</v>
      </c>
      <c r="G78" s="82">
        <v>2</v>
      </c>
      <c r="H78" s="96" t="s">
        <v>49</v>
      </c>
      <c r="I78" s="82" t="s">
        <v>2</v>
      </c>
      <c r="J78" s="84" t="s">
        <v>190</v>
      </c>
      <c r="K78" s="99" t="s">
        <v>147</v>
      </c>
      <c r="L78" s="99"/>
      <c r="M78" s="307" t="s">
        <v>49</v>
      </c>
    </row>
    <row r="79" spans="1:13" ht="31.5" hidden="1" customHeight="1" x14ac:dyDescent="0.2">
      <c r="A79" s="81">
        <f t="shared" si="1"/>
        <v>78</v>
      </c>
      <c r="B79" s="81" t="s">
        <v>143</v>
      </c>
      <c r="C79" s="170" t="s">
        <v>187</v>
      </c>
      <c r="D79" s="98" t="s">
        <v>188</v>
      </c>
      <c r="E79" s="98" t="s">
        <v>195</v>
      </c>
      <c r="F79" s="84" t="s">
        <v>48</v>
      </c>
      <c r="G79" s="82">
        <v>2</v>
      </c>
      <c r="H79" s="96" t="s">
        <v>49</v>
      </c>
      <c r="I79" s="82" t="s">
        <v>2</v>
      </c>
      <c r="J79" s="84" t="s">
        <v>190</v>
      </c>
      <c r="K79" s="99" t="s">
        <v>147</v>
      </c>
      <c r="L79" s="99"/>
      <c r="M79" s="307" t="s">
        <v>49</v>
      </c>
    </row>
    <row r="80" spans="1:13" ht="31.5" hidden="1" customHeight="1" x14ac:dyDescent="0.2">
      <c r="A80" s="81">
        <f t="shared" si="1"/>
        <v>79</v>
      </c>
      <c r="B80" s="81" t="s">
        <v>143</v>
      </c>
      <c r="C80" s="170" t="s">
        <v>187</v>
      </c>
      <c r="D80" s="98" t="s">
        <v>188</v>
      </c>
      <c r="E80" s="98" t="s">
        <v>196</v>
      </c>
      <c r="F80" s="84" t="s">
        <v>48</v>
      </c>
      <c r="G80" s="82">
        <v>2</v>
      </c>
      <c r="H80" s="96" t="s">
        <v>49</v>
      </c>
      <c r="I80" s="82" t="s">
        <v>2</v>
      </c>
      <c r="J80" s="84" t="s">
        <v>190</v>
      </c>
      <c r="K80" s="99" t="s">
        <v>147</v>
      </c>
      <c r="L80" s="99"/>
      <c r="M80" s="307" t="s">
        <v>49</v>
      </c>
    </row>
    <row r="81" spans="1:13" ht="31.5" hidden="1" customHeight="1" x14ac:dyDescent="0.2">
      <c r="A81" s="81">
        <f t="shared" si="1"/>
        <v>80</v>
      </c>
      <c r="B81" s="81" t="s">
        <v>143</v>
      </c>
      <c r="C81" s="170" t="s">
        <v>187</v>
      </c>
      <c r="D81" s="98" t="s">
        <v>188</v>
      </c>
      <c r="E81" s="98" t="s">
        <v>197</v>
      </c>
      <c r="F81" s="84" t="s">
        <v>48</v>
      </c>
      <c r="G81" s="82">
        <v>2</v>
      </c>
      <c r="H81" s="96" t="s">
        <v>49</v>
      </c>
      <c r="I81" s="82" t="s">
        <v>2</v>
      </c>
      <c r="J81" s="84" t="s">
        <v>190</v>
      </c>
      <c r="K81" s="99" t="s">
        <v>147</v>
      </c>
      <c r="L81" s="99"/>
      <c r="M81" s="307" t="s">
        <v>49</v>
      </c>
    </row>
    <row r="82" spans="1:13" ht="31.5" hidden="1" customHeight="1" x14ac:dyDescent="0.2">
      <c r="A82" s="81">
        <f t="shared" si="1"/>
        <v>81</v>
      </c>
      <c r="B82" s="81" t="s">
        <v>143</v>
      </c>
      <c r="C82" s="170" t="s">
        <v>187</v>
      </c>
      <c r="D82" s="98" t="s">
        <v>188</v>
      </c>
      <c r="E82" s="98" t="s">
        <v>198</v>
      </c>
      <c r="F82" s="84" t="s">
        <v>48</v>
      </c>
      <c r="G82" s="82">
        <v>2</v>
      </c>
      <c r="H82" s="96" t="s">
        <v>49</v>
      </c>
      <c r="I82" s="82" t="s">
        <v>2</v>
      </c>
      <c r="J82" s="84" t="s">
        <v>190</v>
      </c>
      <c r="K82" s="99" t="s">
        <v>147</v>
      </c>
      <c r="L82" s="99"/>
      <c r="M82" s="307" t="s">
        <v>49</v>
      </c>
    </row>
    <row r="83" spans="1:13" ht="31.5" hidden="1" customHeight="1" x14ac:dyDescent="0.2">
      <c r="A83" s="81">
        <f t="shared" si="1"/>
        <v>82</v>
      </c>
      <c r="B83" s="81" t="s">
        <v>143</v>
      </c>
      <c r="C83" s="170" t="s">
        <v>187</v>
      </c>
      <c r="D83" s="98" t="s">
        <v>188</v>
      </c>
      <c r="E83" s="98" t="s">
        <v>199</v>
      </c>
      <c r="F83" s="84" t="s">
        <v>48</v>
      </c>
      <c r="G83" s="82">
        <v>2</v>
      </c>
      <c r="H83" s="96" t="s">
        <v>49</v>
      </c>
      <c r="I83" s="82" t="s">
        <v>2</v>
      </c>
      <c r="J83" s="84" t="s">
        <v>190</v>
      </c>
      <c r="K83" s="99" t="s">
        <v>147</v>
      </c>
      <c r="L83" s="99"/>
      <c r="M83" s="307" t="s">
        <v>49</v>
      </c>
    </row>
    <row r="84" spans="1:13" ht="31.5" hidden="1" customHeight="1" x14ac:dyDescent="0.2">
      <c r="A84" s="81">
        <f t="shared" si="1"/>
        <v>83</v>
      </c>
      <c r="B84" s="81" t="s">
        <v>143</v>
      </c>
      <c r="C84" s="170" t="s">
        <v>187</v>
      </c>
      <c r="D84" s="98" t="s">
        <v>188</v>
      </c>
      <c r="E84" s="98" t="s">
        <v>200</v>
      </c>
      <c r="F84" s="84" t="s">
        <v>48</v>
      </c>
      <c r="G84" s="82">
        <v>2</v>
      </c>
      <c r="H84" s="96" t="s">
        <v>49</v>
      </c>
      <c r="I84" s="82" t="s">
        <v>2</v>
      </c>
      <c r="J84" s="84" t="s">
        <v>190</v>
      </c>
      <c r="K84" s="99" t="s">
        <v>147</v>
      </c>
      <c r="L84" s="99"/>
      <c r="M84" s="307" t="s">
        <v>49</v>
      </c>
    </row>
    <row r="85" spans="1:13" ht="31.5" hidden="1" customHeight="1" x14ac:dyDescent="0.2">
      <c r="A85" s="81">
        <f t="shared" si="1"/>
        <v>84</v>
      </c>
      <c r="B85" s="81" t="s">
        <v>143</v>
      </c>
      <c r="C85" s="170" t="s">
        <v>153</v>
      </c>
      <c r="D85" s="98" t="s">
        <v>188</v>
      </c>
      <c r="E85" s="98" t="s">
        <v>201</v>
      </c>
      <c r="F85" s="84" t="s">
        <v>48</v>
      </c>
      <c r="G85" s="82">
        <v>2</v>
      </c>
      <c r="H85" s="96" t="s">
        <v>49</v>
      </c>
      <c r="I85" s="82" t="s">
        <v>2</v>
      </c>
      <c r="J85" s="84" t="s">
        <v>190</v>
      </c>
      <c r="K85" s="99" t="s">
        <v>147</v>
      </c>
      <c r="L85" s="99"/>
      <c r="M85" s="307" t="s">
        <v>49</v>
      </c>
    </row>
    <row r="86" spans="1:13" ht="31.5" hidden="1" customHeight="1" x14ac:dyDescent="0.2">
      <c r="A86" s="81">
        <f t="shared" si="1"/>
        <v>85</v>
      </c>
      <c r="B86" s="81" t="s">
        <v>143</v>
      </c>
      <c r="C86" s="177" t="s">
        <v>202</v>
      </c>
      <c r="D86" s="178" t="s">
        <v>203</v>
      </c>
      <c r="E86" s="98" t="s">
        <v>204</v>
      </c>
      <c r="F86" s="84" t="s">
        <v>48</v>
      </c>
      <c r="G86" s="82">
        <v>2</v>
      </c>
      <c r="H86" s="96" t="s">
        <v>49</v>
      </c>
      <c r="I86" s="82" t="s">
        <v>889</v>
      </c>
      <c r="J86" s="84" t="s">
        <v>205</v>
      </c>
      <c r="K86" s="99" t="s">
        <v>147</v>
      </c>
      <c r="L86" s="179" t="s">
        <v>1709</v>
      </c>
      <c r="M86" s="307" t="s">
        <v>49</v>
      </c>
    </row>
    <row r="87" spans="1:13" ht="31.5" hidden="1" customHeight="1" x14ac:dyDescent="0.2">
      <c r="A87" s="81">
        <f t="shared" si="1"/>
        <v>86</v>
      </c>
      <c r="B87" s="81" t="s">
        <v>143</v>
      </c>
      <c r="C87" s="177" t="s">
        <v>202</v>
      </c>
      <c r="D87" s="168" t="s">
        <v>203</v>
      </c>
      <c r="E87" s="98" t="s">
        <v>206</v>
      </c>
      <c r="F87" s="84" t="s">
        <v>48</v>
      </c>
      <c r="G87" s="82">
        <v>2</v>
      </c>
      <c r="H87" s="96" t="s">
        <v>49</v>
      </c>
      <c r="I87" s="82" t="s">
        <v>889</v>
      </c>
      <c r="J87" s="84" t="s">
        <v>205</v>
      </c>
      <c r="K87" s="99" t="s">
        <v>147</v>
      </c>
      <c r="L87" s="179" t="s">
        <v>1709</v>
      </c>
      <c r="M87" s="307" t="s">
        <v>49</v>
      </c>
    </row>
    <row r="88" spans="1:13" ht="31.5" hidden="1" customHeight="1" x14ac:dyDescent="0.2">
      <c r="A88" s="81">
        <f t="shared" si="1"/>
        <v>87</v>
      </c>
      <c r="B88" s="81" t="s">
        <v>143</v>
      </c>
      <c r="C88" s="177" t="s">
        <v>144</v>
      </c>
      <c r="D88" s="98" t="s">
        <v>207</v>
      </c>
      <c r="E88" s="98" t="s">
        <v>208</v>
      </c>
      <c r="F88" s="84" t="s">
        <v>48</v>
      </c>
      <c r="G88" s="82">
        <v>2</v>
      </c>
      <c r="H88" s="96" t="s">
        <v>49</v>
      </c>
      <c r="I88" s="82" t="s">
        <v>2</v>
      </c>
      <c r="J88" s="84" t="s">
        <v>209</v>
      </c>
      <c r="K88" s="99" t="s">
        <v>147</v>
      </c>
      <c r="L88" s="99"/>
      <c r="M88" s="307" t="s">
        <v>49</v>
      </c>
    </row>
    <row r="89" spans="1:13" ht="31.5" hidden="1" customHeight="1" x14ac:dyDescent="0.2">
      <c r="A89" s="81">
        <f t="shared" si="1"/>
        <v>88</v>
      </c>
      <c r="B89" s="81" t="s">
        <v>143</v>
      </c>
      <c r="C89" s="177" t="s">
        <v>144</v>
      </c>
      <c r="D89" s="98" t="s">
        <v>207</v>
      </c>
      <c r="E89" s="98" t="s">
        <v>210</v>
      </c>
      <c r="F89" s="84" t="s">
        <v>48</v>
      </c>
      <c r="G89" s="82">
        <v>2</v>
      </c>
      <c r="H89" s="96" t="s">
        <v>49</v>
      </c>
      <c r="I89" s="82" t="s">
        <v>2</v>
      </c>
      <c r="J89" s="84" t="s">
        <v>209</v>
      </c>
      <c r="K89" s="99" t="s">
        <v>147</v>
      </c>
      <c r="L89" s="99"/>
      <c r="M89" s="307" t="s">
        <v>49</v>
      </c>
    </row>
    <row r="90" spans="1:13" ht="31.5" customHeight="1" x14ac:dyDescent="0.2">
      <c r="A90" s="81">
        <f t="shared" si="1"/>
        <v>89</v>
      </c>
      <c r="B90" s="81" t="s">
        <v>143</v>
      </c>
      <c r="C90" s="177" t="s">
        <v>144</v>
      </c>
      <c r="D90" s="98" t="s">
        <v>207</v>
      </c>
      <c r="E90" s="98" t="s">
        <v>211</v>
      </c>
      <c r="F90" s="84" t="s">
        <v>48</v>
      </c>
      <c r="G90" s="82">
        <v>2</v>
      </c>
      <c r="H90" s="96" t="s">
        <v>61</v>
      </c>
      <c r="I90" s="82" t="s">
        <v>2</v>
      </c>
      <c r="J90" s="84" t="s">
        <v>209</v>
      </c>
      <c r="K90" s="304" t="s">
        <v>2386</v>
      </c>
      <c r="L90" s="99"/>
      <c r="M90" s="307" t="s">
        <v>49</v>
      </c>
    </row>
    <row r="91" spans="1:13" ht="31.5" hidden="1" customHeight="1" x14ac:dyDescent="0.2">
      <c r="A91" s="81">
        <f t="shared" si="1"/>
        <v>90</v>
      </c>
      <c r="B91" s="81" t="s">
        <v>143</v>
      </c>
      <c r="C91" s="177" t="s">
        <v>144</v>
      </c>
      <c r="D91" s="98" t="s">
        <v>207</v>
      </c>
      <c r="E91" s="98" t="s">
        <v>212</v>
      </c>
      <c r="F91" s="84" t="s">
        <v>48</v>
      </c>
      <c r="G91" s="82">
        <v>2</v>
      </c>
      <c r="H91" s="96" t="s">
        <v>49</v>
      </c>
      <c r="I91" s="82" t="s">
        <v>2</v>
      </c>
      <c r="J91" s="84" t="s">
        <v>209</v>
      </c>
      <c r="K91" s="99" t="s">
        <v>147</v>
      </c>
      <c r="L91" s="99"/>
      <c r="M91" s="307" t="s">
        <v>49</v>
      </c>
    </row>
    <row r="92" spans="1:13" ht="31.5" hidden="1" customHeight="1" x14ac:dyDescent="0.2">
      <c r="A92" s="81">
        <f t="shared" si="1"/>
        <v>91</v>
      </c>
      <c r="B92" s="81" t="s">
        <v>143</v>
      </c>
      <c r="C92" s="177" t="s">
        <v>144</v>
      </c>
      <c r="D92" s="98" t="s">
        <v>207</v>
      </c>
      <c r="E92" s="98" t="s">
        <v>213</v>
      </c>
      <c r="F92" s="84" t="s">
        <v>48</v>
      </c>
      <c r="G92" s="82">
        <v>2</v>
      </c>
      <c r="H92" s="96" t="s">
        <v>49</v>
      </c>
      <c r="I92" s="82" t="s">
        <v>2</v>
      </c>
      <c r="J92" s="84" t="s">
        <v>209</v>
      </c>
      <c r="K92" s="99" t="s">
        <v>147</v>
      </c>
      <c r="L92" s="99"/>
      <c r="M92" s="307" t="s">
        <v>49</v>
      </c>
    </row>
    <row r="93" spans="1:13" ht="31.5" hidden="1" customHeight="1" x14ac:dyDescent="0.2">
      <c r="A93" s="81">
        <f t="shared" si="1"/>
        <v>92</v>
      </c>
      <c r="B93" s="81" t="s">
        <v>143</v>
      </c>
      <c r="C93" s="177" t="s">
        <v>144</v>
      </c>
      <c r="D93" s="98" t="s">
        <v>207</v>
      </c>
      <c r="E93" s="98" t="s">
        <v>214</v>
      </c>
      <c r="F93" s="84" t="s">
        <v>48</v>
      </c>
      <c r="G93" s="82">
        <v>2</v>
      </c>
      <c r="H93" s="96" t="s">
        <v>49</v>
      </c>
      <c r="I93" s="82" t="s">
        <v>2</v>
      </c>
      <c r="J93" s="84" t="s">
        <v>209</v>
      </c>
      <c r="K93" s="99" t="s">
        <v>147</v>
      </c>
      <c r="L93" s="99"/>
      <c r="M93" s="307" t="s">
        <v>49</v>
      </c>
    </row>
    <row r="94" spans="1:13" ht="31.5" hidden="1" customHeight="1" x14ac:dyDescent="0.2">
      <c r="A94" s="81">
        <f t="shared" si="1"/>
        <v>93</v>
      </c>
      <c r="B94" s="81" t="s">
        <v>143</v>
      </c>
      <c r="C94" s="177" t="s">
        <v>144</v>
      </c>
      <c r="D94" s="98" t="s">
        <v>207</v>
      </c>
      <c r="E94" s="98" t="s">
        <v>215</v>
      </c>
      <c r="F94" s="84" t="s">
        <v>48</v>
      </c>
      <c r="G94" s="82">
        <v>2</v>
      </c>
      <c r="H94" s="96" t="s">
        <v>49</v>
      </c>
      <c r="I94" s="82" t="s">
        <v>2</v>
      </c>
      <c r="J94" s="84" t="s">
        <v>209</v>
      </c>
      <c r="K94" s="99" t="s">
        <v>147</v>
      </c>
      <c r="L94" s="99"/>
      <c r="M94" s="307" t="s">
        <v>49</v>
      </c>
    </row>
    <row r="95" spans="1:13" ht="31.5" hidden="1" customHeight="1" x14ac:dyDescent="0.2">
      <c r="A95" s="81">
        <f t="shared" si="1"/>
        <v>94</v>
      </c>
      <c r="B95" s="81" t="s">
        <v>143</v>
      </c>
      <c r="C95" s="177" t="s">
        <v>144</v>
      </c>
      <c r="D95" s="98" t="s">
        <v>207</v>
      </c>
      <c r="E95" s="98" t="s">
        <v>216</v>
      </c>
      <c r="F95" s="84" t="s">
        <v>48</v>
      </c>
      <c r="G95" s="82">
        <v>2</v>
      </c>
      <c r="H95" s="96" t="s">
        <v>49</v>
      </c>
      <c r="I95" s="82" t="s">
        <v>2</v>
      </c>
      <c r="J95" s="84" t="s">
        <v>209</v>
      </c>
      <c r="K95" s="99" t="s">
        <v>147</v>
      </c>
      <c r="L95" s="99"/>
      <c r="M95" s="307" t="s">
        <v>49</v>
      </c>
    </row>
    <row r="96" spans="1:13" ht="31.5" hidden="1" customHeight="1" x14ac:dyDescent="0.2">
      <c r="A96" s="81">
        <f t="shared" si="1"/>
        <v>95</v>
      </c>
      <c r="B96" s="81" t="s">
        <v>143</v>
      </c>
      <c r="C96" s="177" t="s">
        <v>144</v>
      </c>
      <c r="D96" s="98" t="s">
        <v>207</v>
      </c>
      <c r="E96" s="98" t="s">
        <v>217</v>
      </c>
      <c r="F96" s="84" t="s">
        <v>48</v>
      </c>
      <c r="G96" s="82">
        <v>2</v>
      </c>
      <c r="H96" s="96" t="s">
        <v>49</v>
      </c>
      <c r="I96" s="82" t="s">
        <v>2</v>
      </c>
      <c r="J96" s="84" t="s">
        <v>209</v>
      </c>
      <c r="K96" s="99" t="s">
        <v>147</v>
      </c>
      <c r="L96" s="99"/>
      <c r="M96" s="307" t="s">
        <v>49</v>
      </c>
    </row>
    <row r="97" spans="1:13" ht="31.5" hidden="1" customHeight="1" x14ac:dyDescent="0.2">
      <c r="A97" s="81">
        <f t="shared" si="1"/>
        <v>96</v>
      </c>
      <c r="B97" s="81" t="s">
        <v>143</v>
      </c>
      <c r="C97" s="177" t="s">
        <v>144</v>
      </c>
      <c r="D97" s="98" t="s">
        <v>207</v>
      </c>
      <c r="E97" s="98" t="s">
        <v>218</v>
      </c>
      <c r="F97" s="84" t="s">
        <v>48</v>
      </c>
      <c r="G97" s="82">
        <v>2</v>
      </c>
      <c r="H97" s="96" t="s">
        <v>49</v>
      </c>
      <c r="I97" s="82" t="s">
        <v>2</v>
      </c>
      <c r="J97" s="84" t="s">
        <v>209</v>
      </c>
      <c r="K97" s="99" t="s">
        <v>147</v>
      </c>
      <c r="L97" s="99"/>
      <c r="M97" s="307" t="s">
        <v>49</v>
      </c>
    </row>
    <row r="98" spans="1:13" ht="31.5" hidden="1" customHeight="1" x14ac:dyDescent="0.2">
      <c r="A98" s="81">
        <f t="shared" si="1"/>
        <v>97</v>
      </c>
      <c r="B98" s="81" t="s">
        <v>143</v>
      </c>
      <c r="C98" s="177" t="s">
        <v>144</v>
      </c>
      <c r="D98" s="98" t="s">
        <v>207</v>
      </c>
      <c r="E98" s="98" t="s">
        <v>219</v>
      </c>
      <c r="F98" s="84" t="s">
        <v>48</v>
      </c>
      <c r="G98" s="82">
        <v>2</v>
      </c>
      <c r="H98" s="96" t="s">
        <v>49</v>
      </c>
      <c r="I98" s="82" t="s">
        <v>2</v>
      </c>
      <c r="J98" s="84" t="s">
        <v>209</v>
      </c>
      <c r="K98" s="99" t="s">
        <v>147</v>
      </c>
      <c r="L98" s="99"/>
      <c r="M98" s="307" t="s">
        <v>49</v>
      </c>
    </row>
    <row r="99" spans="1:13" ht="31.5" hidden="1" customHeight="1" x14ac:dyDescent="0.2">
      <c r="A99" s="81">
        <f t="shared" si="1"/>
        <v>98</v>
      </c>
      <c r="B99" s="81" t="s">
        <v>143</v>
      </c>
      <c r="C99" s="177" t="s">
        <v>144</v>
      </c>
      <c r="D99" s="98" t="s">
        <v>207</v>
      </c>
      <c r="E99" s="98" t="s">
        <v>220</v>
      </c>
      <c r="F99" s="84" t="s">
        <v>48</v>
      </c>
      <c r="G99" s="82">
        <v>2</v>
      </c>
      <c r="H99" s="96" t="s">
        <v>49</v>
      </c>
      <c r="I99" s="82" t="s">
        <v>2</v>
      </c>
      <c r="J99" s="84" t="s">
        <v>209</v>
      </c>
      <c r="K99" s="99" t="s">
        <v>147</v>
      </c>
      <c r="L99" s="99"/>
      <c r="M99" s="307" t="s">
        <v>49</v>
      </c>
    </row>
    <row r="100" spans="1:13" ht="31.5" hidden="1" customHeight="1" x14ac:dyDescent="0.2">
      <c r="A100" s="81">
        <f t="shared" si="1"/>
        <v>99</v>
      </c>
      <c r="B100" s="81" t="s">
        <v>143</v>
      </c>
      <c r="C100" s="177" t="s">
        <v>144</v>
      </c>
      <c r="D100" s="98" t="s">
        <v>207</v>
      </c>
      <c r="E100" s="98" t="s">
        <v>221</v>
      </c>
      <c r="F100" s="84" t="s">
        <v>48</v>
      </c>
      <c r="G100" s="82">
        <v>2</v>
      </c>
      <c r="H100" s="96" t="s">
        <v>49</v>
      </c>
      <c r="I100" s="82" t="s">
        <v>2</v>
      </c>
      <c r="J100" s="84" t="s">
        <v>209</v>
      </c>
      <c r="K100" s="99" t="s">
        <v>147</v>
      </c>
      <c r="L100" s="99"/>
      <c r="M100" s="307" t="s">
        <v>49</v>
      </c>
    </row>
    <row r="101" spans="1:13" ht="31.5" hidden="1" customHeight="1" x14ac:dyDescent="0.2">
      <c r="A101" s="81">
        <f t="shared" si="1"/>
        <v>100</v>
      </c>
      <c r="B101" s="81" t="s">
        <v>143</v>
      </c>
      <c r="C101" s="177" t="s">
        <v>144</v>
      </c>
      <c r="D101" s="98" t="s">
        <v>207</v>
      </c>
      <c r="E101" s="98" t="s">
        <v>222</v>
      </c>
      <c r="F101" s="84" t="s">
        <v>48</v>
      </c>
      <c r="G101" s="82">
        <v>2</v>
      </c>
      <c r="H101" s="96" t="s">
        <v>49</v>
      </c>
      <c r="I101" s="82" t="s">
        <v>2</v>
      </c>
      <c r="J101" s="84" t="s">
        <v>209</v>
      </c>
      <c r="K101" s="99" t="s">
        <v>147</v>
      </c>
      <c r="L101" s="99"/>
      <c r="M101" s="307" t="s">
        <v>49</v>
      </c>
    </row>
    <row r="102" spans="1:13" ht="31.5" hidden="1" customHeight="1" x14ac:dyDescent="0.2">
      <c r="A102" s="81">
        <f t="shared" si="1"/>
        <v>101</v>
      </c>
      <c r="B102" s="81" t="s">
        <v>143</v>
      </c>
      <c r="C102" s="177" t="s">
        <v>144</v>
      </c>
      <c r="D102" s="98" t="s">
        <v>207</v>
      </c>
      <c r="E102" s="98" t="s">
        <v>223</v>
      </c>
      <c r="F102" s="84" t="s">
        <v>48</v>
      </c>
      <c r="G102" s="82">
        <v>2</v>
      </c>
      <c r="H102" s="96" t="s">
        <v>49</v>
      </c>
      <c r="I102" s="82" t="s">
        <v>2</v>
      </c>
      <c r="J102" s="84" t="s">
        <v>209</v>
      </c>
      <c r="K102" s="99" t="s">
        <v>147</v>
      </c>
      <c r="L102" s="99"/>
      <c r="M102" s="307" t="s">
        <v>49</v>
      </c>
    </row>
    <row r="103" spans="1:13" ht="31.5" hidden="1" customHeight="1" x14ac:dyDescent="0.2">
      <c r="A103" s="81">
        <f t="shared" si="1"/>
        <v>102</v>
      </c>
      <c r="B103" s="81" t="s">
        <v>143</v>
      </c>
      <c r="C103" s="177" t="s">
        <v>224</v>
      </c>
      <c r="D103" s="98" t="s">
        <v>225</v>
      </c>
      <c r="E103" s="98" t="s">
        <v>226</v>
      </c>
      <c r="F103" s="84" t="s">
        <v>48</v>
      </c>
      <c r="G103" s="82">
        <v>2</v>
      </c>
      <c r="H103" s="96" t="s">
        <v>49</v>
      </c>
      <c r="I103" s="82" t="s">
        <v>2</v>
      </c>
      <c r="J103" s="84" t="s">
        <v>227</v>
      </c>
      <c r="K103" s="99" t="s">
        <v>147</v>
      </c>
      <c r="L103" s="99"/>
      <c r="M103" s="307" t="s">
        <v>49</v>
      </c>
    </row>
    <row r="104" spans="1:13" ht="31.5" hidden="1" customHeight="1" x14ac:dyDescent="0.2">
      <c r="A104" s="81">
        <f t="shared" si="1"/>
        <v>103</v>
      </c>
      <c r="B104" s="81" t="s">
        <v>143</v>
      </c>
      <c r="C104" s="177" t="s">
        <v>224</v>
      </c>
      <c r="D104" s="98" t="s">
        <v>225</v>
      </c>
      <c r="E104" s="98" t="s">
        <v>228</v>
      </c>
      <c r="F104" s="84" t="s">
        <v>48</v>
      </c>
      <c r="G104" s="82">
        <v>2</v>
      </c>
      <c r="H104" s="96" t="s">
        <v>49</v>
      </c>
      <c r="I104" s="82" t="s">
        <v>2</v>
      </c>
      <c r="J104" s="84" t="s">
        <v>227</v>
      </c>
      <c r="K104" s="99" t="s">
        <v>147</v>
      </c>
      <c r="L104" s="99"/>
      <c r="M104" s="307" t="s">
        <v>49</v>
      </c>
    </row>
    <row r="105" spans="1:13" ht="31.5" hidden="1" customHeight="1" x14ac:dyDescent="0.2">
      <c r="A105" s="81">
        <f t="shared" si="1"/>
        <v>104</v>
      </c>
      <c r="B105" s="81" t="s">
        <v>143</v>
      </c>
      <c r="C105" s="177" t="s">
        <v>224</v>
      </c>
      <c r="D105" s="98" t="s">
        <v>225</v>
      </c>
      <c r="E105" s="98" t="s">
        <v>229</v>
      </c>
      <c r="F105" s="84" t="s">
        <v>48</v>
      </c>
      <c r="G105" s="82">
        <v>2</v>
      </c>
      <c r="H105" s="96" t="s">
        <v>49</v>
      </c>
      <c r="I105" s="82" t="s">
        <v>2</v>
      </c>
      <c r="J105" s="84" t="s">
        <v>227</v>
      </c>
      <c r="K105" s="99" t="s">
        <v>147</v>
      </c>
      <c r="L105" s="99"/>
      <c r="M105" s="307" t="s">
        <v>49</v>
      </c>
    </row>
    <row r="106" spans="1:13" ht="31.5" hidden="1" customHeight="1" x14ac:dyDescent="0.2">
      <c r="A106" s="81">
        <f t="shared" si="1"/>
        <v>105</v>
      </c>
      <c r="B106" s="81" t="s">
        <v>143</v>
      </c>
      <c r="C106" s="177" t="s">
        <v>224</v>
      </c>
      <c r="D106" s="98" t="s">
        <v>225</v>
      </c>
      <c r="E106" s="98" t="s">
        <v>230</v>
      </c>
      <c r="F106" s="84" t="s">
        <v>48</v>
      </c>
      <c r="G106" s="82">
        <v>2</v>
      </c>
      <c r="H106" s="96" t="s">
        <v>49</v>
      </c>
      <c r="I106" s="82" t="s">
        <v>2</v>
      </c>
      <c r="J106" s="84" t="s">
        <v>227</v>
      </c>
      <c r="K106" s="99" t="s">
        <v>147</v>
      </c>
      <c r="L106" s="99"/>
      <c r="M106" s="307" t="s">
        <v>49</v>
      </c>
    </row>
    <row r="107" spans="1:13" ht="31.5" hidden="1" customHeight="1" x14ac:dyDescent="0.2">
      <c r="A107" s="81">
        <f t="shared" si="1"/>
        <v>106</v>
      </c>
      <c r="B107" s="81" t="s">
        <v>143</v>
      </c>
      <c r="C107" s="177" t="s">
        <v>224</v>
      </c>
      <c r="D107" s="98" t="s">
        <v>225</v>
      </c>
      <c r="E107" s="98" t="s">
        <v>231</v>
      </c>
      <c r="F107" s="84" t="s">
        <v>48</v>
      </c>
      <c r="G107" s="82">
        <v>2</v>
      </c>
      <c r="H107" s="96" t="s">
        <v>49</v>
      </c>
      <c r="I107" s="82" t="s">
        <v>2</v>
      </c>
      <c r="J107" s="84" t="s">
        <v>227</v>
      </c>
      <c r="K107" s="99" t="s">
        <v>147</v>
      </c>
      <c r="L107" s="99"/>
      <c r="M107" s="307" t="s">
        <v>49</v>
      </c>
    </row>
    <row r="108" spans="1:13" ht="31.5" hidden="1" customHeight="1" x14ac:dyDescent="0.2">
      <c r="A108" s="81">
        <f t="shared" si="1"/>
        <v>107</v>
      </c>
      <c r="B108" s="81" t="s">
        <v>143</v>
      </c>
      <c r="C108" s="177" t="s">
        <v>224</v>
      </c>
      <c r="D108" s="98" t="s">
        <v>225</v>
      </c>
      <c r="E108" s="98" t="s">
        <v>232</v>
      </c>
      <c r="F108" s="84" t="s">
        <v>48</v>
      </c>
      <c r="G108" s="82">
        <v>2</v>
      </c>
      <c r="H108" s="96" t="s">
        <v>49</v>
      </c>
      <c r="I108" s="82" t="s">
        <v>2</v>
      </c>
      <c r="J108" s="84" t="s">
        <v>227</v>
      </c>
      <c r="K108" s="99" t="s">
        <v>147</v>
      </c>
      <c r="L108" s="99"/>
      <c r="M108" s="307" t="s">
        <v>49</v>
      </c>
    </row>
    <row r="109" spans="1:13" ht="31.5" hidden="1" customHeight="1" x14ac:dyDescent="0.2">
      <c r="A109" s="81">
        <f t="shared" si="1"/>
        <v>108</v>
      </c>
      <c r="B109" s="81" t="s">
        <v>143</v>
      </c>
      <c r="C109" s="177" t="s">
        <v>224</v>
      </c>
      <c r="D109" s="98" t="s">
        <v>225</v>
      </c>
      <c r="E109" s="98" t="s">
        <v>233</v>
      </c>
      <c r="F109" s="84" t="s">
        <v>48</v>
      </c>
      <c r="G109" s="82">
        <v>2</v>
      </c>
      <c r="H109" s="96" t="s">
        <v>49</v>
      </c>
      <c r="I109" s="82" t="s">
        <v>2</v>
      </c>
      <c r="J109" s="84" t="s">
        <v>227</v>
      </c>
      <c r="K109" s="99" t="s">
        <v>147</v>
      </c>
      <c r="L109" s="99"/>
      <c r="M109" s="307" t="s">
        <v>49</v>
      </c>
    </row>
    <row r="110" spans="1:13" ht="31.5" hidden="1" customHeight="1" x14ac:dyDescent="0.2">
      <c r="A110" s="81">
        <f t="shared" si="1"/>
        <v>109</v>
      </c>
      <c r="B110" s="81" t="s">
        <v>143</v>
      </c>
      <c r="C110" s="177" t="s">
        <v>224</v>
      </c>
      <c r="D110" s="98" t="s">
        <v>225</v>
      </c>
      <c r="E110" s="98" t="s">
        <v>234</v>
      </c>
      <c r="F110" s="84" t="s">
        <v>48</v>
      </c>
      <c r="G110" s="82">
        <v>2</v>
      </c>
      <c r="H110" s="96" t="s">
        <v>49</v>
      </c>
      <c r="I110" s="82" t="s">
        <v>2</v>
      </c>
      <c r="J110" s="84" t="s">
        <v>227</v>
      </c>
      <c r="K110" s="99" t="s">
        <v>147</v>
      </c>
      <c r="L110" s="99"/>
      <c r="M110" s="307" t="s">
        <v>49</v>
      </c>
    </row>
    <row r="111" spans="1:13" ht="31.5" hidden="1" customHeight="1" x14ac:dyDescent="0.2">
      <c r="A111" s="81">
        <f t="shared" si="1"/>
        <v>110</v>
      </c>
      <c r="B111" s="81" t="s">
        <v>143</v>
      </c>
      <c r="C111" s="177" t="s">
        <v>224</v>
      </c>
      <c r="D111" s="98" t="s">
        <v>225</v>
      </c>
      <c r="E111" s="98" t="s">
        <v>235</v>
      </c>
      <c r="F111" s="84" t="s">
        <v>48</v>
      </c>
      <c r="G111" s="82">
        <v>2</v>
      </c>
      <c r="H111" s="96" t="s">
        <v>49</v>
      </c>
      <c r="I111" s="82" t="s">
        <v>2</v>
      </c>
      <c r="J111" s="84" t="s">
        <v>227</v>
      </c>
      <c r="K111" s="99" t="s">
        <v>147</v>
      </c>
      <c r="L111" s="99"/>
      <c r="M111" s="307" t="s">
        <v>49</v>
      </c>
    </row>
    <row r="112" spans="1:13" ht="31.5" hidden="1" customHeight="1" x14ac:dyDescent="0.2">
      <c r="A112" s="81">
        <f t="shared" si="1"/>
        <v>111</v>
      </c>
      <c r="B112" s="81" t="s">
        <v>143</v>
      </c>
      <c r="C112" s="177" t="s">
        <v>224</v>
      </c>
      <c r="D112" s="98" t="s">
        <v>225</v>
      </c>
      <c r="E112" s="98" t="s">
        <v>236</v>
      </c>
      <c r="F112" s="84" t="s">
        <v>48</v>
      </c>
      <c r="G112" s="82">
        <v>2</v>
      </c>
      <c r="H112" s="96" t="s">
        <v>49</v>
      </c>
      <c r="I112" s="82" t="s">
        <v>2</v>
      </c>
      <c r="J112" s="84" t="s">
        <v>227</v>
      </c>
      <c r="K112" s="99" t="s">
        <v>147</v>
      </c>
      <c r="L112" s="99"/>
      <c r="M112" s="307" t="s">
        <v>49</v>
      </c>
    </row>
    <row r="113" spans="1:13" ht="31.5" hidden="1" customHeight="1" x14ac:dyDescent="0.2">
      <c r="A113" s="81">
        <f t="shared" si="1"/>
        <v>112</v>
      </c>
      <c r="B113" s="81" t="s">
        <v>143</v>
      </c>
      <c r="C113" s="177" t="s">
        <v>224</v>
      </c>
      <c r="D113" s="98" t="s">
        <v>225</v>
      </c>
      <c r="E113" s="98" t="s">
        <v>237</v>
      </c>
      <c r="F113" s="84" t="s">
        <v>48</v>
      </c>
      <c r="G113" s="82">
        <v>2</v>
      </c>
      <c r="H113" s="96" t="s">
        <v>49</v>
      </c>
      <c r="I113" s="82" t="s">
        <v>2</v>
      </c>
      <c r="J113" s="84" t="s">
        <v>227</v>
      </c>
      <c r="K113" s="99" t="s">
        <v>147</v>
      </c>
      <c r="L113" s="99"/>
      <c r="M113" s="307" t="s">
        <v>49</v>
      </c>
    </row>
    <row r="114" spans="1:13" ht="31.5" hidden="1" customHeight="1" x14ac:dyDescent="0.2">
      <c r="A114" s="81">
        <f t="shared" si="1"/>
        <v>113</v>
      </c>
      <c r="B114" s="81" t="s">
        <v>143</v>
      </c>
      <c r="C114" s="177" t="s">
        <v>224</v>
      </c>
      <c r="D114" s="98" t="s">
        <v>225</v>
      </c>
      <c r="E114" s="98" t="s">
        <v>238</v>
      </c>
      <c r="F114" s="84" t="s">
        <v>48</v>
      </c>
      <c r="G114" s="82">
        <v>2</v>
      </c>
      <c r="H114" s="96" t="s">
        <v>49</v>
      </c>
      <c r="I114" s="82" t="s">
        <v>2</v>
      </c>
      <c r="J114" s="84" t="s">
        <v>227</v>
      </c>
      <c r="K114" s="99" t="s">
        <v>147</v>
      </c>
      <c r="L114" s="99"/>
      <c r="M114" s="307" t="s">
        <v>49</v>
      </c>
    </row>
    <row r="115" spans="1:13" ht="31.5" hidden="1" customHeight="1" x14ac:dyDescent="0.2">
      <c r="A115" s="81">
        <f t="shared" si="1"/>
        <v>114</v>
      </c>
      <c r="B115" s="81" t="s">
        <v>143</v>
      </c>
      <c r="C115" s="177" t="s">
        <v>239</v>
      </c>
      <c r="D115" s="98" t="s">
        <v>240</v>
      </c>
      <c r="E115" s="98" t="s">
        <v>241</v>
      </c>
      <c r="F115" s="84" t="s">
        <v>48</v>
      </c>
      <c r="G115" s="82">
        <v>2</v>
      </c>
      <c r="H115" s="96" t="s">
        <v>49</v>
      </c>
      <c r="I115" s="82" t="s">
        <v>2</v>
      </c>
      <c r="J115" s="84" t="s">
        <v>242</v>
      </c>
      <c r="K115" s="99" t="s">
        <v>147</v>
      </c>
      <c r="L115" s="99"/>
      <c r="M115" s="307" t="s">
        <v>49</v>
      </c>
    </row>
    <row r="116" spans="1:13" ht="31.5" hidden="1" customHeight="1" x14ac:dyDescent="0.2">
      <c r="A116" s="81">
        <f t="shared" si="1"/>
        <v>115</v>
      </c>
      <c r="B116" s="81" t="s">
        <v>143</v>
      </c>
      <c r="C116" s="177" t="s">
        <v>239</v>
      </c>
      <c r="D116" s="98" t="s">
        <v>240</v>
      </c>
      <c r="E116" s="98" t="s">
        <v>243</v>
      </c>
      <c r="F116" s="84" t="s">
        <v>48</v>
      </c>
      <c r="G116" s="82">
        <v>2</v>
      </c>
      <c r="H116" s="96" t="s">
        <v>49</v>
      </c>
      <c r="I116" s="82" t="s">
        <v>2</v>
      </c>
      <c r="J116" s="84" t="s">
        <v>242</v>
      </c>
      <c r="K116" s="99" t="s">
        <v>147</v>
      </c>
      <c r="L116" s="99"/>
      <c r="M116" s="307" t="s">
        <v>49</v>
      </c>
    </row>
    <row r="117" spans="1:13" ht="31.5" hidden="1" customHeight="1" x14ac:dyDescent="0.2">
      <c r="A117" s="81">
        <f t="shared" si="1"/>
        <v>116</v>
      </c>
      <c r="B117" s="81" t="s">
        <v>143</v>
      </c>
      <c r="C117" s="177" t="s">
        <v>239</v>
      </c>
      <c r="D117" s="98" t="s">
        <v>240</v>
      </c>
      <c r="E117" s="98" t="s">
        <v>244</v>
      </c>
      <c r="F117" s="84" t="s">
        <v>48</v>
      </c>
      <c r="G117" s="82">
        <v>2</v>
      </c>
      <c r="H117" s="96" t="s">
        <v>49</v>
      </c>
      <c r="I117" s="82" t="s">
        <v>2</v>
      </c>
      <c r="J117" s="84" t="s">
        <v>242</v>
      </c>
      <c r="K117" s="99" t="s">
        <v>147</v>
      </c>
      <c r="L117" s="99"/>
      <c r="M117" s="307" t="s">
        <v>49</v>
      </c>
    </row>
    <row r="118" spans="1:13" ht="31.5" hidden="1" customHeight="1" x14ac:dyDescent="0.2">
      <c r="A118" s="81">
        <f t="shared" si="1"/>
        <v>117</v>
      </c>
      <c r="B118" s="81" t="s">
        <v>143</v>
      </c>
      <c r="C118" s="177" t="s">
        <v>239</v>
      </c>
      <c r="D118" s="98" t="s">
        <v>240</v>
      </c>
      <c r="E118" s="98" t="s">
        <v>245</v>
      </c>
      <c r="F118" s="84" t="s">
        <v>48</v>
      </c>
      <c r="G118" s="82">
        <v>2</v>
      </c>
      <c r="H118" s="96" t="s">
        <v>49</v>
      </c>
      <c r="I118" s="82" t="s">
        <v>2</v>
      </c>
      <c r="J118" s="84" t="s">
        <v>242</v>
      </c>
      <c r="K118" s="99" t="s">
        <v>147</v>
      </c>
      <c r="L118" s="99"/>
      <c r="M118" s="307" t="s">
        <v>49</v>
      </c>
    </row>
    <row r="119" spans="1:13" ht="31.5" hidden="1" customHeight="1" x14ac:dyDescent="0.2">
      <c r="A119" s="81">
        <f t="shared" si="1"/>
        <v>118</v>
      </c>
      <c r="B119" s="81" t="s">
        <v>64</v>
      </c>
      <c r="C119" s="177" t="s">
        <v>246</v>
      </c>
      <c r="D119" s="98" t="s">
        <v>247</v>
      </c>
      <c r="E119" s="98" t="s">
        <v>247</v>
      </c>
      <c r="F119" s="84" t="s">
        <v>48</v>
      </c>
      <c r="G119" s="82">
        <v>2</v>
      </c>
      <c r="H119" s="96" t="s">
        <v>49</v>
      </c>
      <c r="I119" s="82" t="s">
        <v>2</v>
      </c>
      <c r="J119" s="84" t="s">
        <v>247</v>
      </c>
      <c r="K119" s="84"/>
      <c r="L119" s="84"/>
      <c r="M119" s="307" t="s">
        <v>49</v>
      </c>
    </row>
    <row r="120" spans="1:13" ht="31.5" hidden="1" customHeight="1" x14ac:dyDescent="0.2">
      <c r="A120" s="81">
        <f t="shared" si="1"/>
        <v>119</v>
      </c>
      <c r="B120" s="81" t="s">
        <v>143</v>
      </c>
      <c r="C120" s="177" t="s">
        <v>248</v>
      </c>
      <c r="D120" s="98" t="s">
        <v>249</v>
      </c>
      <c r="E120" s="98" t="s">
        <v>249</v>
      </c>
      <c r="F120" s="84" t="s">
        <v>48</v>
      </c>
      <c r="G120" s="82">
        <v>3</v>
      </c>
      <c r="H120" s="96" t="s">
        <v>49</v>
      </c>
      <c r="I120" s="82" t="s">
        <v>2</v>
      </c>
      <c r="J120" s="84" t="s">
        <v>249</v>
      </c>
      <c r="K120" s="84"/>
      <c r="L120" s="84"/>
      <c r="M120" s="307" t="s">
        <v>49</v>
      </c>
    </row>
    <row r="121" spans="1:13" ht="31.5" hidden="1" customHeight="1" x14ac:dyDescent="0.2">
      <c r="A121" s="81">
        <f t="shared" si="1"/>
        <v>120</v>
      </c>
      <c r="B121" s="81" t="s">
        <v>143</v>
      </c>
      <c r="C121" s="177" t="s">
        <v>250</v>
      </c>
      <c r="D121" s="98" t="s">
        <v>251</v>
      </c>
      <c r="E121" s="98" t="s">
        <v>252</v>
      </c>
      <c r="F121" s="84" t="s">
        <v>48</v>
      </c>
      <c r="G121" s="82">
        <v>3</v>
      </c>
      <c r="H121" s="96" t="s">
        <v>49</v>
      </c>
      <c r="I121" s="82" t="s">
        <v>2</v>
      </c>
      <c r="J121" s="84" t="s">
        <v>253</v>
      </c>
      <c r="K121" s="84"/>
      <c r="L121" s="84"/>
      <c r="M121" s="307" t="s">
        <v>49</v>
      </c>
    </row>
    <row r="122" spans="1:13" ht="31.5" hidden="1" customHeight="1" x14ac:dyDescent="0.2">
      <c r="A122" s="81">
        <f t="shared" si="1"/>
        <v>121</v>
      </c>
      <c r="B122" s="81" t="s">
        <v>143</v>
      </c>
      <c r="C122" s="177" t="s">
        <v>250</v>
      </c>
      <c r="D122" s="98" t="s">
        <v>251</v>
      </c>
      <c r="E122" s="98" t="s">
        <v>254</v>
      </c>
      <c r="F122" s="84" t="s">
        <v>48</v>
      </c>
      <c r="G122" s="82">
        <v>3</v>
      </c>
      <c r="H122" s="96" t="s">
        <v>49</v>
      </c>
      <c r="I122" s="82" t="s">
        <v>2</v>
      </c>
      <c r="J122" s="84" t="s">
        <v>253</v>
      </c>
      <c r="K122" s="84"/>
      <c r="L122" s="84"/>
      <c r="M122" s="307" t="s">
        <v>49</v>
      </c>
    </row>
    <row r="123" spans="1:13" ht="31.5" hidden="1" customHeight="1" x14ac:dyDescent="0.2">
      <c r="A123" s="81">
        <f t="shared" si="1"/>
        <v>122</v>
      </c>
      <c r="B123" s="81" t="s">
        <v>143</v>
      </c>
      <c r="C123" s="177" t="s">
        <v>255</v>
      </c>
      <c r="D123" s="152" t="s">
        <v>1310</v>
      </c>
      <c r="E123" s="152" t="s">
        <v>256</v>
      </c>
      <c r="F123" s="84" t="s">
        <v>48</v>
      </c>
      <c r="G123" s="82">
        <v>3</v>
      </c>
      <c r="H123" s="96" t="s">
        <v>49</v>
      </c>
      <c r="I123" s="82" t="s">
        <v>2</v>
      </c>
      <c r="J123" s="84" t="s">
        <v>1515</v>
      </c>
      <c r="K123" s="84"/>
      <c r="L123" s="84"/>
      <c r="M123" s="307" t="s">
        <v>49</v>
      </c>
    </row>
    <row r="124" spans="1:13" ht="31.5" hidden="1" customHeight="1" x14ac:dyDescent="0.2">
      <c r="A124" s="81">
        <f t="shared" si="1"/>
        <v>123</v>
      </c>
      <c r="B124" s="81" t="s">
        <v>64</v>
      </c>
      <c r="C124" s="177" t="s">
        <v>257</v>
      </c>
      <c r="D124" s="98" t="s">
        <v>258</v>
      </c>
      <c r="E124" s="98" t="s">
        <v>259</v>
      </c>
      <c r="F124" s="84" t="s">
        <v>48</v>
      </c>
      <c r="G124" s="82">
        <v>3</v>
      </c>
      <c r="H124" s="96" t="s">
        <v>49</v>
      </c>
      <c r="I124" s="82" t="s">
        <v>2</v>
      </c>
      <c r="J124" s="84" t="s">
        <v>259</v>
      </c>
      <c r="K124" s="99" t="s">
        <v>260</v>
      </c>
      <c r="L124" s="99"/>
      <c r="M124" s="307" t="s">
        <v>49</v>
      </c>
    </row>
    <row r="125" spans="1:13" ht="31.5" hidden="1" customHeight="1" x14ac:dyDescent="0.2">
      <c r="A125" s="81">
        <f t="shared" si="1"/>
        <v>124</v>
      </c>
      <c r="B125" s="81" t="s">
        <v>44</v>
      </c>
      <c r="C125" s="177" t="s">
        <v>261</v>
      </c>
      <c r="D125" s="98" t="s">
        <v>262</v>
      </c>
      <c r="E125" s="98" t="s">
        <v>263</v>
      </c>
      <c r="F125" s="84" t="s">
        <v>48</v>
      </c>
      <c r="G125" s="82">
        <v>3</v>
      </c>
      <c r="H125" s="96" t="s">
        <v>49</v>
      </c>
      <c r="I125" s="82" t="s">
        <v>889</v>
      </c>
      <c r="J125" s="84" t="s">
        <v>263</v>
      </c>
      <c r="K125" s="175" t="s">
        <v>1700</v>
      </c>
      <c r="L125" s="99"/>
      <c r="M125" s="307" t="s">
        <v>49</v>
      </c>
    </row>
    <row r="126" spans="1:13" ht="31.5" hidden="1" customHeight="1" x14ac:dyDescent="0.2">
      <c r="A126" s="81">
        <f t="shared" si="1"/>
        <v>125</v>
      </c>
      <c r="B126" s="81" t="s">
        <v>143</v>
      </c>
      <c r="C126" s="177" t="s">
        <v>264</v>
      </c>
      <c r="D126" s="98" t="s">
        <v>265</v>
      </c>
      <c r="E126" s="98" t="s">
        <v>266</v>
      </c>
      <c r="F126" s="84" t="s">
        <v>48</v>
      </c>
      <c r="G126" s="82">
        <v>3</v>
      </c>
      <c r="H126" s="96" t="s">
        <v>49</v>
      </c>
      <c r="I126" s="82" t="s">
        <v>2</v>
      </c>
      <c r="J126" s="84" t="s">
        <v>267</v>
      </c>
      <c r="K126" s="84"/>
      <c r="L126" s="84"/>
      <c r="M126" s="307" t="s">
        <v>49</v>
      </c>
    </row>
    <row r="127" spans="1:13" ht="31.5" hidden="1" customHeight="1" x14ac:dyDescent="0.2">
      <c r="A127" s="81">
        <f t="shared" si="1"/>
        <v>126</v>
      </c>
      <c r="B127" s="81" t="s">
        <v>143</v>
      </c>
      <c r="C127" s="177" t="s">
        <v>264</v>
      </c>
      <c r="D127" s="98" t="s">
        <v>265</v>
      </c>
      <c r="E127" s="98" t="s">
        <v>268</v>
      </c>
      <c r="F127" s="84" t="s">
        <v>48</v>
      </c>
      <c r="G127" s="82">
        <v>3</v>
      </c>
      <c r="H127" s="96" t="s">
        <v>49</v>
      </c>
      <c r="I127" s="82" t="s">
        <v>2</v>
      </c>
      <c r="J127" s="84" t="s">
        <v>267</v>
      </c>
      <c r="K127" s="84"/>
      <c r="L127" s="84"/>
      <c r="M127" s="307" t="s">
        <v>49</v>
      </c>
    </row>
    <row r="128" spans="1:13" ht="31.5" hidden="1" customHeight="1" x14ac:dyDescent="0.2">
      <c r="A128" s="81">
        <f t="shared" si="1"/>
        <v>127</v>
      </c>
      <c r="B128" s="81" t="s">
        <v>143</v>
      </c>
      <c r="C128" s="177" t="s">
        <v>264</v>
      </c>
      <c r="D128" s="98" t="s">
        <v>265</v>
      </c>
      <c r="E128" s="98" t="s">
        <v>269</v>
      </c>
      <c r="F128" s="84" t="s">
        <v>48</v>
      </c>
      <c r="G128" s="82">
        <v>3</v>
      </c>
      <c r="H128" s="96" t="s">
        <v>49</v>
      </c>
      <c r="I128" s="82" t="s">
        <v>2</v>
      </c>
      <c r="J128" s="84" t="s">
        <v>267</v>
      </c>
      <c r="K128" s="84"/>
      <c r="L128" s="84"/>
      <c r="M128" s="307" t="s">
        <v>49</v>
      </c>
    </row>
    <row r="129" spans="1:13" ht="31.5" hidden="1" customHeight="1" x14ac:dyDescent="0.2">
      <c r="A129" s="81">
        <f t="shared" si="1"/>
        <v>128</v>
      </c>
      <c r="B129" s="81" t="s">
        <v>143</v>
      </c>
      <c r="C129" s="177" t="s">
        <v>264</v>
      </c>
      <c r="D129" s="98" t="s">
        <v>265</v>
      </c>
      <c r="E129" s="98" t="s">
        <v>270</v>
      </c>
      <c r="F129" s="84" t="s">
        <v>48</v>
      </c>
      <c r="G129" s="82">
        <v>3</v>
      </c>
      <c r="H129" s="96" t="s">
        <v>49</v>
      </c>
      <c r="I129" s="82" t="s">
        <v>2</v>
      </c>
      <c r="J129" s="84" t="s">
        <v>267</v>
      </c>
      <c r="K129" s="84"/>
      <c r="L129" s="84"/>
      <c r="M129" s="307" t="s">
        <v>49</v>
      </c>
    </row>
    <row r="130" spans="1:13" ht="31.5" customHeight="1" x14ac:dyDescent="0.2">
      <c r="A130" s="81">
        <f t="shared" si="1"/>
        <v>129</v>
      </c>
      <c r="B130" s="81" t="s">
        <v>143</v>
      </c>
      <c r="C130" s="177" t="s">
        <v>264</v>
      </c>
      <c r="D130" s="98" t="s">
        <v>271</v>
      </c>
      <c r="E130" s="98" t="s">
        <v>272</v>
      </c>
      <c r="F130" s="84" t="s">
        <v>48</v>
      </c>
      <c r="G130" s="82">
        <v>3</v>
      </c>
      <c r="H130" s="96" t="s">
        <v>61</v>
      </c>
      <c r="I130" s="82" t="s">
        <v>2</v>
      </c>
      <c r="J130" s="84" t="s">
        <v>273</v>
      </c>
      <c r="K130" s="310" t="s">
        <v>2390</v>
      </c>
      <c r="L130" s="84"/>
      <c r="M130" s="307" t="s">
        <v>49</v>
      </c>
    </row>
    <row r="131" spans="1:13" ht="31.5" hidden="1" customHeight="1" x14ac:dyDescent="0.2">
      <c r="A131" s="81">
        <f t="shared" ref="A131:A194" si="2">A130+1</f>
        <v>130</v>
      </c>
      <c r="B131" s="81" t="s">
        <v>143</v>
      </c>
      <c r="C131" s="177" t="s">
        <v>264</v>
      </c>
      <c r="D131" s="98" t="s">
        <v>271</v>
      </c>
      <c r="E131" s="305" t="s">
        <v>274</v>
      </c>
      <c r="F131" s="84" t="s">
        <v>48</v>
      </c>
      <c r="G131" s="82">
        <v>3</v>
      </c>
      <c r="H131" s="96" t="s">
        <v>49</v>
      </c>
      <c r="I131" s="82" t="s">
        <v>2</v>
      </c>
      <c r="J131" s="84" t="s">
        <v>273</v>
      </c>
      <c r="K131" s="84"/>
      <c r="L131" s="84"/>
      <c r="M131" s="307" t="s">
        <v>49</v>
      </c>
    </row>
    <row r="132" spans="1:13" ht="31.5" hidden="1" customHeight="1" x14ac:dyDescent="0.2">
      <c r="A132" s="81">
        <f t="shared" si="2"/>
        <v>131</v>
      </c>
      <c r="B132" s="81" t="s">
        <v>143</v>
      </c>
      <c r="C132" s="177" t="s">
        <v>264</v>
      </c>
      <c r="D132" s="98" t="s">
        <v>271</v>
      </c>
      <c r="E132" s="305" t="s">
        <v>275</v>
      </c>
      <c r="F132" s="84" t="s">
        <v>48</v>
      </c>
      <c r="G132" s="82">
        <v>3</v>
      </c>
      <c r="H132" s="96" t="s">
        <v>49</v>
      </c>
      <c r="I132" s="82" t="s">
        <v>2</v>
      </c>
      <c r="J132" s="84" t="s">
        <v>273</v>
      </c>
      <c r="K132" s="84"/>
      <c r="L132" s="84"/>
      <c r="M132" s="307" t="s">
        <v>49</v>
      </c>
    </row>
    <row r="133" spans="1:13" ht="31.5" hidden="1" customHeight="1" x14ac:dyDescent="0.2">
      <c r="A133" s="81">
        <f t="shared" si="2"/>
        <v>132</v>
      </c>
      <c r="B133" s="81" t="s">
        <v>143</v>
      </c>
      <c r="C133" s="177" t="s">
        <v>264</v>
      </c>
      <c r="D133" s="98" t="s">
        <v>271</v>
      </c>
      <c r="E133" s="305" t="s">
        <v>276</v>
      </c>
      <c r="F133" s="84" t="s">
        <v>48</v>
      </c>
      <c r="G133" s="82">
        <v>3</v>
      </c>
      <c r="H133" s="96" t="s">
        <v>49</v>
      </c>
      <c r="I133" s="82" t="s">
        <v>2</v>
      </c>
      <c r="J133" s="84" t="s">
        <v>273</v>
      </c>
      <c r="K133" s="84"/>
      <c r="L133" s="84"/>
      <c r="M133" s="307" t="s">
        <v>49</v>
      </c>
    </row>
    <row r="134" spans="1:13" ht="31.5" hidden="1" customHeight="1" x14ac:dyDescent="0.2">
      <c r="A134" s="81">
        <f t="shared" si="2"/>
        <v>133</v>
      </c>
      <c r="B134" s="81" t="s">
        <v>143</v>
      </c>
      <c r="C134" s="177" t="s">
        <v>264</v>
      </c>
      <c r="D134" s="98" t="s">
        <v>277</v>
      </c>
      <c r="E134" s="98" t="s">
        <v>278</v>
      </c>
      <c r="F134" s="84" t="s">
        <v>48</v>
      </c>
      <c r="G134" s="82">
        <v>3</v>
      </c>
      <c r="H134" s="96" t="s">
        <v>49</v>
      </c>
      <c r="I134" s="82" t="s">
        <v>2</v>
      </c>
      <c r="J134" s="84" t="s">
        <v>1081</v>
      </c>
      <c r="K134" s="84"/>
      <c r="L134" s="84"/>
      <c r="M134" s="307" t="s">
        <v>49</v>
      </c>
    </row>
    <row r="135" spans="1:13" ht="31.5" hidden="1" customHeight="1" x14ac:dyDescent="0.2">
      <c r="A135" s="81">
        <f t="shared" si="2"/>
        <v>134</v>
      </c>
      <c r="B135" s="81" t="s">
        <v>143</v>
      </c>
      <c r="C135" s="177" t="s">
        <v>264</v>
      </c>
      <c r="D135" s="98" t="s">
        <v>277</v>
      </c>
      <c r="E135" s="98" t="s">
        <v>280</v>
      </c>
      <c r="F135" s="84" t="s">
        <v>48</v>
      </c>
      <c r="G135" s="82">
        <v>3</v>
      </c>
      <c r="H135" s="96" t="s">
        <v>49</v>
      </c>
      <c r="I135" s="82" t="s">
        <v>2</v>
      </c>
      <c r="J135" s="84" t="s">
        <v>1081</v>
      </c>
      <c r="K135" s="84"/>
      <c r="L135" s="84"/>
      <c r="M135" s="307" t="s">
        <v>49</v>
      </c>
    </row>
    <row r="136" spans="1:13" ht="31.5" hidden="1" customHeight="1" x14ac:dyDescent="0.2">
      <c r="A136" s="81">
        <f t="shared" si="2"/>
        <v>135</v>
      </c>
      <c r="B136" s="81" t="s">
        <v>143</v>
      </c>
      <c r="C136" s="177" t="s">
        <v>281</v>
      </c>
      <c r="D136" s="167" t="s">
        <v>282</v>
      </c>
      <c r="E136" s="98" t="s">
        <v>283</v>
      </c>
      <c r="F136" s="84" t="s">
        <v>48</v>
      </c>
      <c r="G136" s="82">
        <v>3</v>
      </c>
      <c r="H136" s="96" t="s">
        <v>49</v>
      </c>
      <c r="I136" s="82" t="s">
        <v>2</v>
      </c>
      <c r="J136" s="84" t="s">
        <v>284</v>
      </c>
      <c r="K136" s="84"/>
      <c r="L136" s="84"/>
      <c r="M136" s="307" t="s">
        <v>49</v>
      </c>
    </row>
    <row r="137" spans="1:13" ht="31.5" hidden="1" customHeight="1" x14ac:dyDescent="0.2">
      <c r="A137" s="81">
        <f t="shared" si="2"/>
        <v>136</v>
      </c>
      <c r="B137" s="81" t="s">
        <v>143</v>
      </c>
      <c r="C137" s="177" t="s">
        <v>281</v>
      </c>
      <c r="D137" s="98" t="s">
        <v>282</v>
      </c>
      <c r="E137" s="110" t="s">
        <v>285</v>
      </c>
      <c r="F137" s="84" t="s">
        <v>48</v>
      </c>
      <c r="G137" s="82">
        <v>3</v>
      </c>
      <c r="H137" s="96" t="s">
        <v>49</v>
      </c>
      <c r="I137" s="82" t="s">
        <v>2</v>
      </c>
      <c r="J137" s="84" t="s">
        <v>284</v>
      </c>
      <c r="K137" s="84"/>
      <c r="L137" s="84"/>
      <c r="M137" s="307" t="s">
        <v>49</v>
      </c>
    </row>
    <row r="138" spans="1:13" ht="31.5" hidden="1" customHeight="1" x14ac:dyDescent="0.2">
      <c r="A138" s="81">
        <f t="shared" si="2"/>
        <v>137</v>
      </c>
      <c r="B138" s="81" t="s">
        <v>143</v>
      </c>
      <c r="C138" s="177" t="s">
        <v>281</v>
      </c>
      <c r="D138" s="110" t="s">
        <v>282</v>
      </c>
      <c r="E138" s="98" t="s">
        <v>286</v>
      </c>
      <c r="F138" s="84" t="s">
        <v>48</v>
      </c>
      <c r="G138" s="82">
        <v>3</v>
      </c>
      <c r="H138" s="96" t="s">
        <v>49</v>
      </c>
      <c r="I138" s="82" t="s">
        <v>2</v>
      </c>
      <c r="J138" s="84" t="s">
        <v>284</v>
      </c>
      <c r="K138" s="84"/>
      <c r="L138" s="84"/>
      <c r="M138" s="307" t="s">
        <v>49</v>
      </c>
    </row>
    <row r="139" spans="1:13" ht="31.5" hidden="1" customHeight="1" x14ac:dyDescent="0.2">
      <c r="A139" s="81">
        <f t="shared" si="2"/>
        <v>138</v>
      </c>
      <c r="B139" s="81" t="s">
        <v>143</v>
      </c>
      <c r="C139" s="177" t="s">
        <v>287</v>
      </c>
      <c r="D139" s="98" t="s">
        <v>288</v>
      </c>
      <c r="E139" s="278" t="s">
        <v>289</v>
      </c>
      <c r="F139" s="84" t="s">
        <v>48</v>
      </c>
      <c r="G139" s="82">
        <v>3</v>
      </c>
      <c r="H139" s="96" t="s">
        <v>49</v>
      </c>
      <c r="I139" s="82" t="s">
        <v>2</v>
      </c>
      <c r="J139" s="84" t="s">
        <v>290</v>
      </c>
      <c r="K139" s="99" t="s">
        <v>291</v>
      </c>
      <c r="L139" s="99"/>
      <c r="M139" s="307" t="s">
        <v>49</v>
      </c>
    </row>
    <row r="140" spans="1:13" ht="31.5" hidden="1" customHeight="1" x14ac:dyDescent="0.2">
      <c r="A140" s="81">
        <f t="shared" si="2"/>
        <v>139</v>
      </c>
      <c r="B140" s="81" t="s">
        <v>143</v>
      </c>
      <c r="C140" s="177" t="s">
        <v>287</v>
      </c>
      <c r="D140" s="98" t="s">
        <v>288</v>
      </c>
      <c r="E140" s="98" t="s">
        <v>292</v>
      </c>
      <c r="F140" s="84" t="s">
        <v>48</v>
      </c>
      <c r="G140" s="82">
        <v>3</v>
      </c>
      <c r="H140" s="96" t="s">
        <v>49</v>
      </c>
      <c r="I140" s="82" t="s">
        <v>2</v>
      </c>
      <c r="J140" s="84" t="s">
        <v>290</v>
      </c>
      <c r="K140" s="99" t="s">
        <v>291</v>
      </c>
      <c r="L140" s="99"/>
      <c r="M140" s="307" t="s">
        <v>49</v>
      </c>
    </row>
    <row r="141" spans="1:13" ht="31.5" hidden="1" customHeight="1" x14ac:dyDescent="0.2">
      <c r="A141" s="81">
        <f t="shared" si="2"/>
        <v>140</v>
      </c>
      <c r="B141" s="81" t="s">
        <v>143</v>
      </c>
      <c r="C141" s="177" t="s">
        <v>293</v>
      </c>
      <c r="D141" s="98" t="s">
        <v>294</v>
      </c>
      <c r="E141" s="98" t="s">
        <v>295</v>
      </c>
      <c r="F141" s="84" t="s">
        <v>48</v>
      </c>
      <c r="G141" s="82">
        <v>3</v>
      </c>
      <c r="H141" s="96" t="s">
        <v>49</v>
      </c>
      <c r="I141" s="82" t="s">
        <v>2</v>
      </c>
      <c r="J141" s="84" t="s">
        <v>296</v>
      </c>
      <c r="K141" s="84"/>
      <c r="L141" s="84"/>
      <c r="M141" s="307" t="s">
        <v>49</v>
      </c>
    </row>
    <row r="142" spans="1:13" ht="31.5" hidden="1" customHeight="1" x14ac:dyDescent="0.2">
      <c r="A142" s="81">
        <f t="shared" si="2"/>
        <v>141</v>
      </c>
      <c r="B142" s="81" t="s">
        <v>143</v>
      </c>
      <c r="C142" s="177" t="s">
        <v>297</v>
      </c>
      <c r="D142" s="98" t="s">
        <v>294</v>
      </c>
      <c r="E142" s="98" t="s">
        <v>298</v>
      </c>
      <c r="F142" s="84" t="s">
        <v>48</v>
      </c>
      <c r="G142" s="82">
        <v>3</v>
      </c>
      <c r="H142" s="96" t="s">
        <v>49</v>
      </c>
      <c r="I142" s="82" t="s">
        <v>2</v>
      </c>
      <c r="J142" s="84" t="s">
        <v>296</v>
      </c>
      <c r="K142" s="84"/>
      <c r="L142" s="84"/>
      <c r="M142" s="307" t="s">
        <v>49</v>
      </c>
    </row>
    <row r="143" spans="1:13" ht="31.5" hidden="1" customHeight="1" x14ac:dyDescent="0.2">
      <c r="A143" s="81">
        <f t="shared" si="2"/>
        <v>142</v>
      </c>
      <c r="B143" s="81" t="s">
        <v>143</v>
      </c>
      <c r="C143" s="177" t="s">
        <v>297</v>
      </c>
      <c r="D143" s="98" t="s">
        <v>294</v>
      </c>
      <c r="E143" s="98" t="s">
        <v>299</v>
      </c>
      <c r="F143" s="84" t="s">
        <v>48</v>
      </c>
      <c r="G143" s="82">
        <v>3</v>
      </c>
      <c r="H143" s="96" t="s">
        <v>49</v>
      </c>
      <c r="I143" s="82" t="s">
        <v>2</v>
      </c>
      <c r="J143" s="84" t="s">
        <v>296</v>
      </c>
      <c r="K143" s="84"/>
      <c r="L143" s="84"/>
      <c r="M143" s="307" t="s">
        <v>49</v>
      </c>
    </row>
    <row r="144" spans="1:13" ht="31.5" hidden="1" customHeight="1" x14ac:dyDescent="0.2">
      <c r="A144" s="81">
        <f t="shared" si="2"/>
        <v>143</v>
      </c>
      <c r="B144" s="81" t="s">
        <v>300</v>
      </c>
      <c r="C144" s="177" t="s">
        <v>301</v>
      </c>
      <c r="D144" s="147" t="s">
        <v>1116</v>
      </c>
      <c r="E144" s="124" t="s">
        <v>302</v>
      </c>
      <c r="F144" s="84" t="s">
        <v>48</v>
      </c>
      <c r="G144" s="82">
        <v>3</v>
      </c>
      <c r="H144" s="96" t="s">
        <v>49</v>
      </c>
      <c r="I144" s="82" t="s">
        <v>2</v>
      </c>
      <c r="J144" s="84" t="s">
        <v>1280</v>
      </c>
      <c r="K144" s="84"/>
      <c r="L144" s="84"/>
      <c r="M144" s="307" t="s">
        <v>49</v>
      </c>
    </row>
    <row r="145" spans="1:13" ht="31.5" hidden="1" customHeight="1" x14ac:dyDescent="0.2">
      <c r="A145" s="81">
        <f t="shared" si="2"/>
        <v>144</v>
      </c>
      <c r="B145" s="81" t="s">
        <v>300</v>
      </c>
      <c r="C145" s="177" t="s">
        <v>301</v>
      </c>
      <c r="D145" s="147" t="s">
        <v>1116</v>
      </c>
      <c r="E145" s="124" t="s">
        <v>303</v>
      </c>
      <c r="F145" s="84" t="s">
        <v>48</v>
      </c>
      <c r="G145" s="82">
        <v>3</v>
      </c>
      <c r="H145" s="96" t="s">
        <v>49</v>
      </c>
      <c r="I145" s="82" t="s">
        <v>2</v>
      </c>
      <c r="J145" s="99" t="s">
        <v>1280</v>
      </c>
      <c r="K145" s="84"/>
      <c r="L145" s="84"/>
      <c r="M145" s="307" t="s">
        <v>49</v>
      </c>
    </row>
    <row r="146" spans="1:13" ht="31.5" hidden="1" customHeight="1" x14ac:dyDescent="0.2">
      <c r="A146" s="81">
        <f t="shared" si="2"/>
        <v>145</v>
      </c>
      <c r="B146" s="81" t="s">
        <v>300</v>
      </c>
      <c r="C146" s="177" t="s">
        <v>301</v>
      </c>
      <c r="D146" s="147" t="s">
        <v>1116</v>
      </c>
      <c r="E146" s="124" t="s">
        <v>304</v>
      </c>
      <c r="F146" s="84" t="s">
        <v>48</v>
      </c>
      <c r="G146" s="82">
        <v>3</v>
      </c>
      <c r="H146" s="96" t="s">
        <v>49</v>
      </c>
      <c r="I146" s="82" t="s">
        <v>2</v>
      </c>
      <c r="J146" s="84" t="s">
        <v>1280</v>
      </c>
      <c r="K146" s="84"/>
      <c r="L146" s="84"/>
      <c r="M146" s="307" t="s">
        <v>49</v>
      </c>
    </row>
    <row r="147" spans="1:13" ht="31.5" hidden="1" customHeight="1" x14ac:dyDescent="0.2">
      <c r="A147" s="81">
        <f t="shared" si="2"/>
        <v>146</v>
      </c>
      <c r="B147" s="81" t="s">
        <v>300</v>
      </c>
      <c r="C147" s="177" t="s">
        <v>305</v>
      </c>
      <c r="D147" s="147" t="s">
        <v>1116</v>
      </c>
      <c r="E147" s="124" t="s">
        <v>306</v>
      </c>
      <c r="F147" s="84" t="s">
        <v>48</v>
      </c>
      <c r="G147" s="82">
        <v>3</v>
      </c>
      <c r="H147" s="96" t="s">
        <v>49</v>
      </c>
      <c r="I147" s="82" t="s">
        <v>2</v>
      </c>
      <c r="J147" s="84" t="s">
        <v>1280</v>
      </c>
      <c r="K147" s="84"/>
      <c r="L147" s="84"/>
      <c r="M147" s="307" t="s">
        <v>49</v>
      </c>
    </row>
    <row r="148" spans="1:13" ht="31.5" hidden="1" customHeight="1" x14ac:dyDescent="0.2">
      <c r="A148" s="81">
        <f t="shared" si="2"/>
        <v>147</v>
      </c>
      <c r="B148" s="81" t="s">
        <v>300</v>
      </c>
      <c r="C148" s="177" t="s">
        <v>305</v>
      </c>
      <c r="D148" s="147" t="s">
        <v>1116</v>
      </c>
      <c r="E148" s="124" t="s">
        <v>307</v>
      </c>
      <c r="F148" s="84" t="s">
        <v>48</v>
      </c>
      <c r="G148" s="82">
        <v>3</v>
      </c>
      <c r="H148" s="96" t="s">
        <v>49</v>
      </c>
      <c r="I148" s="82" t="s">
        <v>2</v>
      </c>
      <c r="J148" s="84" t="s">
        <v>1280</v>
      </c>
      <c r="K148" s="84"/>
      <c r="L148" s="84"/>
      <c r="M148" s="307" t="s">
        <v>49</v>
      </c>
    </row>
    <row r="149" spans="1:13" ht="31.5" hidden="1" customHeight="1" x14ac:dyDescent="0.2">
      <c r="A149" s="81">
        <f t="shared" si="2"/>
        <v>148</v>
      </c>
      <c r="B149" s="81" t="s">
        <v>300</v>
      </c>
      <c r="C149" s="177" t="s">
        <v>305</v>
      </c>
      <c r="D149" s="147" t="s">
        <v>1116</v>
      </c>
      <c r="E149" s="124" t="s">
        <v>308</v>
      </c>
      <c r="F149" s="84" t="s">
        <v>48</v>
      </c>
      <c r="G149" s="82">
        <v>3</v>
      </c>
      <c r="H149" s="96" t="s">
        <v>49</v>
      </c>
      <c r="I149" s="82" t="s">
        <v>2</v>
      </c>
      <c r="J149" s="84" t="s">
        <v>1280</v>
      </c>
      <c r="K149" s="84"/>
      <c r="L149" s="84"/>
      <c r="M149" s="307" t="s">
        <v>49</v>
      </c>
    </row>
    <row r="150" spans="1:13" ht="31.5" hidden="1" customHeight="1" x14ac:dyDescent="0.2">
      <c r="A150" s="81">
        <f t="shared" si="2"/>
        <v>149</v>
      </c>
      <c r="B150" s="81" t="s">
        <v>143</v>
      </c>
      <c r="C150" s="177" t="s">
        <v>309</v>
      </c>
      <c r="D150" s="98" t="s">
        <v>310</v>
      </c>
      <c r="E150" s="267" t="s">
        <v>311</v>
      </c>
      <c r="F150" s="84" t="s">
        <v>48</v>
      </c>
      <c r="G150" s="82">
        <v>3</v>
      </c>
      <c r="H150" s="96" t="s">
        <v>49</v>
      </c>
      <c r="I150" s="82" t="s">
        <v>2</v>
      </c>
      <c r="J150" s="84" t="s">
        <v>312</v>
      </c>
      <c r="K150" s="84"/>
      <c r="L150" s="84"/>
      <c r="M150" s="307" t="s">
        <v>49</v>
      </c>
    </row>
    <row r="151" spans="1:13" ht="31.5" hidden="1" customHeight="1" x14ac:dyDescent="0.2">
      <c r="A151" s="81">
        <f t="shared" si="2"/>
        <v>150</v>
      </c>
      <c r="B151" s="81" t="s">
        <v>143</v>
      </c>
      <c r="C151" s="177" t="s">
        <v>309</v>
      </c>
      <c r="D151" s="98" t="s">
        <v>310</v>
      </c>
      <c r="E151" s="98" t="s">
        <v>313</v>
      </c>
      <c r="F151" s="84" t="s">
        <v>48</v>
      </c>
      <c r="G151" s="82">
        <v>3</v>
      </c>
      <c r="H151" s="96" t="s">
        <v>49</v>
      </c>
      <c r="I151" s="82" t="s">
        <v>2</v>
      </c>
      <c r="J151" s="84" t="s">
        <v>312</v>
      </c>
      <c r="K151" s="84"/>
      <c r="L151" s="84"/>
      <c r="M151" s="307" t="s">
        <v>49</v>
      </c>
    </row>
    <row r="152" spans="1:13" ht="31.5" hidden="1" customHeight="1" x14ac:dyDescent="0.2">
      <c r="A152" s="81">
        <f t="shared" si="2"/>
        <v>151</v>
      </c>
      <c r="B152" s="81" t="s">
        <v>143</v>
      </c>
      <c r="C152" s="177" t="s">
        <v>309</v>
      </c>
      <c r="D152" s="98" t="s">
        <v>314</v>
      </c>
      <c r="E152" s="278" t="s">
        <v>315</v>
      </c>
      <c r="F152" s="84" t="s">
        <v>48</v>
      </c>
      <c r="G152" s="82">
        <v>3</v>
      </c>
      <c r="H152" s="96" t="s">
        <v>49</v>
      </c>
      <c r="I152" s="82" t="s">
        <v>2</v>
      </c>
      <c r="J152" s="84" t="s">
        <v>316</v>
      </c>
      <c r="K152" s="84"/>
      <c r="L152" s="84"/>
      <c r="M152" s="307" t="s">
        <v>49</v>
      </c>
    </row>
    <row r="153" spans="1:13" ht="31.5" hidden="1" customHeight="1" x14ac:dyDescent="0.2">
      <c r="A153" s="81">
        <f t="shared" si="2"/>
        <v>152</v>
      </c>
      <c r="B153" s="81" t="s">
        <v>143</v>
      </c>
      <c r="C153" s="177" t="s">
        <v>309</v>
      </c>
      <c r="D153" s="98" t="s">
        <v>314</v>
      </c>
      <c r="E153" s="267" t="s">
        <v>317</v>
      </c>
      <c r="F153" s="84" t="s">
        <v>48</v>
      </c>
      <c r="G153" s="82">
        <v>3</v>
      </c>
      <c r="H153" s="96" t="s">
        <v>49</v>
      </c>
      <c r="I153" s="82" t="s">
        <v>2</v>
      </c>
      <c r="J153" s="84" t="s">
        <v>316</v>
      </c>
      <c r="K153" s="84"/>
      <c r="L153" s="84"/>
      <c r="M153" s="307" t="s">
        <v>49</v>
      </c>
    </row>
    <row r="154" spans="1:13" ht="31.5" hidden="1" customHeight="1" x14ac:dyDescent="0.2">
      <c r="A154" s="81">
        <f t="shared" si="2"/>
        <v>153</v>
      </c>
      <c r="B154" s="81" t="s">
        <v>143</v>
      </c>
      <c r="C154" s="177" t="s">
        <v>318</v>
      </c>
      <c r="D154" s="98" t="s">
        <v>319</v>
      </c>
      <c r="E154" s="98" t="s">
        <v>320</v>
      </c>
      <c r="F154" s="84" t="s">
        <v>48</v>
      </c>
      <c r="G154" s="82">
        <v>3</v>
      </c>
      <c r="H154" s="96" t="s">
        <v>49</v>
      </c>
      <c r="I154" s="82" t="s">
        <v>2</v>
      </c>
      <c r="J154" s="84" t="s">
        <v>321</v>
      </c>
      <c r="K154" s="84"/>
      <c r="L154" s="84"/>
      <c r="M154" s="307" t="s">
        <v>49</v>
      </c>
    </row>
    <row r="155" spans="1:13" ht="31.5" hidden="1" customHeight="1" x14ac:dyDescent="0.2">
      <c r="A155" s="81">
        <f t="shared" si="2"/>
        <v>154</v>
      </c>
      <c r="B155" s="81" t="s">
        <v>143</v>
      </c>
      <c r="C155" s="177" t="s">
        <v>318</v>
      </c>
      <c r="D155" s="98" t="s">
        <v>319</v>
      </c>
      <c r="E155" s="98" t="s">
        <v>322</v>
      </c>
      <c r="F155" s="84" t="s">
        <v>48</v>
      </c>
      <c r="G155" s="82">
        <v>3</v>
      </c>
      <c r="H155" s="96" t="s">
        <v>49</v>
      </c>
      <c r="I155" s="82" t="s">
        <v>2</v>
      </c>
      <c r="J155" s="84" t="s">
        <v>321</v>
      </c>
      <c r="K155" s="84"/>
      <c r="L155" s="84"/>
      <c r="M155" s="307" t="s">
        <v>49</v>
      </c>
    </row>
    <row r="156" spans="1:13" ht="31.5" hidden="1" customHeight="1" x14ac:dyDescent="0.2">
      <c r="A156" s="81">
        <f t="shared" si="2"/>
        <v>155</v>
      </c>
      <c r="B156" s="81" t="s">
        <v>143</v>
      </c>
      <c r="C156" s="177" t="s">
        <v>318</v>
      </c>
      <c r="D156" s="98" t="s">
        <v>319</v>
      </c>
      <c r="E156" s="98" t="s">
        <v>323</v>
      </c>
      <c r="F156" s="84" t="s">
        <v>48</v>
      </c>
      <c r="G156" s="82">
        <v>3</v>
      </c>
      <c r="H156" s="96" t="s">
        <v>49</v>
      </c>
      <c r="I156" s="82" t="s">
        <v>2</v>
      </c>
      <c r="J156" s="84" t="s">
        <v>321</v>
      </c>
      <c r="K156" s="84"/>
      <c r="L156" s="84"/>
      <c r="M156" s="307" t="s">
        <v>49</v>
      </c>
    </row>
    <row r="157" spans="1:13" ht="31.5" hidden="1" customHeight="1" x14ac:dyDescent="0.2">
      <c r="A157" s="81">
        <f t="shared" si="2"/>
        <v>156</v>
      </c>
      <c r="B157" s="81" t="s">
        <v>143</v>
      </c>
      <c r="C157" s="177" t="s">
        <v>324</v>
      </c>
      <c r="D157" s="98" t="s">
        <v>325</v>
      </c>
      <c r="E157" s="98" t="s">
        <v>326</v>
      </c>
      <c r="F157" s="84" t="s">
        <v>48</v>
      </c>
      <c r="G157" s="82">
        <v>3</v>
      </c>
      <c r="H157" s="96" t="s">
        <v>49</v>
      </c>
      <c r="I157" s="82" t="s">
        <v>2</v>
      </c>
      <c r="J157" s="84" t="s">
        <v>327</v>
      </c>
      <c r="K157" s="84"/>
      <c r="L157" s="84"/>
      <c r="M157" s="307" t="s">
        <v>49</v>
      </c>
    </row>
    <row r="158" spans="1:13" ht="31.5" hidden="1" customHeight="1" x14ac:dyDescent="0.2">
      <c r="A158" s="81">
        <f t="shared" si="2"/>
        <v>157</v>
      </c>
      <c r="B158" s="81" t="s">
        <v>143</v>
      </c>
      <c r="C158" s="177" t="s">
        <v>324</v>
      </c>
      <c r="D158" s="110" t="s">
        <v>325</v>
      </c>
      <c r="E158" s="98" t="s">
        <v>328</v>
      </c>
      <c r="F158" s="84" t="s">
        <v>48</v>
      </c>
      <c r="G158" s="82">
        <v>3</v>
      </c>
      <c r="H158" s="96" t="s">
        <v>49</v>
      </c>
      <c r="I158" s="82" t="s">
        <v>2</v>
      </c>
      <c r="J158" s="84" t="s">
        <v>327</v>
      </c>
      <c r="K158" s="84"/>
      <c r="L158" s="84"/>
      <c r="M158" s="307" t="s">
        <v>49</v>
      </c>
    </row>
    <row r="159" spans="1:13" ht="31.5" hidden="1" customHeight="1" x14ac:dyDescent="0.2">
      <c r="A159" s="81">
        <f t="shared" si="2"/>
        <v>158</v>
      </c>
      <c r="B159" s="81" t="s">
        <v>64</v>
      </c>
      <c r="C159" s="177" t="s">
        <v>329</v>
      </c>
      <c r="D159" s="163" t="s">
        <v>330</v>
      </c>
      <c r="E159" s="98" t="s">
        <v>330</v>
      </c>
      <c r="F159" s="84" t="s">
        <v>48</v>
      </c>
      <c r="G159" s="82">
        <v>3</v>
      </c>
      <c r="H159" s="96" t="s">
        <v>49</v>
      </c>
      <c r="I159" s="82" t="s">
        <v>2</v>
      </c>
      <c r="J159" s="84" t="s">
        <v>330</v>
      </c>
      <c r="K159" s="175"/>
      <c r="L159" s="84"/>
      <c r="M159" s="307" t="s">
        <v>49</v>
      </c>
    </row>
    <row r="160" spans="1:13" ht="31.5" hidden="1" customHeight="1" x14ac:dyDescent="0.2">
      <c r="A160" s="81">
        <f t="shared" si="2"/>
        <v>159</v>
      </c>
      <c r="B160" s="81" t="s">
        <v>300</v>
      </c>
      <c r="C160" s="177" t="s">
        <v>331</v>
      </c>
      <c r="D160" s="98" t="s">
        <v>332</v>
      </c>
      <c r="E160" s="124" t="s">
        <v>333</v>
      </c>
      <c r="F160" s="84" t="s">
        <v>48</v>
      </c>
      <c r="G160" s="82">
        <v>3</v>
      </c>
      <c r="H160" s="96" t="s">
        <v>49</v>
      </c>
      <c r="I160" s="82" t="s">
        <v>2</v>
      </c>
      <c r="J160" s="84" t="s">
        <v>333</v>
      </c>
      <c r="K160" s="84"/>
      <c r="L160" s="84"/>
      <c r="M160" s="307" t="s">
        <v>49</v>
      </c>
    </row>
    <row r="161" spans="1:13" ht="31.5" hidden="1" customHeight="1" x14ac:dyDescent="0.2">
      <c r="A161" s="81">
        <f t="shared" si="2"/>
        <v>160</v>
      </c>
      <c r="B161" s="81" t="s">
        <v>143</v>
      </c>
      <c r="C161" s="177" t="s">
        <v>334</v>
      </c>
      <c r="D161" s="123" t="s">
        <v>271</v>
      </c>
      <c r="E161" s="305" t="s">
        <v>335</v>
      </c>
      <c r="F161" s="84" t="s">
        <v>48</v>
      </c>
      <c r="G161" s="82">
        <v>3</v>
      </c>
      <c r="H161" s="96" t="s">
        <v>49</v>
      </c>
      <c r="I161" s="82" t="s">
        <v>2</v>
      </c>
      <c r="J161" s="84" t="s">
        <v>273</v>
      </c>
      <c r="K161" s="84"/>
      <c r="L161" s="84"/>
      <c r="M161" s="307" t="s">
        <v>49</v>
      </c>
    </row>
    <row r="162" spans="1:13" ht="31.5" hidden="1" customHeight="1" x14ac:dyDescent="0.2">
      <c r="A162" s="81">
        <f t="shared" si="2"/>
        <v>161</v>
      </c>
      <c r="B162" s="81" t="s">
        <v>143</v>
      </c>
      <c r="C162" s="177" t="s">
        <v>334</v>
      </c>
      <c r="D162" s="98" t="s">
        <v>319</v>
      </c>
      <c r="E162" s="98" t="s">
        <v>336</v>
      </c>
      <c r="F162" s="84" t="s">
        <v>48</v>
      </c>
      <c r="G162" s="82">
        <v>3</v>
      </c>
      <c r="H162" s="96" t="s">
        <v>49</v>
      </c>
      <c r="I162" s="82" t="s">
        <v>2</v>
      </c>
      <c r="J162" s="84" t="s">
        <v>321</v>
      </c>
      <c r="K162" s="84"/>
      <c r="L162" s="84"/>
      <c r="M162" s="307" t="s">
        <v>49</v>
      </c>
    </row>
    <row r="163" spans="1:13" ht="31.5" hidden="1" customHeight="1" x14ac:dyDescent="0.2">
      <c r="A163" s="81">
        <f t="shared" si="2"/>
        <v>162</v>
      </c>
      <c r="B163" s="81" t="s">
        <v>143</v>
      </c>
      <c r="C163" s="177" t="s">
        <v>334</v>
      </c>
      <c r="D163" s="98" t="s">
        <v>225</v>
      </c>
      <c r="E163" s="98" t="s">
        <v>337</v>
      </c>
      <c r="F163" s="84" t="s">
        <v>48</v>
      </c>
      <c r="G163" s="82">
        <v>3</v>
      </c>
      <c r="H163" s="96" t="s">
        <v>49</v>
      </c>
      <c r="I163" s="82" t="s">
        <v>2</v>
      </c>
      <c r="J163" s="84" t="s">
        <v>227</v>
      </c>
      <c r="K163" s="84"/>
      <c r="L163" s="84"/>
      <c r="M163" s="307" t="s">
        <v>49</v>
      </c>
    </row>
    <row r="164" spans="1:13" ht="31.5" hidden="1" customHeight="1" x14ac:dyDescent="0.2">
      <c r="A164" s="81">
        <f t="shared" si="2"/>
        <v>163</v>
      </c>
      <c r="B164" s="81" t="s">
        <v>143</v>
      </c>
      <c r="C164" s="170" t="s">
        <v>334</v>
      </c>
      <c r="D164" s="98" t="s">
        <v>173</v>
      </c>
      <c r="E164" s="98" t="s">
        <v>338</v>
      </c>
      <c r="F164" s="84" t="s">
        <v>48</v>
      </c>
      <c r="G164" s="82">
        <v>3</v>
      </c>
      <c r="H164" s="96" t="s">
        <v>49</v>
      </c>
      <c r="I164" s="82" t="s">
        <v>2</v>
      </c>
      <c r="J164" s="84" t="s">
        <v>175</v>
      </c>
      <c r="K164" s="84"/>
      <c r="L164" s="84"/>
      <c r="M164" s="307" t="s">
        <v>49</v>
      </c>
    </row>
    <row r="165" spans="1:13" ht="31.5" hidden="1" customHeight="1" x14ac:dyDescent="0.2">
      <c r="A165" s="81">
        <f t="shared" si="2"/>
        <v>164</v>
      </c>
      <c r="B165" s="81" t="s">
        <v>300</v>
      </c>
      <c r="C165" s="177" t="s">
        <v>339</v>
      </c>
      <c r="D165" s="98" t="s">
        <v>340</v>
      </c>
      <c r="E165" s="124" t="s">
        <v>341</v>
      </c>
      <c r="F165" s="84" t="s">
        <v>48</v>
      </c>
      <c r="G165" s="82">
        <v>5</v>
      </c>
      <c r="H165" s="96" t="s">
        <v>49</v>
      </c>
      <c r="I165" s="82" t="s">
        <v>2</v>
      </c>
      <c r="J165" s="84" t="s">
        <v>342</v>
      </c>
      <c r="K165" s="84"/>
      <c r="L165" s="84"/>
      <c r="M165" s="307" t="s">
        <v>49</v>
      </c>
    </row>
    <row r="166" spans="1:13" ht="31.5" hidden="1" customHeight="1" x14ac:dyDescent="0.2">
      <c r="A166" s="81">
        <f t="shared" si="2"/>
        <v>165</v>
      </c>
      <c r="B166" s="81" t="s">
        <v>300</v>
      </c>
      <c r="C166" s="177" t="s">
        <v>343</v>
      </c>
      <c r="D166" s="98" t="s">
        <v>340</v>
      </c>
      <c r="E166" s="124" t="s">
        <v>344</v>
      </c>
      <c r="F166" s="84" t="s">
        <v>48</v>
      </c>
      <c r="G166" s="82">
        <v>5</v>
      </c>
      <c r="H166" s="96" t="s">
        <v>49</v>
      </c>
      <c r="I166" s="82" t="s">
        <v>2</v>
      </c>
      <c r="J166" s="84" t="s">
        <v>342</v>
      </c>
      <c r="K166" s="84"/>
      <c r="L166" s="84"/>
      <c r="M166" s="307" t="s">
        <v>49</v>
      </c>
    </row>
    <row r="167" spans="1:13" ht="31.5" hidden="1" customHeight="1" x14ac:dyDescent="0.2">
      <c r="A167" s="81">
        <f t="shared" si="2"/>
        <v>166</v>
      </c>
      <c r="B167" s="81" t="s">
        <v>300</v>
      </c>
      <c r="C167" s="177" t="s">
        <v>343</v>
      </c>
      <c r="D167" s="98" t="s">
        <v>340</v>
      </c>
      <c r="E167" s="124" t="s">
        <v>345</v>
      </c>
      <c r="F167" s="84" t="s">
        <v>48</v>
      </c>
      <c r="G167" s="82">
        <v>5</v>
      </c>
      <c r="H167" s="96" t="s">
        <v>49</v>
      </c>
      <c r="I167" s="82" t="s">
        <v>2</v>
      </c>
      <c r="J167" s="84" t="s">
        <v>342</v>
      </c>
      <c r="K167" s="84"/>
      <c r="L167" s="84"/>
      <c r="M167" s="307" t="s">
        <v>49</v>
      </c>
    </row>
    <row r="168" spans="1:13" ht="31.5" hidden="1" customHeight="1" x14ac:dyDescent="0.2">
      <c r="A168" s="81">
        <f t="shared" si="2"/>
        <v>167</v>
      </c>
      <c r="B168" s="81" t="s">
        <v>300</v>
      </c>
      <c r="C168" s="177" t="s">
        <v>346</v>
      </c>
      <c r="D168" s="98" t="s">
        <v>347</v>
      </c>
      <c r="E168" s="98" t="s">
        <v>348</v>
      </c>
      <c r="F168" s="84" t="s">
        <v>48</v>
      </c>
      <c r="G168" s="82">
        <v>5</v>
      </c>
      <c r="H168" s="96" t="s">
        <v>49</v>
      </c>
      <c r="I168" s="82" t="s">
        <v>2</v>
      </c>
      <c r="J168" s="84" t="s">
        <v>349</v>
      </c>
      <c r="K168" s="84"/>
      <c r="L168" s="84"/>
      <c r="M168" s="307" t="s">
        <v>49</v>
      </c>
    </row>
    <row r="169" spans="1:13" ht="31.5" hidden="1" customHeight="1" x14ac:dyDescent="0.2">
      <c r="A169" s="81">
        <f t="shared" si="2"/>
        <v>168</v>
      </c>
      <c r="B169" s="81" t="s">
        <v>300</v>
      </c>
      <c r="C169" s="177" t="s">
        <v>346</v>
      </c>
      <c r="D169" s="98" t="s">
        <v>347</v>
      </c>
      <c r="E169" s="98" t="s">
        <v>350</v>
      </c>
      <c r="F169" s="84" t="s">
        <v>48</v>
      </c>
      <c r="G169" s="82">
        <v>5</v>
      </c>
      <c r="H169" s="96" t="s">
        <v>49</v>
      </c>
      <c r="I169" s="82" t="s">
        <v>2</v>
      </c>
      <c r="J169" s="84" t="s">
        <v>349</v>
      </c>
      <c r="K169" s="84"/>
      <c r="L169" s="84"/>
      <c r="M169" s="307" t="s">
        <v>49</v>
      </c>
    </row>
    <row r="170" spans="1:13" ht="31.5" hidden="1" customHeight="1" x14ac:dyDescent="0.2">
      <c r="A170" s="81">
        <f t="shared" si="2"/>
        <v>169</v>
      </c>
      <c r="B170" s="81" t="s">
        <v>300</v>
      </c>
      <c r="C170" s="177" t="s">
        <v>351</v>
      </c>
      <c r="D170" s="157" t="s">
        <v>1683</v>
      </c>
      <c r="E170" s="98" t="s">
        <v>352</v>
      </c>
      <c r="F170" s="84" t="s">
        <v>48</v>
      </c>
      <c r="G170" s="82">
        <v>5</v>
      </c>
      <c r="H170" s="96" t="s">
        <v>49</v>
      </c>
      <c r="I170" s="82" t="s">
        <v>2</v>
      </c>
      <c r="J170" s="84" t="s">
        <v>1684</v>
      </c>
      <c r="K170" s="84"/>
      <c r="L170" s="84"/>
      <c r="M170" s="307" t="s">
        <v>49</v>
      </c>
    </row>
    <row r="171" spans="1:13" ht="31.5" hidden="1" customHeight="1" x14ac:dyDescent="0.2">
      <c r="A171" s="81">
        <f t="shared" si="2"/>
        <v>170</v>
      </c>
      <c r="B171" s="81" t="s">
        <v>300</v>
      </c>
      <c r="C171" s="177" t="s">
        <v>353</v>
      </c>
      <c r="D171" s="157" t="s">
        <v>1683</v>
      </c>
      <c r="E171" s="98" t="s">
        <v>354</v>
      </c>
      <c r="F171" s="84" t="s">
        <v>48</v>
      </c>
      <c r="G171" s="82">
        <v>5</v>
      </c>
      <c r="H171" s="96" t="s">
        <v>49</v>
      </c>
      <c r="I171" s="82" t="s">
        <v>2</v>
      </c>
      <c r="J171" s="84" t="s">
        <v>1684</v>
      </c>
      <c r="K171" s="84"/>
      <c r="L171" s="84"/>
      <c r="M171" s="307" t="s">
        <v>49</v>
      </c>
    </row>
    <row r="172" spans="1:13" ht="31.5" hidden="1" customHeight="1" x14ac:dyDescent="0.2">
      <c r="A172" s="81">
        <f t="shared" si="2"/>
        <v>171</v>
      </c>
      <c r="B172" s="81" t="s">
        <v>300</v>
      </c>
      <c r="C172" s="177" t="s">
        <v>353</v>
      </c>
      <c r="D172" s="157" t="s">
        <v>1683</v>
      </c>
      <c r="E172" s="98" t="s">
        <v>355</v>
      </c>
      <c r="F172" s="84" t="s">
        <v>48</v>
      </c>
      <c r="G172" s="82">
        <v>5</v>
      </c>
      <c r="H172" s="96" t="s">
        <v>49</v>
      </c>
      <c r="I172" s="82" t="s">
        <v>2</v>
      </c>
      <c r="J172" s="84" t="s">
        <v>1684</v>
      </c>
      <c r="K172" s="84"/>
      <c r="L172" s="84"/>
      <c r="M172" s="307" t="s">
        <v>49</v>
      </c>
    </row>
    <row r="173" spans="1:13" ht="31.5" hidden="1" customHeight="1" x14ac:dyDescent="0.2">
      <c r="A173" s="81">
        <f t="shared" si="2"/>
        <v>172</v>
      </c>
      <c r="B173" s="81" t="s">
        <v>300</v>
      </c>
      <c r="C173" s="177" t="s">
        <v>356</v>
      </c>
      <c r="D173" s="164" t="s">
        <v>357</v>
      </c>
      <c r="E173" s="115" t="s">
        <v>358</v>
      </c>
      <c r="F173" s="99" t="s">
        <v>48</v>
      </c>
      <c r="G173" s="82">
        <v>5</v>
      </c>
      <c r="H173" s="96" t="s">
        <v>49</v>
      </c>
      <c r="I173" s="82" t="s">
        <v>2</v>
      </c>
      <c r="J173" s="84" t="s">
        <v>359</v>
      </c>
      <c r="K173" s="84"/>
      <c r="L173" s="84"/>
      <c r="M173" s="307" t="s">
        <v>49</v>
      </c>
    </row>
    <row r="174" spans="1:13" ht="31.5" hidden="1" customHeight="1" x14ac:dyDescent="0.2">
      <c r="A174" s="81">
        <f t="shared" si="2"/>
        <v>173</v>
      </c>
      <c r="B174" s="81" t="s">
        <v>300</v>
      </c>
      <c r="C174" s="177" t="s">
        <v>356</v>
      </c>
      <c r="D174" s="98" t="s">
        <v>357</v>
      </c>
      <c r="E174" s="98" t="s">
        <v>360</v>
      </c>
      <c r="F174" s="99" t="s">
        <v>48</v>
      </c>
      <c r="G174" s="82">
        <v>5</v>
      </c>
      <c r="H174" s="96" t="s">
        <v>49</v>
      </c>
      <c r="I174" s="82" t="s">
        <v>2</v>
      </c>
      <c r="J174" s="84" t="s">
        <v>359</v>
      </c>
      <c r="K174" s="84"/>
      <c r="L174" s="84"/>
      <c r="M174" s="307" t="s">
        <v>49</v>
      </c>
    </row>
    <row r="175" spans="1:13" ht="31.5" hidden="1" customHeight="1" x14ac:dyDescent="0.2">
      <c r="A175" s="81">
        <f t="shared" si="2"/>
        <v>174</v>
      </c>
      <c r="B175" s="81" t="s">
        <v>300</v>
      </c>
      <c r="C175" s="177" t="s">
        <v>361</v>
      </c>
      <c r="D175" s="154" t="s">
        <v>1326</v>
      </c>
      <c r="E175" s="98" t="s">
        <v>362</v>
      </c>
      <c r="F175" s="99" t="s">
        <v>48</v>
      </c>
      <c r="G175" s="82">
        <v>5</v>
      </c>
      <c r="H175" s="96" t="s">
        <v>49</v>
      </c>
      <c r="I175" s="82" t="s">
        <v>2</v>
      </c>
      <c r="J175" s="84" t="s">
        <v>1547</v>
      </c>
      <c r="K175" s="84"/>
      <c r="L175" s="84"/>
      <c r="M175" s="307" t="s">
        <v>49</v>
      </c>
    </row>
    <row r="176" spans="1:13" ht="31.5" hidden="1" customHeight="1" x14ac:dyDescent="0.2">
      <c r="A176" s="81">
        <f t="shared" si="2"/>
        <v>175</v>
      </c>
      <c r="B176" s="81" t="s">
        <v>300</v>
      </c>
      <c r="C176" s="177" t="s">
        <v>361</v>
      </c>
      <c r="D176" s="154" t="s">
        <v>1326</v>
      </c>
      <c r="E176" s="98" t="s">
        <v>363</v>
      </c>
      <c r="F176" s="99" t="s">
        <v>48</v>
      </c>
      <c r="G176" s="82">
        <v>5</v>
      </c>
      <c r="H176" s="96" t="s">
        <v>49</v>
      </c>
      <c r="I176" s="82" t="s">
        <v>2</v>
      </c>
      <c r="J176" s="84" t="s">
        <v>1547</v>
      </c>
      <c r="K176" s="84"/>
      <c r="L176" s="84"/>
      <c r="M176" s="307" t="s">
        <v>49</v>
      </c>
    </row>
    <row r="177" spans="1:13" ht="31.5" hidden="1" customHeight="1" x14ac:dyDescent="0.2">
      <c r="A177" s="81">
        <f t="shared" si="2"/>
        <v>176</v>
      </c>
      <c r="B177" s="81" t="s">
        <v>300</v>
      </c>
      <c r="C177" s="177" t="s">
        <v>364</v>
      </c>
      <c r="D177" s="147" t="s">
        <v>1116</v>
      </c>
      <c r="E177" s="124" t="s">
        <v>365</v>
      </c>
      <c r="F177" s="84" t="s">
        <v>48</v>
      </c>
      <c r="G177" s="82">
        <v>5</v>
      </c>
      <c r="H177" s="96" t="s">
        <v>49</v>
      </c>
      <c r="I177" s="82" t="s">
        <v>2</v>
      </c>
      <c r="J177" s="84" t="s">
        <v>1280</v>
      </c>
      <c r="K177" s="84"/>
      <c r="L177" s="84"/>
      <c r="M177" s="307" t="s">
        <v>49</v>
      </c>
    </row>
    <row r="178" spans="1:13" ht="31.5" hidden="1" customHeight="1" x14ac:dyDescent="0.2">
      <c r="A178" s="81">
        <f t="shared" si="2"/>
        <v>177</v>
      </c>
      <c r="B178" s="81" t="s">
        <v>300</v>
      </c>
      <c r="C178" s="177" t="s">
        <v>364</v>
      </c>
      <c r="D178" s="147" t="s">
        <v>1116</v>
      </c>
      <c r="E178" s="124" t="s">
        <v>366</v>
      </c>
      <c r="F178" s="84" t="s">
        <v>48</v>
      </c>
      <c r="G178" s="82">
        <v>5</v>
      </c>
      <c r="H178" s="96" t="s">
        <v>49</v>
      </c>
      <c r="I178" s="82" t="s">
        <v>2</v>
      </c>
      <c r="J178" s="84" t="s">
        <v>1280</v>
      </c>
      <c r="K178" s="84"/>
      <c r="L178" s="84"/>
      <c r="M178" s="307" t="s">
        <v>49</v>
      </c>
    </row>
    <row r="179" spans="1:13" ht="31.5" hidden="1" customHeight="1" x14ac:dyDescent="0.2">
      <c r="A179" s="81">
        <f t="shared" si="2"/>
        <v>178</v>
      </c>
      <c r="B179" s="81" t="s">
        <v>300</v>
      </c>
      <c r="C179" s="177" t="s">
        <v>364</v>
      </c>
      <c r="D179" s="147" t="s">
        <v>1116</v>
      </c>
      <c r="E179" s="124" t="s">
        <v>367</v>
      </c>
      <c r="F179" s="84" t="s">
        <v>48</v>
      </c>
      <c r="G179" s="82">
        <v>5</v>
      </c>
      <c r="H179" s="96" t="s">
        <v>49</v>
      </c>
      <c r="I179" s="82" t="s">
        <v>2</v>
      </c>
      <c r="J179" s="84" t="s">
        <v>1280</v>
      </c>
      <c r="K179" s="84"/>
      <c r="L179" s="84"/>
      <c r="M179" s="307" t="s">
        <v>49</v>
      </c>
    </row>
    <row r="180" spans="1:13" ht="31.5" hidden="1" customHeight="1" x14ac:dyDescent="0.2">
      <c r="A180" s="81">
        <f t="shared" si="2"/>
        <v>179</v>
      </c>
      <c r="B180" s="81" t="s">
        <v>300</v>
      </c>
      <c r="C180" s="177" t="s">
        <v>368</v>
      </c>
      <c r="D180" s="149" t="s">
        <v>1118</v>
      </c>
      <c r="E180" s="98" t="s">
        <v>369</v>
      </c>
      <c r="F180" s="99" t="s">
        <v>48</v>
      </c>
      <c r="G180" s="82">
        <v>5</v>
      </c>
      <c r="H180" s="96" t="s">
        <v>49</v>
      </c>
      <c r="I180" s="82" t="s">
        <v>2</v>
      </c>
      <c r="J180" s="84" t="s">
        <v>1281</v>
      </c>
      <c r="K180" s="84"/>
      <c r="L180" s="84"/>
      <c r="M180" s="307" t="s">
        <v>49</v>
      </c>
    </row>
    <row r="181" spans="1:13" ht="31.5" hidden="1" customHeight="1" x14ac:dyDescent="0.2">
      <c r="A181" s="81">
        <f t="shared" si="2"/>
        <v>180</v>
      </c>
      <c r="B181" s="81" t="s">
        <v>300</v>
      </c>
      <c r="C181" s="177" t="s">
        <v>368</v>
      </c>
      <c r="D181" s="149" t="s">
        <v>1118</v>
      </c>
      <c r="E181" s="98" t="s">
        <v>370</v>
      </c>
      <c r="F181" s="99" t="s">
        <v>48</v>
      </c>
      <c r="G181" s="82">
        <v>5</v>
      </c>
      <c r="H181" s="96" t="s">
        <v>49</v>
      </c>
      <c r="I181" s="82" t="s">
        <v>2</v>
      </c>
      <c r="J181" s="84" t="s">
        <v>1281</v>
      </c>
      <c r="K181" s="84"/>
      <c r="L181" s="84"/>
      <c r="M181" s="307" t="s">
        <v>49</v>
      </c>
    </row>
    <row r="182" spans="1:13" ht="31.5" hidden="1" customHeight="1" x14ac:dyDescent="0.2">
      <c r="A182" s="81">
        <f t="shared" si="2"/>
        <v>181</v>
      </c>
      <c r="B182" s="81" t="s">
        <v>300</v>
      </c>
      <c r="C182" s="177" t="s">
        <v>371</v>
      </c>
      <c r="D182" s="149" t="s">
        <v>1118</v>
      </c>
      <c r="E182" s="98" t="s">
        <v>372</v>
      </c>
      <c r="F182" s="99" t="s">
        <v>48</v>
      </c>
      <c r="G182" s="82">
        <v>5</v>
      </c>
      <c r="H182" s="96" t="s">
        <v>49</v>
      </c>
      <c r="I182" s="82" t="s">
        <v>2</v>
      </c>
      <c r="J182" s="84" t="s">
        <v>1281</v>
      </c>
      <c r="K182" s="84"/>
      <c r="L182" s="84"/>
      <c r="M182" s="307" t="s">
        <v>49</v>
      </c>
    </row>
    <row r="183" spans="1:13" ht="31.5" hidden="1" customHeight="1" x14ac:dyDescent="0.2">
      <c r="A183" s="81">
        <f t="shared" si="2"/>
        <v>182</v>
      </c>
      <c r="B183" s="81" t="s">
        <v>143</v>
      </c>
      <c r="C183" s="177" t="s">
        <v>373</v>
      </c>
      <c r="D183" s="98" t="s">
        <v>319</v>
      </c>
      <c r="E183" s="98" t="s">
        <v>374</v>
      </c>
      <c r="F183" s="84" t="s">
        <v>48</v>
      </c>
      <c r="G183" s="82">
        <v>5</v>
      </c>
      <c r="H183" s="96" t="s">
        <v>49</v>
      </c>
      <c r="I183" s="82" t="s">
        <v>2</v>
      </c>
      <c r="J183" s="84" t="s">
        <v>321</v>
      </c>
      <c r="K183" s="84"/>
      <c r="L183" s="84"/>
      <c r="M183" s="307" t="s">
        <v>49</v>
      </c>
    </row>
    <row r="184" spans="1:13" ht="31.5" hidden="1" customHeight="1" x14ac:dyDescent="0.2">
      <c r="A184" s="81">
        <f t="shared" si="2"/>
        <v>183</v>
      </c>
      <c r="B184" s="81" t="s">
        <v>143</v>
      </c>
      <c r="C184" s="177" t="s">
        <v>373</v>
      </c>
      <c r="D184" s="98" t="s">
        <v>279</v>
      </c>
      <c r="E184" s="98" t="s">
        <v>375</v>
      </c>
      <c r="F184" s="84" t="s">
        <v>48</v>
      </c>
      <c r="G184" s="82">
        <v>5</v>
      </c>
      <c r="H184" s="96" t="s">
        <v>49</v>
      </c>
      <c r="I184" s="82" t="s">
        <v>2</v>
      </c>
      <c r="J184" s="84" t="s">
        <v>375</v>
      </c>
      <c r="K184" s="84"/>
      <c r="L184" s="84"/>
      <c r="M184" s="307" t="s">
        <v>49</v>
      </c>
    </row>
    <row r="185" spans="1:13" ht="31.5" hidden="1" customHeight="1" x14ac:dyDescent="0.2">
      <c r="A185" s="81">
        <f t="shared" si="2"/>
        <v>184</v>
      </c>
      <c r="B185" s="81" t="s">
        <v>143</v>
      </c>
      <c r="C185" s="177" t="s">
        <v>376</v>
      </c>
      <c r="D185" s="98" t="s">
        <v>377</v>
      </c>
      <c r="E185" s="98" t="s">
        <v>378</v>
      </c>
      <c r="F185" s="84" t="s">
        <v>48</v>
      </c>
      <c r="G185" s="82">
        <v>5</v>
      </c>
      <c r="H185" s="96" t="s">
        <v>49</v>
      </c>
      <c r="I185" s="82" t="s">
        <v>2</v>
      </c>
      <c r="J185" s="84" t="s">
        <v>379</v>
      </c>
      <c r="K185" s="84"/>
      <c r="L185" s="84"/>
      <c r="M185" s="307" t="s">
        <v>49</v>
      </c>
    </row>
    <row r="186" spans="1:13" ht="31.5" hidden="1" customHeight="1" x14ac:dyDescent="0.2">
      <c r="A186" s="81">
        <f t="shared" si="2"/>
        <v>185</v>
      </c>
      <c r="B186" s="81" t="s">
        <v>143</v>
      </c>
      <c r="C186" s="177" t="s">
        <v>376</v>
      </c>
      <c r="D186" s="98" t="s">
        <v>377</v>
      </c>
      <c r="E186" s="98" t="s">
        <v>380</v>
      </c>
      <c r="F186" s="84" t="s">
        <v>48</v>
      </c>
      <c r="G186" s="82">
        <v>5</v>
      </c>
      <c r="H186" s="96" t="s">
        <v>49</v>
      </c>
      <c r="I186" s="82" t="s">
        <v>2</v>
      </c>
      <c r="J186" s="84" t="s">
        <v>379</v>
      </c>
      <c r="K186" s="84"/>
      <c r="L186" s="84"/>
      <c r="M186" s="307" t="s">
        <v>49</v>
      </c>
    </row>
    <row r="187" spans="1:13" ht="31.5" hidden="1" customHeight="1" x14ac:dyDescent="0.2">
      <c r="A187" s="81">
        <f t="shared" si="2"/>
        <v>186</v>
      </c>
      <c r="B187" s="81" t="s">
        <v>143</v>
      </c>
      <c r="C187" s="177" t="s">
        <v>381</v>
      </c>
      <c r="D187" s="168" t="s">
        <v>382</v>
      </c>
      <c r="E187" s="98" t="s">
        <v>383</v>
      </c>
      <c r="F187" s="84" t="s">
        <v>48</v>
      </c>
      <c r="G187" s="82">
        <v>5</v>
      </c>
      <c r="H187" s="96" t="s">
        <v>49</v>
      </c>
      <c r="I187" s="82" t="s">
        <v>889</v>
      </c>
      <c r="J187" s="84" t="s">
        <v>384</v>
      </c>
      <c r="K187" s="180" t="s">
        <v>1710</v>
      </c>
      <c r="L187" s="84"/>
      <c r="M187" s="307" t="s">
        <v>49</v>
      </c>
    </row>
    <row r="188" spans="1:13" ht="31.5" hidden="1" customHeight="1" x14ac:dyDescent="0.2">
      <c r="A188" s="81">
        <f t="shared" si="2"/>
        <v>187</v>
      </c>
      <c r="B188" s="81" t="s">
        <v>143</v>
      </c>
      <c r="C188" s="177" t="s">
        <v>381</v>
      </c>
      <c r="D188" s="168" t="s">
        <v>382</v>
      </c>
      <c r="E188" s="98" t="s">
        <v>385</v>
      </c>
      <c r="F188" s="84" t="s">
        <v>48</v>
      </c>
      <c r="G188" s="82">
        <v>5</v>
      </c>
      <c r="H188" s="96" t="s">
        <v>49</v>
      </c>
      <c r="I188" s="82" t="s">
        <v>889</v>
      </c>
      <c r="J188" s="84" t="s">
        <v>384</v>
      </c>
      <c r="K188" s="180" t="s">
        <v>1710</v>
      </c>
      <c r="L188" s="84"/>
      <c r="M188" s="307" t="s">
        <v>49</v>
      </c>
    </row>
    <row r="189" spans="1:13" ht="31.5" hidden="1" customHeight="1" x14ac:dyDescent="0.2">
      <c r="A189" s="81">
        <f t="shared" si="2"/>
        <v>188</v>
      </c>
      <c r="B189" s="81" t="s">
        <v>300</v>
      </c>
      <c r="C189" s="177" t="s">
        <v>386</v>
      </c>
      <c r="D189" s="110" t="s">
        <v>387</v>
      </c>
      <c r="E189" s="98" t="s">
        <v>388</v>
      </c>
      <c r="F189" s="84" t="s">
        <v>48</v>
      </c>
      <c r="G189" s="82">
        <v>5</v>
      </c>
      <c r="H189" s="96" t="s">
        <v>49</v>
      </c>
      <c r="I189" s="82" t="s">
        <v>2</v>
      </c>
      <c r="J189" s="84" t="s">
        <v>388</v>
      </c>
      <c r="K189" s="84"/>
      <c r="L189" s="84"/>
      <c r="M189" s="307" t="s">
        <v>49</v>
      </c>
    </row>
    <row r="190" spans="1:13" ht="31.5" hidden="1" customHeight="1" x14ac:dyDescent="0.2">
      <c r="A190" s="81">
        <f t="shared" si="2"/>
        <v>189</v>
      </c>
      <c r="B190" s="81" t="s">
        <v>300</v>
      </c>
      <c r="C190" s="177" t="s">
        <v>389</v>
      </c>
      <c r="D190" s="98" t="s">
        <v>390</v>
      </c>
      <c r="E190" s="124" t="s">
        <v>391</v>
      </c>
      <c r="F190" s="84" t="s">
        <v>48</v>
      </c>
      <c r="G190" s="82">
        <v>5</v>
      </c>
      <c r="H190" s="96" t="s">
        <v>49</v>
      </c>
      <c r="I190" s="82" t="s">
        <v>2</v>
      </c>
      <c r="J190" s="84" t="s">
        <v>391</v>
      </c>
      <c r="K190" s="84"/>
      <c r="L190" s="84"/>
      <c r="M190" s="307" t="s">
        <v>49</v>
      </c>
    </row>
    <row r="191" spans="1:13" ht="31.5" hidden="1" customHeight="1" x14ac:dyDescent="0.2">
      <c r="A191" s="81">
        <f t="shared" si="2"/>
        <v>190</v>
      </c>
      <c r="B191" s="81" t="s">
        <v>300</v>
      </c>
      <c r="C191" s="177" t="s">
        <v>392</v>
      </c>
      <c r="D191" s="148" t="s">
        <v>1117</v>
      </c>
      <c r="E191" s="124" t="s">
        <v>393</v>
      </c>
      <c r="F191" s="84" t="s">
        <v>48</v>
      </c>
      <c r="G191" s="82">
        <v>5</v>
      </c>
      <c r="H191" s="96" t="s">
        <v>49</v>
      </c>
      <c r="I191" s="82" t="s">
        <v>2</v>
      </c>
      <c r="J191" s="84" t="s">
        <v>1282</v>
      </c>
      <c r="K191" s="84"/>
      <c r="L191" s="84"/>
      <c r="M191" s="307" t="s">
        <v>49</v>
      </c>
    </row>
    <row r="192" spans="1:13" ht="31.5" hidden="1" customHeight="1" x14ac:dyDescent="0.2">
      <c r="A192" s="81">
        <f t="shared" si="2"/>
        <v>191</v>
      </c>
      <c r="B192" s="81" t="s">
        <v>300</v>
      </c>
      <c r="C192" s="177" t="s">
        <v>392</v>
      </c>
      <c r="D192" s="148" t="s">
        <v>1117</v>
      </c>
      <c r="E192" s="124" t="s">
        <v>394</v>
      </c>
      <c r="F192" s="84" t="s">
        <v>48</v>
      </c>
      <c r="G192" s="82">
        <v>5</v>
      </c>
      <c r="H192" s="96" t="s">
        <v>49</v>
      </c>
      <c r="I192" s="82" t="s">
        <v>2</v>
      </c>
      <c r="J192" s="84" t="s">
        <v>1282</v>
      </c>
      <c r="K192" s="84"/>
      <c r="L192" s="84"/>
      <c r="M192" s="307" t="s">
        <v>49</v>
      </c>
    </row>
    <row r="193" spans="1:13" ht="31.5" hidden="1" customHeight="1" x14ac:dyDescent="0.2">
      <c r="A193" s="81">
        <f t="shared" si="2"/>
        <v>192</v>
      </c>
      <c r="B193" s="81" t="s">
        <v>300</v>
      </c>
      <c r="C193" s="177" t="s">
        <v>395</v>
      </c>
      <c r="D193" s="98" t="s">
        <v>396</v>
      </c>
      <c r="E193" s="124" t="s">
        <v>397</v>
      </c>
      <c r="F193" s="84" t="s">
        <v>48</v>
      </c>
      <c r="G193" s="82">
        <v>5</v>
      </c>
      <c r="H193" s="96" t="s">
        <v>49</v>
      </c>
      <c r="I193" s="82" t="s">
        <v>2</v>
      </c>
      <c r="J193" s="84" t="s">
        <v>398</v>
      </c>
      <c r="K193" s="84"/>
      <c r="L193" s="84"/>
      <c r="M193" s="307" t="s">
        <v>49</v>
      </c>
    </row>
    <row r="194" spans="1:13" ht="31.5" hidden="1" customHeight="1" x14ac:dyDescent="0.2">
      <c r="A194" s="81">
        <f t="shared" si="2"/>
        <v>193</v>
      </c>
      <c r="B194" s="81" t="s">
        <v>300</v>
      </c>
      <c r="C194" s="177" t="s">
        <v>399</v>
      </c>
      <c r="D194" s="148" t="s">
        <v>1117</v>
      </c>
      <c r="E194" s="124" t="s">
        <v>400</v>
      </c>
      <c r="F194" s="84" t="s">
        <v>48</v>
      </c>
      <c r="G194" s="82">
        <v>5</v>
      </c>
      <c r="H194" s="96" t="s">
        <v>49</v>
      </c>
      <c r="I194" s="82" t="s">
        <v>2</v>
      </c>
      <c r="J194" s="84" t="s">
        <v>1282</v>
      </c>
      <c r="K194" s="84"/>
      <c r="L194" s="84"/>
      <c r="M194" s="307" t="s">
        <v>49</v>
      </c>
    </row>
    <row r="195" spans="1:13" ht="31.5" hidden="1" customHeight="1" x14ac:dyDescent="0.2">
      <c r="A195" s="81">
        <f t="shared" ref="A195:A258" si="3">A194+1</f>
        <v>194</v>
      </c>
      <c r="B195" s="81" t="s">
        <v>300</v>
      </c>
      <c r="C195" s="177" t="s">
        <v>399</v>
      </c>
      <c r="D195" s="148" t="s">
        <v>1117</v>
      </c>
      <c r="E195" s="124" t="s">
        <v>401</v>
      </c>
      <c r="F195" s="84" t="s">
        <v>48</v>
      </c>
      <c r="G195" s="82">
        <v>5</v>
      </c>
      <c r="H195" s="96" t="s">
        <v>49</v>
      </c>
      <c r="I195" s="82" t="s">
        <v>2</v>
      </c>
      <c r="J195" s="84" t="s">
        <v>1282</v>
      </c>
      <c r="K195" s="84"/>
      <c r="L195" s="84"/>
      <c r="M195" s="307" t="s">
        <v>49</v>
      </c>
    </row>
    <row r="196" spans="1:13" ht="31.5" hidden="1" customHeight="1" x14ac:dyDescent="0.2">
      <c r="A196" s="81">
        <f t="shared" si="3"/>
        <v>195</v>
      </c>
      <c r="B196" s="81" t="s">
        <v>300</v>
      </c>
      <c r="C196" s="177" t="s">
        <v>402</v>
      </c>
      <c r="D196" s="98" t="s">
        <v>396</v>
      </c>
      <c r="E196" s="124" t="s">
        <v>403</v>
      </c>
      <c r="F196" s="84" t="s">
        <v>48</v>
      </c>
      <c r="G196" s="82">
        <v>5</v>
      </c>
      <c r="H196" s="96" t="s">
        <v>49</v>
      </c>
      <c r="I196" s="82" t="s">
        <v>2</v>
      </c>
      <c r="J196" s="84" t="s">
        <v>398</v>
      </c>
      <c r="K196" s="84"/>
      <c r="L196" s="84"/>
      <c r="M196" s="307" t="s">
        <v>49</v>
      </c>
    </row>
    <row r="197" spans="1:13" ht="31.5" hidden="1" customHeight="1" x14ac:dyDescent="0.2">
      <c r="A197" s="81">
        <f t="shared" si="3"/>
        <v>196</v>
      </c>
      <c r="B197" s="81" t="s">
        <v>300</v>
      </c>
      <c r="C197" s="177" t="s">
        <v>402</v>
      </c>
      <c r="D197" s="98" t="s">
        <v>396</v>
      </c>
      <c r="E197" s="124" t="s">
        <v>404</v>
      </c>
      <c r="F197" s="84" t="s">
        <v>48</v>
      </c>
      <c r="G197" s="82">
        <v>5</v>
      </c>
      <c r="H197" s="96" t="s">
        <v>49</v>
      </c>
      <c r="I197" s="82" t="s">
        <v>2</v>
      </c>
      <c r="J197" s="84" t="s">
        <v>398</v>
      </c>
      <c r="K197" s="84"/>
      <c r="L197" s="84"/>
      <c r="M197" s="307" t="s">
        <v>49</v>
      </c>
    </row>
    <row r="198" spans="1:13" ht="31.5" hidden="1" customHeight="1" x14ac:dyDescent="0.2">
      <c r="A198" s="81">
        <f t="shared" si="3"/>
        <v>197</v>
      </c>
      <c r="B198" s="81" t="s">
        <v>300</v>
      </c>
      <c r="C198" s="177" t="s">
        <v>361</v>
      </c>
      <c r="D198" s="154" t="s">
        <v>1326</v>
      </c>
      <c r="E198" s="98" t="s">
        <v>405</v>
      </c>
      <c r="F198" s="99" t="s">
        <v>48</v>
      </c>
      <c r="G198" s="82">
        <v>5</v>
      </c>
      <c r="H198" s="96" t="s">
        <v>49</v>
      </c>
      <c r="I198" s="82" t="s">
        <v>2</v>
      </c>
      <c r="J198" s="84" t="s">
        <v>1547</v>
      </c>
      <c r="K198" s="84"/>
      <c r="L198" s="84"/>
      <c r="M198" s="307" t="s">
        <v>49</v>
      </c>
    </row>
    <row r="199" spans="1:13" ht="31.5" hidden="1" customHeight="1" x14ac:dyDescent="0.2">
      <c r="A199" s="81">
        <f t="shared" si="3"/>
        <v>198</v>
      </c>
      <c r="B199" s="81" t="s">
        <v>300</v>
      </c>
      <c r="C199" s="177" t="s">
        <v>361</v>
      </c>
      <c r="D199" s="154" t="s">
        <v>1326</v>
      </c>
      <c r="E199" s="98" t="s">
        <v>406</v>
      </c>
      <c r="F199" s="99" t="s">
        <v>48</v>
      </c>
      <c r="G199" s="82">
        <v>5</v>
      </c>
      <c r="H199" s="96" t="s">
        <v>49</v>
      </c>
      <c r="I199" s="82" t="s">
        <v>2</v>
      </c>
      <c r="J199" s="84" t="s">
        <v>1547</v>
      </c>
      <c r="K199" s="84"/>
      <c r="L199" s="84"/>
      <c r="M199" s="307" t="s">
        <v>49</v>
      </c>
    </row>
    <row r="200" spans="1:13" ht="31.5" hidden="1" customHeight="1" x14ac:dyDescent="0.2">
      <c r="A200" s="81">
        <f t="shared" si="3"/>
        <v>199</v>
      </c>
      <c r="B200" s="81" t="s">
        <v>300</v>
      </c>
      <c r="C200" s="177" t="s">
        <v>399</v>
      </c>
      <c r="D200" s="148" t="s">
        <v>1117</v>
      </c>
      <c r="E200" s="124" t="s">
        <v>407</v>
      </c>
      <c r="F200" s="84" t="s">
        <v>48</v>
      </c>
      <c r="G200" s="82">
        <v>5</v>
      </c>
      <c r="H200" s="96" t="s">
        <v>49</v>
      </c>
      <c r="I200" s="82" t="s">
        <v>2</v>
      </c>
      <c r="J200" s="84" t="s">
        <v>1282</v>
      </c>
      <c r="K200" s="84"/>
      <c r="L200" s="84"/>
      <c r="M200" s="307" t="s">
        <v>49</v>
      </c>
    </row>
    <row r="201" spans="1:13" ht="31.5" hidden="1" customHeight="1" x14ac:dyDescent="0.2">
      <c r="A201" s="81">
        <f t="shared" si="3"/>
        <v>200</v>
      </c>
      <c r="B201" s="156" t="s">
        <v>408</v>
      </c>
      <c r="C201" s="177" t="s">
        <v>409</v>
      </c>
      <c r="D201" s="98" t="s">
        <v>410</v>
      </c>
      <c r="E201" s="98" t="s">
        <v>411</v>
      </c>
      <c r="F201" s="84" t="s">
        <v>48</v>
      </c>
      <c r="G201" s="82">
        <v>6</v>
      </c>
      <c r="H201" s="96" t="s">
        <v>49</v>
      </c>
      <c r="I201" s="96" t="s">
        <v>2</v>
      </c>
      <c r="J201" s="84" t="s">
        <v>411</v>
      </c>
      <c r="K201" s="99" t="s">
        <v>412</v>
      </c>
      <c r="L201" s="99"/>
      <c r="M201" s="307" t="s">
        <v>49</v>
      </c>
    </row>
    <row r="202" spans="1:13" ht="31.5" hidden="1" customHeight="1" x14ac:dyDescent="0.2">
      <c r="A202" s="81">
        <f t="shared" si="3"/>
        <v>201</v>
      </c>
      <c r="B202" s="81" t="s">
        <v>408</v>
      </c>
      <c r="C202" s="177" t="s">
        <v>413</v>
      </c>
      <c r="D202" s="98" t="s">
        <v>414</v>
      </c>
      <c r="E202" s="98" t="s">
        <v>415</v>
      </c>
      <c r="F202" s="84" t="s">
        <v>48</v>
      </c>
      <c r="G202" s="82">
        <v>6</v>
      </c>
      <c r="H202" s="96" t="s">
        <v>49</v>
      </c>
      <c r="I202" s="96" t="s">
        <v>2</v>
      </c>
      <c r="J202" s="84" t="s">
        <v>416</v>
      </c>
      <c r="K202" s="99" t="s">
        <v>412</v>
      </c>
      <c r="L202" s="99"/>
      <c r="M202" s="307" t="s">
        <v>49</v>
      </c>
    </row>
    <row r="203" spans="1:13" ht="31.5" hidden="1" customHeight="1" x14ac:dyDescent="0.2">
      <c r="A203" s="81">
        <f t="shared" si="3"/>
        <v>202</v>
      </c>
      <c r="B203" s="81" t="s">
        <v>417</v>
      </c>
      <c r="C203" s="177" t="s">
        <v>418</v>
      </c>
      <c r="D203" s="165" t="s">
        <v>419</v>
      </c>
      <c r="E203" s="164" t="s">
        <v>420</v>
      </c>
      <c r="F203" s="99" t="s">
        <v>48</v>
      </c>
      <c r="G203" s="82">
        <v>6</v>
      </c>
      <c r="H203" s="96" t="s">
        <v>49</v>
      </c>
      <c r="I203" s="96" t="s">
        <v>2</v>
      </c>
      <c r="J203" s="84" t="s">
        <v>420</v>
      </c>
      <c r="K203" s="99" t="s">
        <v>412</v>
      </c>
      <c r="L203" s="99"/>
      <c r="M203" s="307" t="s">
        <v>49</v>
      </c>
    </row>
    <row r="204" spans="1:13" ht="31.5" hidden="1" customHeight="1" x14ac:dyDescent="0.2">
      <c r="A204" s="81">
        <f t="shared" si="3"/>
        <v>203</v>
      </c>
      <c r="B204" s="81" t="s">
        <v>417</v>
      </c>
      <c r="C204" s="177" t="s">
        <v>421</v>
      </c>
      <c r="D204" s="165" t="s">
        <v>422</v>
      </c>
      <c r="E204" s="164" t="s">
        <v>423</v>
      </c>
      <c r="F204" s="99" t="s">
        <v>48</v>
      </c>
      <c r="G204" s="82">
        <v>6</v>
      </c>
      <c r="H204" s="96" t="s">
        <v>49</v>
      </c>
      <c r="I204" s="96" t="s">
        <v>2</v>
      </c>
      <c r="J204" s="84" t="s">
        <v>423</v>
      </c>
      <c r="K204" s="99" t="s">
        <v>412</v>
      </c>
      <c r="L204" s="99"/>
      <c r="M204" s="307" t="s">
        <v>49</v>
      </c>
    </row>
    <row r="205" spans="1:13" ht="31.5" hidden="1" customHeight="1" x14ac:dyDescent="0.2">
      <c r="A205" s="81">
        <f t="shared" si="3"/>
        <v>204</v>
      </c>
      <c r="B205" s="81" t="s">
        <v>417</v>
      </c>
      <c r="C205" s="177" t="s">
        <v>424</v>
      </c>
      <c r="D205" s="165" t="s">
        <v>425</v>
      </c>
      <c r="E205" s="164" t="s">
        <v>426</v>
      </c>
      <c r="F205" s="99" t="s">
        <v>48</v>
      </c>
      <c r="G205" s="82">
        <v>6</v>
      </c>
      <c r="H205" s="96" t="s">
        <v>49</v>
      </c>
      <c r="I205" s="96" t="s">
        <v>2</v>
      </c>
      <c r="J205" s="84" t="s">
        <v>426</v>
      </c>
      <c r="K205" s="99" t="s">
        <v>412</v>
      </c>
      <c r="L205" s="99"/>
      <c r="M205" s="307" t="s">
        <v>49</v>
      </c>
    </row>
    <row r="206" spans="1:13" ht="31.5" hidden="1" customHeight="1" x14ac:dyDescent="0.2">
      <c r="A206" s="81">
        <f t="shared" si="3"/>
        <v>205</v>
      </c>
      <c r="B206" s="96" t="s">
        <v>300</v>
      </c>
      <c r="C206" s="177" t="s">
        <v>427</v>
      </c>
      <c r="D206" s="303" t="s">
        <v>428</v>
      </c>
      <c r="E206" s="182" t="s">
        <v>429</v>
      </c>
      <c r="F206" s="84" t="s">
        <v>48</v>
      </c>
      <c r="G206" s="84">
        <v>6</v>
      </c>
      <c r="H206" s="96" t="s">
        <v>49</v>
      </c>
      <c r="I206" s="96" t="s">
        <v>2</v>
      </c>
      <c r="J206" s="84" t="s">
        <v>429</v>
      </c>
      <c r="K206" s="84"/>
      <c r="L206" s="84"/>
      <c r="M206" s="307" t="s">
        <v>49</v>
      </c>
    </row>
    <row r="207" spans="1:13" ht="31.5" hidden="1" customHeight="1" x14ac:dyDescent="0.2">
      <c r="A207" s="81">
        <f t="shared" si="3"/>
        <v>206</v>
      </c>
      <c r="B207" s="96" t="s">
        <v>64</v>
      </c>
      <c r="C207" s="177" t="s">
        <v>430</v>
      </c>
      <c r="D207" s="183" t="s">
        <v>431</v>
      </c>
      <c r="E207" s="184" t="s">
        <v>432</v>
      </c>
      <c r="F207" s="84" t="s">
        <v>48</v>
      </c>
      <c r="G207" s="84">
        <v>6</v>
      </c>
      <c r="H207" s="96" t="s">
        <v>49</v>
      </c>
      <c r="I207" s="96" t="s">
        <v>2</v>
      </c>
      <c r="J207" s="84" t="s">
        <v>432</v>
      </c>
      <c r="K207" s="84"/>
      <c r="L207" s="84"/>
      <c r="M207" s="307" t="s">
        <v>49</v>
      </c>
    </row>
    <row r="208" spans="1:13" ht="31.5" hidden="1" customHeight="1" x14ac:dyDescent="0.2">
      <c r="A208" s="81">
        <f t="shared" si="3"/>
        <v>207</v>
      </c>
      <c r="B208" s="96" t="s">
        <v>64</v>
      </c>
      <c r="C208" s="177" t="s">
        <v>433</v>
      </c>
      <c r="D208" s="185" t="s">
        <v>434</v>
      </c>
      <c r="E208" s="184" t="s">
        <v>435</v>
      </c>
      <c r="F208" s="84" t="s">
        <v>48</v>
      </c>
      <c r="G208" s="84">
        <v>6</v>
      </c>
      <c r="H208" s="96" t="s">
        <v>49</v>
      </c>
      <c r="I208" s="96" t="s">
        <v>2</v>
      </c>
      <c r="J208" s="84" t="s">
        <v>436</v>
      </c>
      <c r="K208" s="84"/>
      <c r="L208" s="84"/>
      <c r="M208" s="307" t="s">
        <v>49</v>
      </c>
    </row>
    <row r="209" spans="1:13" ht="31.5" hidden="1" customHeight="1" x14ac:dyDescent="0.2">
      <c r="A209" s="81">
        <f t="shared" si="3"/>
        <v>208</v>
      </c>
      <c r="B209" s="96" t="s">
        <v>64</v>
      </c>
      <c r="C209" s="177" t="s">
        <v>433</v>
      </c>
      <c r="D209" s="183" t="s">
        <v>434</v>
      </c>
      <c r="E209" s="184" t="s">
        <v>437</v>
      </c>
      <c r="F209" s="84" t="s">
        <v>48</v>
      </c>
      <c r="G209" s="84">
        <v>6</v>
      </c>
      <c r="H209" s="96" t="s">
        <v>49</v>
      </c>
      <c r="I209" s="96" t="s">
        <v>2</v>
      </c>
      <c r="J209" s="84" t="s">
        <v>436</v>
      </c>
      <c r="K209" s="84"/>
      <c r="L209" s="84"/>
      <c r="M209" s="307" t="s">
        <v>49</v>
      </c>
    </row>
    <row r="210" spans="1:13" ht="31.5" hidden="1" customHeight="1" x14ac:dyDescent="0.2">
      <c r="A210" s="81">
        <f t="shared" si="3"/>
        <v>209</v>
      </c>
      <c r="B210" s="96" t="s">
        <v>64</v>
      </c>
      <c r="C210" s="177" t="s">
        <v>433</v>
      </c>
      <c r="D210" s="183" t="s">
        <v>434</v>
      </c>
      <c r="E210" s="184" t="s">
        <v>438</v>
      </c>
      <c r="F210" s="84" t="s">
        <v>48</v>
      </c>
      <c r="G210" s="84">
        <v>6</v>
      </c>
      <c r="H210" s="96" t="s">
        <v>49</v>
      </c>
      <c r="I210" s="96" t="s">
        <v>2</v>
      </c>
      <c r="J210" s="84" t="s">
        <v>436</v>
      </c>
      <c r="K210" s="84"/>
      <c r="L210" s="84"/>
      <c r="M210" s="307" t="s">
        <v>49</v>
      </c>
    </row>
    <row r="211" spans="1:13" ht="31.5" hidden="1" customHeight="1" x14ac:dyDescent="0.2">
      <c r="A211" s="81">
        <f t="shared" si="3"/>
        <v>210</v>
      </c>
      <c r="B211" s="96" t="s">
        <v>64</v>
      </c>
      <c r="C211" s="177" t="s">
        <v>433</v>
      </c>
      <c r="D211" s="183" t="s">
        <v>434</v>
      </c>
      <c r="E211" s="184" t="s">
        <v>439</v>
      </c>
      <c r="F211" s="84" t="s">
        <v>48</v>
      </c>
      <c r="G211" s="84">
        <v>6</v>
      </c>
      <c r="H211" s="96" t="s">
        <v>49</v>
      </c>
      <c r="I211" s="96" t="s">
        <v>2</v>
      </c>
      <c r="J211" s="84" t="s">
        <v>436</v>
      </c>
      <c r="K211" s="84"/>
      <c r="L211" s="84"/>
      <c r="M211" s="307" t="s">
        <v>49</v>
      </c>
    </row>
    <row r="212" spans="1:13" ht="31.5" hidden="1" customHeight="1" x14ac:dyDescent="0.2">
      <c r="A212" s="81">
        <f t="shared" si="3"/>
        <v>211</v>
      </c>
      <c r="B212" s="96" t="s">
        <v>64</v>
      </c>
      <c r="C212" s="177" t="s">
        <v>433</v>
      </c>
      <c r="D212" s="183" t="s">
        <v>434</v>
      </c>
      <c r="E212" s="184" t="s">
        <v>440</v>
      </c>
      <c r="F212" s="84" t="s">
        <v>48</v>
      </c>
      <c r="G212" s="84">
        <v>6</v>
      </c>
      <c r="H212" s="96" t="s">
        <v>49</v>
      </c>
      <c r="I212" s="96" t="s">
        <v>2</v>
      </c>
      <c r="J212" s="84" t="s">
        <v>436</v>
      </c>
      <c r="K212" s="84"/>
      <c r="L212" s="84"/>
      <c r="M212" s="307" t="s">
        <v>49</v>
      </c>
    </row>
    <row r="213" spans="1:13" ht="31.5" hidden="1" customHeight="1" x14ac:dyDescent="0.2">
      <c r="A213" s="81">
        <f t="shared" si="3"/>
        <v>212</v>
      </c>
      <c r="B213" s="96" t="s">
        <v>64</v>
      </c>
      <c r="C213" s="177" t="s">
        <v>433</v>
      </c>
      <c r="D213" s="183" t="s">
        <v>434</v>
      </c>
      <c r="E213" s="184" t="s">
        <v>441</v>
      </c>
      <c r="F213" s="84" t="s">
        <v>48</v>
      </c>
      <c r="G213" s="84">
        <v>6</v>
      </c>
      <c r="H213" s="96" t="s">
        <v>49</v>
      </c>
      <c r="I213" s="96" t="s">
        <v>2</v>
      </c>
      <c r="J213" s="84" t="s">
        <v>436</v>
      </c>
      <c r="K213" s="84"/>
      <c r="L213" s="84"/>
      <c r="M213" s="307" t="s">
        <v>49</v>
      </c>
    </row>
    <row r="214" spans="1:13" ht="31.5" hidden="1" customHeight="1" x14ac:dyDescent="0.2">
      <c r="A214" s="81">
        <f t="shared" si="3"/>
        <v>213</v>
      </c>
      <c r="B214" s="96" t="s">
        <v>64</v>
      </c>
      <c r="C214" s="177" t="s">
        <v>433</v>
      </c>
      <c r="D214" s="183" t="s">
        <v>434</v>
      </c>
      <c r="E214" s="184" t="s">
        <v>442</v>
      </c>
      <c r="F214" s="84" t="s">
        <v>48</v>
      </c>
      <c r="G214" s="84">
        <v>6</v>
      </c>
      <c r="H214" s="96" t="s">
        <v>49</v>
      </c>
      <c r="I214" s="96" t="s">
        <v>2</v>
      </c>
      <c r="J214" s="84" t="s">
        <v>436</v>
      </c>
      <c r="K214" s="84"/>
      <c r="L214" s="84"/>
      <c r="M214" s="307" t="s">
        <v>49</v>
      </c>
    </row>
    <row r="215" spans="1:13" ht="31.5" hidden="1" customHeight="1" x14ac:dyDescent="0.2">
      <c r="A215" s="81">
        <f t="shared" si="3"/>
        <v>214</v>
      </c>
      <c r="B215" s="96" t="s">
        <v>64</v>
      </c>
      <c r="C215" s="177" t="s">
        <v>443</v>
      </c>
      <c r="D215" s="183" t="s">
        <v>434</v>
      </c>
      <c r="E215" s="184" t="s">
        <v>444</v>
      </c>
      <c r="F215" s="84" t="s">
        <v>48</v>
      </c>
      <c r="G215" s="84">
        <v>6</v>
      </c>
      <c r="H215" s="96" t="s">
        <v>49</v>
      </c>
      <c r="I215" s="96" t="s">
        <v>2</v>
      </c>
      <c r="J215" s="84" t="s">
        <v>436</v>
      </c>
      <c r="K215" s="84"/>
      <c r="L215" s="84"/>
      <c r="M215" s="307" t="s">
        <v>49</v>
      </c>
    </row>
    <row r="216" spans="1:13" ht="31.5" hidden="1" customHeight="1" x14ac:dyDescent="0.2">
      <c r="A216" s="81">
        <f t="shared" si="3"/>
        <v>215</v>
      </c>
      <c r="B216" s="96" t="s">
        <v>64</v>
      </c>
      <c r="C216" s="177" t="s">
        <v>443</v>
      </c>
      <c r="D216" s="183" t="s">
        <v>434</v>
      </c>
      <c r="E216" s="184" t="s">
        <v>445</v>
      </c>
      <c r="F216" s="84" t="s">
        <v>48</v>
      </c>
      <c r="G216" s="84">
        <v>6</v>
      </c>
      <c r="H216" s="96" t="s">
        <v>49</v>
      </c>
      <c r="I216" s="96" t="s">
        <v>2</v>
      </c>
      <c r="J216" s="84" t="s">
        <v>436</v>
      </c>
      <c r="K216" s="84"/>
      <c r="L216" s="84"/>
      <c r="M216" s="307" t="s">
        <v>49</v>
      </c>
    </row>
    <row r="217" spans="1:13" ht="31.5" hidden="1" customHeight="1" x14ac:dyDescent="0.2">
      <c r="A217" s="81">
        <f t="shared" si="3"/>
        <v>216</v>
      </c>
      <c r="B217" s="96" t="s">
        <v>64</v>
      </c>
      <c r="C217" s="177" t="s">
        <v>443</v>
      </c>
      <c r="D217" s="183" t="s">
        <v>434</v>
      </c>
      <c r="E217" s="184" t="s">
        <v>446</v>
      </c>
      <c r="F217" s="84" t="s">
        <v>48</v>
      </c>
      <c r="G217" s="84">
        <v>6</v>
      </c>
      <c r="H217" s="96" t="s">
        <v>49</v>
      </c>
      <c r="I217" s="96" t="s">
        <v>2</v>
      </c>
      <c r="J217" s="84" t="s">
        <v>436</v>
      </c>
      <c r="K217" s="84"/>
      <c r="L217" s="84"/>
      <c r="M217" s="307" t="s">
        <v>49</v>
      </c>
    </row>
    <row r="218" spans="1:13" ht="31.5" hidden="1" customHeight="1" x14ac:dyDescent="0.2">
      <c r="A218" s="81">
        <f t="shared" si="3"/>
        <v>217</v>
      </c>
      <c r="B218" s="96" t="s">
        <v>64</v>
      </c>
      <c r="C218" s="177" t="s">
        <v>447</v>
      </c>
      <c r="D218" s="183" t="s">
        <v>434</v>
      </c>
      <c r="E218" s="184" t="s">
        <v>448</v>
      </c>
      <c r="F218" s="84" t="s">
        <v>48</v>
      </c>
      <c r="G218" s="84">
        <v>6</v>
      </c>
      <c r="H218" s="96" t="s">
        <v>49</v>
      </c>
      <c r="I218" s="96" t="s">
        <v>2</v>
      </c>
      <c r="J218" s="84" t="s">
        <v>436</v>
      </c>
      <c r="K218" s="84"/>
      <c r="L218" s="84"/>
      <c r="M218" s="307" t="s">
        <v>49</v>
      </c>
    </row>
    <row r="219" spans="1:13" ht="31.5" hidden="1" customHeight="1" x14ac:dyDescent="0.2">
      <c r="A219" s="81">
        <f t="shared" si="3"/>
        <v>218</v>
      </c>
      <c r="B219" s="96" t="s">
        <v>64</v>
      </c>
      <c r="C219" s="177" t="s">
        <v>447</v>
      </c>
      <c r="D219" s="183" t="s">
        <v>434</v>
      </c>
      <c r="E219" s="184" t="s">
        <v>449</v>
      </c>
      <c r="F219" s="84" t="s">
        <v>48</v>
      </c>
      <c r="G219" s="84">
        <v>6</v>
      </c>
      <c r="H219" s="96" t="s">
        <v>49</v>
      </c>
      <c r="I219" s="96" t="s">
        <v>2</v>
      </c>
      <c r="J219" s="84" t="s">
        <v>436</v>
      </c>
      <c r="K219" s="84"/>
      <c r="L219" s="84"/>
      <c r="M219" s="307" t="s">
        <v>49</v>
      </c>
    </row>
    <row r="220" spans="1:13" ht="31.5" hidden="1" customHeight="1" x14ac:dyDescent="0.2">
      <c r="A220" s="81">
        <f t="shared" si="3"/>
        <v>219</v>
      </c>
      <c r="B220" s="96" t="s">
        <v>143</v>
      </c>
      <c r="C220" s="177" t="s">
        <v>450</v>
      </c>
      <c r="D220" s="181" t="s">
        <v>451</v>
      </c>
      <c r="E220" s="182" t="s">
        <v>452</v>
      </c>
      <c r="F220" s="84" t="s">
        <v>48</v>
      </c>
      <c r="G220" s="84">
        <v>6</v>
      </c>
      <c r="H220" s="96" t="s">
        <v>49</v>
      </c>
      <c r="I220" s="96" t="s">
        <v>2</v>
      </c>
      <c r="J220" s="84" t="s">
        <v>453</v>
      </c>
      <c r="K220" s="84"/>
      <c r="L220" s="84"/>
      <c r="M220" s="307" t="s">
        <v>49</v>
      </c>
    </row>
    <row r="221" spans="1:13" ht="31.5" hidden="1" customHeight="1" x14ac:dyDescent="0.2">
      <c r="A221" s="81">
        <f t="shared" si="3"/>
        <v>220</v>
      </c>
      <c r="B221" s="96" t="s">
        <v>143</v>
      </c>
      <c r="C221" s="177" t="s">
        <v>450</v>
      </c>
      <c r="D221" s="181" t="s">
        <v>451</v>
      </c>
      <c r="E221" s="182" t="s">
        <v>454</v>
      </c>
      <c r="F221" s="84" t="s">
        <v>48</v>
      </c>
      <c r="G221" s="84">
        <v>6</v>
      </c>
      <c r="H221" s="96" t="s">
        <v>49</v>
      </c>
      <c r="I221" s="96" t="s">
        <v>2</v>
      </c>
      <c r="J221" s="84" t="s">
        <v>453</v>
      </c>
      <c r="K221" s="84"/>
      <c r="L221" s="84"/>
      <c r="M221" s="307" t="s">
        <v>49</v>
      </c>
    </row>
    <row r="222" spans="1:13" ht="31.5" hidden="1" customHeight="1" x14ac:dyDescent="0.2">
      <c r="A222" s="81">
        <f t="shared" si="3"/>
        <v>221</v>
      </c>
      <c r="B222" s="96" t="s">
        <v>143</v>
      </c>
      <c r="C222" s="177" t="s">
        <v>450</v>
      </c>
      <c r="D222" s="181" t="s">
        <v>451</v>
      </c>
      <c r="E222" s="182" t="s">
        <v>455</v>
      </c>
      <c r="F222" s="84" t="s">
        <v>48</v>
      </c>
      <c r="G222" s="84">
        <v>6</v>
      </c>
      <c r="H222" s="96" t="s">
        <v>49</v>
      </c>
      <c r="I222" s="96" t="s">
        <v>2</v>
      </c>
      <c r="J222" s="84" t="s">
        <v>453</v>
      </c>
      <c r="K222" s="84"/>
      <c r="L222" s="84"/>
      <c r="M222" s="307" t="s">
        <v>49</v>
      </c>
    </row>
    <row r="223" spans="1:13" ht="31.5" hidden="1" customHeight="1" x14ac:dyDescent="0.2">
      <c r="A223" s="81">
        <f t="shared" si="3"/>
        <v>222</v>
      </c>
      <c r="B223" s="96" t="s">
        <v>143</v>
      </c>
      <c r="C223" s="177" t="s">
        <v>450</v>
      </c>
      <c r="D223" s="181" t="s">
        <v>451</v>
      </c>
      <c r="E223" s="182" t="s">
        <v>456</v>
      </c>
      <c r="F223" s="84" t="s">
        <v>48</v>
      </c>
      <c r="G223" s="84">
        <v>6</v>
      </c>
      <c r="H223" s="96" t="s">
        <v>49</v>
      </c>
      <c r="I223" s="96" t="s">
        <v>2</v>
      </c>
      <c r="J223" s="84" t="s">
        <v>453</v>
      </c>
      <c r="K223" s="84"/>
      <c r="L223" s="84"/>
      <c r="M223" s="307" t="s">
        <v>49</v>
      </c>
    </row>
    <row r="224" spans="1:13" ht="31.5" hidden="1" customHeight="1" x14ac:dyDescent="0.2">
      <c r="A224" s="81">
        <f t="shared" si="3"/>
        <v>223</v>
      </c>
      <c r="B224" s="96" t="s">
        <v>143</v>
      </c>
      <c r="C224" s="177" t="s">
        <v>457</v>
      </c>
      <c r="D224" s="186" t="s">
        <v>458</v>
      </c>
      <c r="E224" s="182" t="s">
        <v>459</v>
      </c>
      <c r="F224" s="84" t="s">
        <v>48</v>
      </c>
      <c r="G224" s="84">
        <v>6</v>
      </c>
      <c r="H224" s="96" t="s">
        <v>49</v>
      </c>
      <c r="I224" s="96" t="s">
        <v>889</v>
      </c>
      <c r="J224" s="84" t="s">
        <v>460</v>
      </c>
      <c r="K224" s="179" t="s">
        <v>1710</v>
      </c>
      <c r="L224" s="84"/>
      <c r="M224" s="307" t="s">
        <v>49</v>
      </c>
    </row>
    <row r="225" spans="1:13" ht="31.5" hidden="1" customHeight="1" x14ac:dyDescent="0.2">
      <c r="A225" s="81">
        <f t="shared" si="3"/>
        <v>224</v>
      </c>
      <c r="B225" s="96" t="s">
        <v>143</v>
      </c>
      <c r="C225" s="177" t="s">
        <v>457</v>
      </c>
      <c r="D225" s="187" t="s">
        <v>458</v>
      </c>
      <c r="E225" s="182" t="s">
        <v>461</v>
      </c>
      <c r="F225" s="84" t="s">
        <v>48</v>
      </c>
      <c r="G225" s="84">
        <v>6</v>
      </c>
      <c r="H225" s="96" t="s">
        <v>49</v>
      </c>
      <c r="I225" s="96" t="s">
        <v>889</v>
      </c>
      <c r="J225" s="84" t="s">
        <v>460</v>
      </c>
      <c r="K225" s="179" t="s">
        <v>1710</v>
      </c>
      <c r="L225" s="84"/>
      <c r="M225" s="307" t="s">
        <v>49</v>
      </c>
    </row>
    <row r="226" spans="1:13" ht="31.5" hidden="1" customHeight="1" x14ac:dyDescent="0.2">
      <c r="A226" s="81">
        <f t="shared" si="3"/>
        <v>225</v>
      </c>
      <c r="B226" s="96" t="s">
        <v>143</v>
      </c>
      <c r="C226" s="177" t="s">
        <v>462</v>
      </c>
      <c r="D226" s="188" t="s">
        <v>463</v>
      </c>
      <c r="E226" s="182" t="s">
        <v>464</v>
      </c>
      <c r="F226" s="99" t="s">
        <v>48</v>
      </c>
      <c r="G226" s="84">
        <v>6</v>
      </c>
      <c r="H226" s="96" t="s">
        <v>49</v>
      </c>
      <c r="I226" s="96" t="s">
        <v>889</v>
      </c>
      <c r="J226" s="84" t="s">
        <v>465</v>
      </c>
      <c r="K226" s="180" t="s">
        <v>1717</v>
      </c>
      <c r="L226" s="84"/>
      <c r="M226" s="307" t="s">
        <v>49</v>
      </c>
    </row>
    <row r="227" spans="1:13" ht="31.5" hidden="1" customHeight="1" x14ac:dyDescent="0.2">
      <c r="A227" s="81">
        <f t="shared" si="3"/>
        <v>226</v>
      </c>
      <c r="B227" s="96" t="s">
        <v>143</v>
      </c>
      <c r="C227" s="177" t="s">
        <v>462</v>
      </c>
      <c r="D227" s="188" t="s">
        <v>463</v>
      </c>
      <c r="E227" s="182" t="s">
        <v>466</v>
      </c>
      <c r="F227" s="99" t="s">
        <v>48</v>
      </c>
      <c r="G227" s="84">
        <v>6</v>
      </c>
      <c r="H227" s="96" t="s">
        <v>49</v>
      </c>
      <c r="I227" s="96" t="s">
        <v>889</v>
      </c>
      <c r="J227" s="84" t="s">
        <v>465</v>
      </c>
      <c r="K227" s="180" t="s">
        <v>1717</v>
      </c>
      <c r="L227" s="84"/>
      <c r="M227" s="307" t="s">
        <v>49</v>
      </c>
    </row>
    <row r="228" spans="1:13" ht="31.5" hidden="1" customHeight="1" x14ac:dyDescent="0.2">
      <c r="A228" s="81">
        <f t="shared" si="3"/>
        <v>227</v>
      </c>
      <c r="B228" s="96" t="s">
        <v>300</v>
      </c>
      <c r="C228" s="177" t="s">
        <v>467</v>
      </c>
      <c r="D228" s="181" t="s">
        <v>468</v>
      </c>
      <c r="E228" s="182" t="s">
        <v>469</v>
      </c>
      <c r="F228" s="99" t="s">
        <v>48</v>
      </c>
      <c r="G228" s="84">
        <v>6</v>
      </c>
      <c r="H228" s="96" t="s">
        <v>49</v>
      </c>
      <c r="I228" s="96" t="s">
        <v>2</v>
      </c>
      <c r="J228" s="84" t="s">
        <v>470</v>
      </c>
      <c r="K228" s="84"/>
      <c r="L228" s="84"/>
      <c r="M228" s="307" t="s">
        <v>49</v>
      </c>
    </row>
    <row r="229" spans="1:13" ht="31.5" hidden="1" customHeight="1" x14ac:dyDescent="0.2">
      <c r="A229" s="81">
        <f t="shared" si="3"/>
        <v>228</v>
      </c>
      <c r="B229" s="96" t="s">
        <v>300</v>
      </c>
      <c r="C229" s="177" t="s">
        <v>467</v>
      </c>
      <c r="D229" s="181" t="s">
        <v>468</v>
      </c>
      <c r="E229" s="182" t="s">
        <v>471</v>
      </c>
      <c r="F229" s="99" t="s">
        <v>48</v>
      </c>
      <c r="G229" s="84">
        <v>6</v>
      </c>
      <c r="H229" s="96" t="s">
        <v>49</v>
      </c>
      <c r="I229" s="96" t="s">
        <v>2</v>
      </c>
      <c r="J229" s="84" t="s">
        <v>470</v>
      </c>
      <c r="K229" s="84"/>
      <c r="L229" s="84"/>
      <c r="M229" s="307" t="s">
        <v>49</v>
      </c>
    </row>
    <row r="230" spans="1:13" ht="31.5" hidden="1" customHeight="1" x14ac:dyDescent="0.2">
      <c r="A230" s="81">
        <f t="shared" si="3"/>
        <v>229</v>
      </c>
      <c r="B230" s="96" t="s">
        <v>300</v>
      </c>
      <c r="C230" s="177" t="s">
        <v>467</v>
      </c>
      <c r="D230" s="181" t="s">
        <v>468</v>
      </c>
      <c r="E230" s="182" t="s">
        <v>472</v>
      </c>
      <c r="F230" s="99" t="s">
        <v>48</v>
      </c>
      <c r="G230" s="84">
        <v>6</v>
      </c>
      <c r="H230" s="96" t="s">
        <v>49</v>
      </c>
      <c r="I230" s="96" t="s">
        <v>2</v>
      </c>
      <c r="J230" s="84" t="s">
        <v>470</v>
      </c>
      <c r="K230" s="84"/>
      <c r="L230" s="84"/>
      <c r="M230" s="307" t="s">
        <v>49</v>
      </c>
    </row>
    <row r="231" spans="1:13" ht="31.5" hidden="1" customHeight="1" x14ac:dyDescent="0.2">
      <c r="A231" s="81">
        <f t="shared" si="3"/>
        <v>230</v>
      </c>
      <c r="B231" s="96" t="s">
        <v>300</v>
      </c>
      <c r="C231" s="177" t="s">
        <v>473</v>
      </c>
      <c r="D231" s="181" t="s">
        <v>468</v>
      </c>
      <c r="E231" s="182" t="s">
        <v>474</v>
      </c>
      <c r="F231" s="99" t="s">
        <v>48</v>
      </c>
      <c r="G231" s="84">
        <v>6</v>
      </c>
      <c r="H231" s="96" t="s">
        <v>49</v>
      </c>
      <c r="I231" s="96" t="s">
        <v>2</v>
      </c>
      <c r="J231" s="84" t="s">
        <v>470</v>
      </c>
      <c r="K231" s="84"/>
      <c r="L231" s="84"/>
      <c r="M231" s="307" t="s">
        <v>49</v>
      </c>
    </row>
    <row r="232" spans="1:13" ht="31.5" hidden="1" customHeight="1" x14ac:dyDescent="0.2">
      <c r="A232" s="81">
        <f t="shared" si="3"/>
        <v>231</v>
      </c>
      <c r="B232" s="96" t="s">
        <v>300</v>
      </c>
      <c r="C232" s="177" t="s">
        <v>473</v>
      </c>
      <c r="D232" s="181" t="s">
        <v>468</v>
      </c>
      <c r="E232" s="182" t="s">
        <v>475</v>
      </c>
      <c r="F232" s="99" t="s">
        <v>48</v>
      </c>
      <c r="G232" s="84">
        <v>6</v>
      </c>
      <c r="H232" s="96" t="s">
        <v>49</v>
      </c>
      <c r="I232" s="96" t="s">
        <v>2</v>
      </c>
      <c r="J232" s="84" t="s">
        <v>470</v>
      </c>
      <c r="K232" s="84"/>
      <c r="L232" s="84"/>
      <c r="M232" s="307" t="s">
        <v>49</v>
      </c>
    </row>
    <row r="233" spans="1:13" ht="31.5" hidden="1" customHeight="1" x14ac:dyDescent="0.2">
      <c r="A233" s="81">
        <f t="shared" si="3"/>
        <v>232</v>
      </c>
      <c r="B233" s="96" t="s">
        <v>300</v>
      </c>
      <c r="C233" s="177" t="s">
        <v>473</v>
      </c>
      <c r="D233" s="181" t="s">
        <v>468</v>
      </c>
      <c r="E233" s="182" t="s">
        <v>476</v>
      </c>
      <c r="F233" s="99" t="s">
        <v>48</v>
      </c>
      <c r="G233" s="84">
        <v>6</v>
      </c>
      <c r="H233" s="96" t="s">
        <v>49</v>
      </c>
      <c r="I233" s="96" t="s">
        <v>2</v>
      </c>
      <c r="J233" s="84" t="s">
        <v>470</v>
      </c>
      <c r="K233" s="84"/>
      <c r="L233" s="84"/>
      <c r="M233" s="307" t="s">
        <v>49</v>
      </c>
    </row>
    <row r="234" spans="1:13" ht="31.5" hidden="1" customHeight="1" x14ac:dyDescent="0.2">
      <c r="A234" s="81">
        <f t="shared" si="3"/>
        <v>233</v>
      </c>
      <c r="B234" s="96" t="s">
        <v>300</v>
      </c>
      <c r="C234" s="177" t="s">
        <v>473</v>
      </c>
      <c r="D234" s="181" t="s">
        <v>468</v>
      </c>
      <c r="E234" s="182" t="s">
        <v>477</v>
      </c>
      <c r="F234" s="99" t="s">
        <v>48</v>
      </c>
      <c r="G234" s="84">
        <v>6</v>
      </c>
      <c r="H234" s="96" t="s">
        <v>49</v>
      </c>
      <c r="I234" s="96" t="s">
        <v>2</v>
      </c>
      <c r="J234" s="84" t="s">
        <v>470</v>
      </c>
      <c r="K234" s="84"/>
      <c r="L234" s="84"/>
      <c r="M234" s="307" t="s">
        <v>49</v>
      </c>
    </row>
    <row r="235" spans="1:13" ht="31.5" hidden="1" customHeight="1" x14ac:dyDescent="0.2">
      <c r="A235" s="81">
        <f t="shared" si="3"/>
        <v>234</v>
      </c>
      <c r="B235" s="96" t="s">
        <v>300</v>
      </c>
      <c r="C235" s="177" t="s">
        <v>473</v>
      </c>
      <c r="D235" s="148" t="s">
        <v>1117</v>
      </c>
      <c r="E235" s="182" t="s">
        <v>478</v>
      </c>
      <c r="F235" s="84" t="s">
        <v>48</v>
      </c>
      <c r="G235" s="84">
        <v>6</v>
      </c>
      <c r="H235" s="96" t="s">
        <v>49</v>
      </c>
      <c r="I235" s="96" t="s">
        <v>2</v>
      </c>
      <c r="J235" s="84" t="s">
        <v>1282</v>
      </c>
      <c r="K235" s="84"/>
      <c r="L235" s="84"/>
      <c r="M235" s="307" t="s">
        <v>49</v>
      </c>
    </row>
    <row r="236" spans="1:13" ht="31.5" hidden="1" customHeight="1" x14ac:dyDescent="0.2">
      <c r="A236" s="81">
        <f t="shared" si="3"/>
        <v>235</v>
      </c>
      <c r="B236" s="96" t="s">
        <v>300</v>
      </c>
      <c r="C236" s="177" t="s">
        <v>473</v>
      </c>
      <c r="D236" s="148" t="s">
        <v>1117</v>
      </c>
      <c r="E236" s="182" t="s">
        <v>479</v>
      </c>
      <c r="F236" s="84" t="s">
        <v>48</v>
      </c>
      <c r="G236" s="84">
        <v>6</v>
      </c>
      <c r="H236" s="96" t="s">
        <v>49</v>
      </c>
      <c r="I236" s="96" t="s">
        <v>2</v>
      </c>
      <c r="J236" s="84" t="s">
        <v>1282</v>
      </c>
      <c r="K236" s="84"/>
      <c r="L236" s="84"/>
      <c r="M236" s="307" t="s">
        <v>49</v>
      </c>
    </row>
    <row r="237" spans="1:13" ht="31.5" hidden="1" customHeight="1" x14ac:dyDescent="0.2">
      <c r="A237" s="81">
        <f t="shared" si="3"/>
        <v>236</v>
      </c>
      <c r="B237" s="96" t="s">
        <v>300</v>
      </c>
      <c r="C237" s="177" t="s">
        <v>473</v>
      </c>
      <c r="D237" s="148" t="s">
        <v>1117</v>
      </c>
      <c r="E237" s="182" t="s">
        <v>480</v>
      </c>
      <c r="F237" s="84" t="s">
        <v>48</v>
      </c>
      <c r="G237" s="84">
        <v>6</v>
      </c>
      <c r="H237" s="96" t="s">
        <v>49</v>
      </c>
      <c r="I237" s="96" t="s">
        <v>2</v>
      </c>
      <c r="J237" s="84" t="s">
        <v>1282</v>
      </c>
      <c r="K237" s="84"/>
      <c r="L237" s="84"/>
      <c r="M237" s="307" t="s">
        <v>49</v>
      </c>
    </row>
    <row r="238" spans="1:13" ht="31.5" hidden="1" customHeight="1" x14ac:dyDescent="0.2">
      <c r="A238" s="81">
        <f t="shared" si="3"/>
        <v>237</v>
      </c>
      <c r="B238" s="96" t="s">
        <v>300</v>
      </c>
      <c r="C238" s="177" t="s">
        <v>473</v>
      </c>
      <c r="D238" s="148" t="s">
        <v>1117</v>
      </c>
      <c r="E238" s="182" t="s">
        <v>481</v>
      </c>
      <c r="F238" s="84" t="s">
        <v>48</v>
      </c>
      <c r="G238" s="84">
        <v>6</v>
      </c>
      <c r="H238" s="96" t="s">
        <v>49</v>
      </c>
      <c r="I238" s="96" t="s">
        <v>2</v>
      </c>
      <c r="J238" s="84" t="s">
        <v>1282</v>
      </c>
      <c r="K238" s="84"/>
      <c r="L238" s="84"/>
      <c r="M238" s="307" t="s">
        <v>49</v>
      </c>
    </row>
    <row r="239" spans="1:13" ht="31.5" hidden="1" customHeight="1" x14ac:dyDescent="0.2">
      <c r="A239" s="81">
        <f t="shared" si="3"/>
        <v>238</v>
      </c>
      <c r="B239" s="96" t="s">
        <v>300</v>
      </c>
      <c r="C239" s="177" t="s">
        <v>482</v>
      </c>
      <c r="D239" s="88" t="s">
        <v>483</v>
      </c>
      <c r="E239" s="182" t="s">
        <v>484</v>
      </c>
      <c r="F239" s="84" t="s">
        <v>48</v>
      </c>
      <c r="G239" s="84">
        <v>6</v>
      </c>
      <c r="H239" s="96" t="s">
        <v>49</v>
      </c>
      <c r="I239" s="96" t="s">
        <v>2</v>
      </c>
      <c r="J239" s="84" t="s">
        <v>484</v>
      </c>
      <c r="K239" s="84"/>
      <c r="L239" s="84"/>
      <c r="M239" s="307" t="s">
        <v>49</v>
      </c>
    </row>
    <row r="240" spans="1:13" ht="31.5" hidden="1" customHeight="1" x14ac:dyDescent="0.2">
      <c r="A240" s="81">
        <f t="shared" si="3"/>
        <v>239</v>
      </c>
      <c r="B240" s="96" t="s">
        <v>300</v>
      </c>
      <c r="C240" s="177" t="s">
        <v>482</v>
      </c>
      <c r="D240" s="88" t="s">
        <v>485</v>
      </c>
      <c r="E240" s="182" t="s">
        <v>486</v>
      </c>
      <c r="F240" s="84" t="s">
        <v>48</v>
      </c>
      <c r="G240" s="84">
        <v>6</v>
      </c>
      <c r="H240" s="96" t="s">
        <v>49</v>
      </c>
      <c r="I240" s="96" t="s">
        <v>2</v>
      </c>
      <c r="J240" s="84" t="s">
        <v>486</v>
      </c>
      <c r="K240" s="84"/>
      <c r="L240" s="84"/>
      <c r="M240" s="307" t="s">
        <v>49</v>
      </c>
    </row>
    <row r="241" spans="1:13" ht="31.5" hidden="1" customHeight="1" x14ac:dyDescent="0.2">
      <c r="A241" s="81">
        <f t="shared" si="3"/>
        <v>240</v>
      </c>
      <c r="B241" s="96" t="s">
        <v>300</v>
      </c>
      <c r="C241" s="177" t="s">
        <v>482</v>
      </c>
      <c r="D241" s="88" t="s">
        <v>487</v>
      </c>
      <c r="E241" s="182" t="s">
        <v>488</v>
      </c>
      <c r="F241" s="84" t="s">
        <v>48</v>
      </c>
      <c r="G241" s="84">
        <v>6</v>
      </c>
      <c r="H241" s="96" t="s">
        <v>49</v>
      </c>
      <c r="I241" s="96" t="s">
        <v>2</v>
      </c>
      <c r="J241" s="84" t="s">
        <v>488</v>
      </c>
      <c r="K241" s="84"/>
      <c r="L241" s="84"/>
      <c r="M241" s="307" t="s">
        <v>49</v>
      </c>
    </row>
    <row r="242" spans="1:13" ht="31.5" hidden="1" customHeight="1" x14ac:dyDescent="0.2">
      <c r="A242" s="81">
        <f t="shared" si="3"/>
        <v>241</v>
      </c>
      <c r="B242" s="96" t="s">
        <v>300</v>
      </c>
      <c r="C242" s="177" t="s">
        <v>482</v>
      </c>
      <c r="D242" s="88" t="s">
        <v>489</v>
      </c>
      <c r="E242" s="182" t="s">
        <v>490</v>
      </c>
      <c r="F242" s="84" t="s">
        <v>48</v>
      </c>
      <c r="G242" s="84">
        <v>6</v>
      </c>
      <c r="H242" s="96" t="s">
        <v>49</v>
      </c>
      <c r="I242" s="96" t="s">
        <v>2</v>
      </c>
      <c r="J242" s="84" t="s">
        <v>490</v>
      </c>
      <c r="K242" s="84"/>
      <c r="L242" s="84"/>
      <c r="M242" s="307" t="s">
        <v>49</v>
      </c>
    </row>
    <row r="243" spans="1:13" ht="31.5" hidden="1" customHeight="1" x14ac:dyDescent="0.2">
      <c r="A243" s="81">
        <f t="shared" si="3"/>
        <v>242</v>
      </c>
      <c r="B243" s="96" t="s">
        <v>300</v>
      </c>
      <c r="C243" s="177" t="s">
        <v>491</v>
      </c>
      <c r="D243" s="189" t="s">
        <v>492</v>
      </c>
      <c r="E243" s="182" t="s">
        <v>493</v>
      </c>
      <c r="F243" s="99" t="s">
        <v>48</v>
      </c>
      <c r="G243" s="84">
        <v>6</v>
      </c>
      <c r="H243" s="96" t="s">
        <v>49</v>
      </c>
      <c r="I243" s="96" t="s">
        <v>2</v>
      </c>
      <c r="J243" s="84" t="s">
        <v>494</v>
      </c>
      <c r="K243" s="190" t="s">
        <v>1551</v>
      </c>
      <c r="L243" s="84"/>
      <c r="M243" s="307" t="s">
        <v>49</v>
      </c>
    </row>
    <row r="244" spans="1:13" ht="31.5" hidden="1" customHeight="1" x14ac:dyDescent="0.2">
      <c r="A244" s="81">
        <f t="shared" si="3"/>
        <v>243</v>
      </c>
      <c r="B244" s="96" t="s">
        <v>300</v>
      </c>
      <c r="C244" s="177" t="s">
        <v>491</v>
      </c>
      <c r="D244" s="181" t="s">
        <v>492</v>
      </c>
      <c r="E244" s="182" t="s">
        <v>495</v>
      </c>
      <c r="F244" s="99" t="s">
        <v>48</v>
      </c>
      <c r="G244" s="84">
        <v>6</v>
      </c>
      <c r="H244" s="96" t="s">
        <v>49</v>
      </c>
      <c r="I244" s="96" t="s">
        <v>2</v>
      </c>
      <c r="J244" s="84" t="s">
        <v>494</v>
      </c>
      <c r="K244" s="190" t="s">
        <v>1551</v>
      </c>
      <c r="L244" s="84"/>
      <c r="M244" s="307" t="s">
        <v>49</v>
      </c>
    </row>
    <row r="245" spans="1:13" ht="31.5" hidden="1" customHeight="1" x14ac:dyDescent="0.2">
      <c r="A245" s="81">
        <f t="shared" si="3"/>
        <v>244</v>
      </c>
      <c r="B245" s="96" t="s">
        <v>300</v>
      </c>
      <c r="C245" s="177" t="s">
        <v>491</v>
      </c>
      <c r="D245" s="181" t="s">
        <v>492</v>
      </c>
      <c r="E245" s="182" t="s">
        <v>496</v>
      </c>
      <c r="F245" s="99" t="s">
        <v>48</v>
      </c>
      <c r="G245" s="84">
        <v>6</v>
      </c>
      <c r="H245" s="96" t="s">
        <v>49</v>
      </c>
      <c r="I245" s="96" t="s">
        <v>2</v>
      </c>
      <c r="J245" s="84" t="s">
        <v>494</v>
      </c>
      <c r="K245" s="190" t="s">
        <v>1551</v>
      </c>
      <c r="L245" s="84"/>
      <c r="M245" s="307" t="s">
        <v>49</v>
      </c>
    </row>
    <row r="246" spans="1:13" ht="31.5" hidden="1" customHeight="1" x14ac:dyDescent="0.2">
      <c r="A246" s="81">
        <f t="shared" si="3"/>
        <v>245</v>
      </c>
      <c r="B246" s="96" t="s">
        <v>300</v>
      </c>
      <c r="C246" s="177" t="s">
        <v>497</v>
      </c>
      <c r="D246" s="181" t="s">
        <v>498</v>
      </c>
      <c r="E246" s="182" t="s">
        <v>499</v>
      </c>
      <c r="F246" s="99" t="s">
        <v>48</v>
      </c>
      <c r="G246" s="84">
        <v>6</v>
      </c>
      <c r="H246" s="96" t="s">
        <v>49</v>
      </c>
      <c r="I246" s="96" t="s">
        <v>2</v>
      </c>
      <c r="J246" s="84" t="s">
        <v>500</v>
      </c>
      <c r="K246" s="84"/>
      <c r="L246" s="84"/>
      <c r="M246" s="307" t="s">
        <v>49</v>
      </c>
    </row>
    <row r="247" spans="1:13" ht="31.5" hidden="1" customHeight="1" x14ac:dyDescent="0.2">
      <c r="A247" s="81">
        <f t="shared" si="3"/>
        <v>246</v>
      </c>
      <c r="B247" s="96" t="s">
        <v>300</v>
      </c>
      <c r="C247" s="177" t="s">
        <v>501</v>
      </c>
      <c r="D247" s="181" t="s">
        <v>498</v>
      </c>
      <c r="E247" s="182" t="s">
        <v>502</v>
      </c>
      <c r="F247" s="99" t="s">
        <v>48</v>
      </c>
      <c r="G247" s="84">
        <v>6</v>
      </c>
      <c r="H247" s="96" t="s">
        <v>49</v>
      </c>
      <c r="I247" s="96" t="s">
        <v>2</v>
      </c>
      <c r="J247" s="84" t="s">
        <v>500</v>
      </c>
      <c r="K247" s="84"/>
      <c r="L247" s="84"/>
      <c r="M247" s="307" t="s">
        <v>49</v>
      </c>
    </row>
    <row r="248" spans="1:13" ht="31.5" hidden="1" customHeight="1" x14ac:dyDescent="0.2">
      <c r="A248" s="81">
        <f t="shared" si="3"/>
        <v>247</v>
      </c>
      <c r="B248" s="96" t="s">
        <v>300</v>
      </c>
      <c r="C248" s="177" t="s">
        <v>501</v>
      </c>
      <c r="D248" s="181" t="s">
        <v>498</v>
      </c>
      <c r="E248" s="182" t="s">
        <v>503</v>
      </c>
      <c r="F248" s="99" t="s">
        <v>48</v>
      </c>
      <c r="G248" s="84">
        <v>6</v>
      </c>
      <c r="H248" s="96" t="s">
        <v>49</v>
      </c>
      <c r="I248" s="96" t="s">
        <v>2</v>
      </c>
      <c r="J248" s="84" t="s">
        <v>500</v>
      </c>
      <c r="K248" s="84"/>
      <c r="L248" s="84"/>
      <c r="M248" s="307" t="s">
        <v>49</v>
      </c>
    </row>
    <row r="249" spans="1:13" ht="31.5" hidden="1" customHeight="1" x14ac:dyDescent="0.2">
      <c r="A249" s="81">
        <f t="shared" si="3"/>
        <v>248</v>
      </c>
      <c r="B249" s="96" t="s">
        <v>300</v>
      </c>
      <c r="C249" s="177" t="s">
        <v>501</v>
      </c>
      <c r="D249" s="181" t="s">
        <v>498</v>
      </c>
      <c r="E249" s="182" t="s">
        <v>504</v>
      </c>
      <c r="F249" s="99" t="s">
        <v>48</v>
      </c>
      <c r="G249" s="84">
        <v>6</v>
      </c>
      <c r="H249" s="96" t="s">
        <v>49</v>
      </c>
      <c r="I249" s="96" t="s">
        <v>2</v>
      </c>
      <c r="J249" s="84" t="s">
        <v>500</v>
      </c>
      <c r="K249" s="84"/>
      <c r="L249" s="84"/>
      <c r="M249" s="307" t="s">
        <v>49</v>
      </c>
    </row>
    <row r="250" spans="1:13" ht="31.5" hidden="1" customHeight="1" x14ac:dyDescent="0.2">
      <c r="A250" s="81">
        <f t="shared" si="3"/>
        <v>249</v>
      </c>
      <c r="B250" s="96" t="s">
        <v>408</v>
      </c>
      <c r="C250" s="177" t="s">
        <v>505</v>
      </c>
      <c r="D250" s="191" t="s">
        <v>414</v>
      </c>
      <c r="E250" s="184" t="s">
        <v>506</v>
      </c>
      <c r="F250" s="84" t="s">
        <v>48</v>
      </c>
      <c r="G250" s="84">
        <v>6</v>
      </c>
      <c r="H250" s="96" t="s">
        <v>49</v>
      </c>
      <c r="I250" s="96" t="s">
        <v>2</v>
      </c>
      <c r="J250" s="84" t="s">
        <v>416</v>
      </c>
      <c r="K250" s="99" t="s">
        <v>412</v>
      </c>
      <c r="L250" s="99"/>
      <c r="M250" s="307" t="s">
        <v>49</v>
      </c>
    </row>
    <row r="251" spans="1:13" ht="31.5" hidden="1" customHeight="1" x14ac:dyDescent="0.2">
      <c r="A251" s="81">
        <f t="shared" si="3"/>
        <v>250</v>
      </c>
      <c r="B251" s="96" t="s">
        <v>408</v>
      </c>
      <c r="C251" s="177" t="s">
        <v>507</v>
      </c>
      <c r="D251" s="191" t="s">
        <v>414</v>
      </c>
      <c r="E251" s="184" t="s">
        <v>508</v>
      </c>
      <c r="F251" s="84" t="s">
        <v>48</v>
      </c>
      <c r="G251" s="84">
        <v>6</v>
      </c>
      <c r="H251" s="96" t="s">
        <v>49</v>
      </c>
      <c r="I251" s="96" t="s">
        <v>2</v>
      </c>
      <c r="J251" s="84" t="s">
        <v>416</v>
      </c>
      <c r="K251" s="99" t="s">
        <v>412</v>
      </c>
      <c r="L251" s="99"/>
      <c r="M251" s="307" t="s">
        <v>49</v>
      </c>
    </row>
    <row r="252" spans="1:13" ht="31.5" hidden="1" customHeight="1" x14ac:dyDescent="0.2">
      <c r="A252" s="81">
        <f t="shared" si="3"/>
        <v>251</v>
      </c>
      <c r="B252" s="96" t="s">
        <v>64</v>
      </c>
      <c r="C252" s="177" t="s">
        <v>509</v>
      </c>
      <c r="D252" s="183" t="s">
        <v>67</v>
      </c>
      <c r="E252" s="182" t="s">
        <v>510</v>
      </c>
      <c r="F252" s="84" t="s">
        <v>48</v>
      </c>
      <c r="G252" s="84">
        <v>6</v>
      </c>
      <c r="H252" s="96" t="s">
        <v>49</v>
      </c>
      <c r="I252" s="96" t="s">
        <v>2</v>
      </c>
      <c r="J252" s="84" t="s">
        <v>69</v>
      </c>
      <c r="K252" s="84"/>
      <c r="L252" s="84"/>
      <c r="M252" s="307" t="s">
        <v>49</v>
      </c>
    </row>
    <row r="253" spans="1:13" ht="31.5" hidden="1" customHeight="1" x14ac:dyDescent="0.2">
      <c r="A253" s="81">
        <f t="shared" si="3"/>
        <v>252</v>
      </c>
      <c r="B253" s="96" t="s">
        <v>300</v>
      </c>
      <c r="C253" s="177" t="s">
        <v>511</v>
      </c>
      <c r="D253" s="181" t="s">
        <v>357</v>
      </c>
      <c r="E253" s="182" t="s">
        <v>512</v>
      </c>
      <c r="F253" s="84" t="s">
        <v>48</v>
      </c>
      <c r="G253" s="84">
        <v>6</v>
      </c>
      <c r="H253" s="96" t="s">
        <v>49</v>
      </c>
      <c r="I253" s="96" t="s">
        <v>2</v>
      </c>
      <c r="J253" s="84" t="s">
        <v>359</v>
      </c>
      <c r="K253" s="84"/>
      <c r="L253" s="84"/>
      <c r="M253" s="307" t="s">
        <v>49</v>
      </c>
    </row>
    <row r="254" spans="1:13" ht="31.5" hidden="1" customHeight="1" x14ac:dyDescent="0.2">
      <c r="A254" s="81">
        <f t="shared" si="3"/>
        <v>253</v>
      </c>
      <c r="B254" s="96" t="s">
        <v>143</v>
      </c>
      <c r="C254" s="177" t="s">
        <v>513</v>
      </c>
      <c r="D254" s="181" t="s">
        <v>377</v>
      </c>
      <c r="E254" s="182" t="s">
        <v>514</v>
      </c>
      <c r="F254" s="84" t="s">
        <v>48</v>
      </c>
      <c r="G254" s="84">
        <v>6</v>
      </c>
      <c r="H254" s="96" t="s">
        <v>49</v>
      </c>
      <c r="I254" s="96" t="s">
        <v>2</v>
      </c>
      <c r="J254" s="84" t="s">
        <v>379</v>
      </c>
      <c r="K254" s="84"/>
      <c r="L254" s="84"/>
      <c r="M254" s="307" t="s">
        <v>49</v>
      </c>
    </row>
    <row r="255" spans="1:13" ht="31.5" hidden="1" customHeight="1" x14ac:dyDescent="0.2">
      <c r="A255" s="81">
        <f t="shared" si="3"/>
        <v>254</v>
      </c>
      <c r="B255" s="96" t="s">
        <v>143</v>
      </c>
      <c r="C255" s="177" t="s">
        <v>513</v>
      </c>
      <c r="D255" s="187" t="s">
        <v>382</v>
      </c>
      <c r="E255" s="182" t="s">
        <v>515</v>
      </c>
      <c r="F255" s="84" t="s">
        <v>48</v>
      </c>
      <c r="G255" s="84">
        <v>6</v>
      </c>
      <c r="H255" s="96" t="s">
        <v>49</v>
      </c>
      <c r="I255" s="82" t="s">
        <v>889</v>
      </c>
      <c r="J255" s="84" t="s">
        <v>384</v>
      </c>
      <c r="K255" s="180" t="s">
        <v>1710</v>
      </c>
      <c r="L255" s="84"/>
      <c r="M255" s="307" t="s">
        <v>49</v>
      </c>
    </row>
    <row r="256" spans="1:13" ht="31.5" customHeight="1" x14ac:dyDescent="0.2">
      <c r="A256" s="81">
        <f t="shared" si="3"/>
        <v>255</v>
      </c>
      <c r="B256" s="96" t="s">
        <v>42</v>
      </c>
      <c r="C256" s="177" t="s">
        <v>516</v>
      </c>
      <c r="D256" s="192" t="s">
        <v>1681</v>
      </c>
      <c r="E256" s="153" t="s">
        <v>517</v>
      </c>
      <c r="F256" s="99" t="s">
        <v>48</v>
      </c>
      <c r="G256" s="84">
        <v>7</v>
      </c>
      <c r="H256" s="96" t="s">
        <v>61</v>
      </c>
      <c r="I256" s="96" t="s">
        <v>2</v>
      </c>
      <c r="J256" s="171" t="s">
        <v>1697</v>
      </c>
      <c r="K256" s="171"/>
      <c r="L256" s="84"/>
      <c r="M256" s="307" t="s">
        <v>61</v>
      </c>
    </row>
    <row r="257" spans="1:13" ht="31.5" customHeight="1" x14ac:dyDescent="0.2">
      <c r="A257" s="81">
        <f t="shared" si="3"/>
        <v>256</v>
      </c>
      <c r="B257" s="96" t="s">
        <v>42</v>
      </c>
      <c r="C257" s="177" t="s">
        <v>516</v>
      </c>
      <c r="D257" s="192" t="s">
        <v>1681</v>
      </c>
      <c r="E257" s="89" t="s">
        <v>518</v>
      </c>
      <c r="F257" s="99" t="s">
        <v>48</v>
      </c>
      <c r="G257" s="84">
        <v>7</v>
      </c>
      <c r="H257" s="96" t="s">
        <v>61</v>
      </c>
      <c r="I257" s="96" t="s">
        <v>2</v>
      </c>
      <c r="J257" s="171" t="s">
        <v>1697</v>
      </c>
      <c r="K257" s="171"/>
      <c r="L257" s="84"/>
      <c r="M257" s="307" t="s">
        <v>61</v>
      </c>
    </row>
    <row r="258" spans="1:13" ht="31.5" customHeight="1" x14ac:dyDescent="0.2">
      <c r="A258" s="81">
        <f t="shared" si="3"/>
        <v>257</v>
      </c>
      <c r="B258" s="96" t="s">
        <v>42</v>
      </c>
      <c r="C258" s="177" t="s">
        <v>516</v>
      </c>
      <c r="D258" s="192" t="s">
        <v>1681</v>
      </c>
      <c r="E258" s="89" t="s">
        <v>519</v>
      </c>
      <c r="F258" s="99" t="s">
        <v>48</v>
      </c>
      <c r="G258" s="84">
        <v>7</v>
      </c>
      <c r="H258" s="96" t="s">
        <v>61</v>
      </c>
      <c r="I258" s="96" t="s">
        <v>2</v>
      </c>
      <c r="J258" s="171" t="s">
        <v>1697</v>
      </c>
      <c r="K258" s="171"/>
      <c r="L258" s="84"/>
      <c r="M258" s="307" t="s">
        <v>61</v>
      </c>
    </row>
    <row r="259" spans="1:13" ht="31.5" customHeight="1" x14ac:dyDescent="0.2">
      <c r="A259" s="81">
        <f t="shared" ref="A259:A322" si="4">A258+1</f>
        <v>258</v>
      </c>
      <c r="B259" s="96" t="s">
        <v>42</v>
      </c>
      <c r="C259" s="177" t="s">
        <v>520</v>
      </c>
      <c r="D259" s="111" t="s">
        <v>521</v>
      </c>
      <c r="E259" s="153" t="s">
        <v>521</v>
      </c>
      <c r="F259" s="99" t="s">
        <v>48</v>
      </c>
      <c r="G259" s="84">
        <v>7</v>
      </c>
      <c r="H259" s="96" t="s">
        <v>61</v>
      </c>
      <c r="I259" s="96" t="s">
        <v>2</v>
      </c>
      <c r="J259" s="171" t="s">
        <v>521</v>
      </c>
      <c r="K259" s="171"/>
      <c r="L259" s="84"/>
      <c r="M259" s="307" t="s">
        <v>61</v>
      </c>
    </row>
    <row r="260" spans="1:13" ht="31.5" customHeight="1" x14ac:dyDescent="0.2">
      <c r="A260" s="81">
        <f t="shared" si="4"/>
        <v>259</v>
      </c>
      <c r="B260" s="96" t="s">
        <v>42</v>
      </c>
      <c r="C260" s="177" t="s">
        <v>522</v>
      </c>
      <c r="D260" s="112" t="s">
        <v>891</v>
      </c>
      <c r="E260" s="153" t="s">
        <v>523</v>
      </c>
      <c r="F260" s="99" t="s">
        <v>48</v>
      </c>
      <c r="G260" s="84">
        <v>7</v>
      </c>
      <c r="H260" s="96" t="s">
        <v>61</v>
      </c>
      <c r="I260" s="96" t="s">
        <v>2</v>
      </c>
      <c r="J260" s="171" t="s">
        <v>1055</v>
      </c>
      <c r="K260" s="303" t="s">
        <v>2388</v>
      </c>
      <c r="L260" s="84"/>
      <c r="M260" s="307" t="s">
        <v>49</v>
      </c>
    </row>
    <row r="261" spans="1:13" ht="31.5" customHeight="1" x14ac:dyDescent="0.2">
      <c r="A261" s="81">
        <f t="shared" si="4"/>
        <v>260</v>
      </c>
      <c r="B261" s="96" t="s">
        <v>42</v>
      </c>
      <c r="C261" s="177" t="s">
        <v>522</v>
      </c>
      <c r="D261" s="112" t="s">
        <v>891</v>
      </c>
      <c r="E261" s="89" t="s">
        <v>524</v>
      </c>
      <c r="F261" s="99" t="s">
        <v>48</v>
      </c>
      <c r="G261" s="84">
        <v>7</v>
      </c>
      <c r="H261" s="96" t="s">
        <v>61</v>
      </c>
      <c r="I261" s="96" t="s">
        <v>2</v>
      </c>
      <c r="J261" s="171" t="s">
        <v>1055</v>
      </c>
      <c r="K261" s="193" t="s">
        <v>1699</v>
      </c>
      <c r="L261" s="84"/>
      <c r="M261" s="307" t="s">
        <v>61</v>
      </c>
    </row>
    <row r="262" spans="1:13" ht="31.5" hidden="1" customHeight="1" x14ac:dyDescent="0.2">
      <c r="A262" s="81">
        <f t="shared" si="4"/>
        <v>261</v>
      </c>
      <c r="B262" s="96" t="s">
        <v>42</v>
      </c>
      <c r="C262" s="177" t="s">
        <v>522</v>
      </c>
      <c r="D262" s="89" t="s">
        <v>525</v>
      </c>
      <c r="E262" s="89" t="s">
        <v>526</v>
      </c>
      <c r="F262" s="99" t="s">
        <v>48</v>
      </c>
      <c r="G262" s="84">
        <v>7</v>
      </c>
      <c r="H262" s="96" t="s">
        <v>49</v>
      </c>
      <c r="I262" s="96" t="s">
        <v>2</v>
      </c>
      <c r="J262" s="171" t="s">
        <v>527</v>
      </c>
      <c r="K262" s="171"/>
      <c r="L262" s="84"/>
      <c r="M262" s="307" t="s">
        <v>49</v>
      </c>
    </row>
    <row r="263" spans="1:13" ht="31.5" hidden="1" customHeight="1" x14ac:dyDescent="0.2">
      <c r="A263" s="81">
        <f t="shared" si="4"/>
        <v>262</v>
      </c>
      <c r="B263" s="96" t="s">
        <v>42</v>
      </c>
      <c r="C263" s="177" t="s">
        <v>522</v>
      </c>
      <c r="D263" s="89" t="s">
        <v>525</v>
      </c>
      <c r="E263" s="89" t="s">
        <v>528</v>
      </c>
      <c r="F263" s="99" t="s">
        <v>48</v>
      </c>
      <c r="G263" s="84">
        <v>7</v>
      </c>
      <c r="H263" s="96" t="s">
        <v>49</v>
      </c>
      <c r="I263" s="96" t="s">
        <v>2</v>
      </c>
      <c r="J263" s="171" t="s">
        <v>527</v>
      </c>
      <c r="K263" s="171"/>
      <c r="L263" s="84"/>
      <c r="M263" s="307" t="s">
        <v>49</v>
      </c>
    </row>
    <row r="264" spans="1:13" ht="31.5" customHeight="1" x14ac:dyDescent="0.2">
      <c r="A264" s="81">
        <f t="shared" si="4"/>
        <v>263</v>
      </c>
      <c r="B264" s="96" t="s">
        <v>42</v>
      </c>
      <c r="C264" s="177" t="s">
        <v>529</v>
      </c>
      <c r="D264" s="112" t="s">
        <v>1682</v>
      </c>
      <c r="E264" s="153" t="s">
        <v>530</v>
      </c>
      <c r="F264" s="99" t="s">
        <v>48</v>
      </c>
      <c r="G264" s="84">
        <v>7</v>
      </c>
      <c r="H264" s="96" t="s">
        <v>61</v>
      </c>
      <c r="I264" s="96" t="s">
        <v>2</v>
      </c>
      <c r="J264" s="171" t="s">
        <v>1698</v>
      </c>
      <c r="K264" s="181" t="s">
        <v>531</v>
      </c>
      <c r="L264" s="99"/>
      <c r="M264" s="307" t="s">
        <v>61</v>
      </c>
    </row>
    <row r="265" spans="1:13" ht="31.5" hidden="1" customHeight="1" x14ac:dyDescent="0.2">
      <c r="A265" s="81">
        <f t="shared" si="4"/>
        <v>264</v>
      </c>
      <c r="B265" s="96" t="s">
        <v>42</v>
      </c>
      <c r="C265" s="177" t="s">
        <v>532</v>
      </c>
      <c r="D265" s="153" t="s">
        <v>533</v>
      </c>
      <c r="E265" s="153" t="s">
        <v>534</v>
      </c>
      <c r="F265" s="99" t="s">
        <v>48</v>
      </c>
      <c r="G265" s="84">
        <v>7</v>
      </c>
      <c r="H265" s="96" t="s">
        <v>49</v>
      </c>
      <c r="I265" s="96" t="s">
        <v>2</v>
      </c>
      <c r="J265" s="171" t="s">
        <v>534</v>
      </c>
      <c r="K265" s="171"/>
      <c r="L265" s="84"/>
      <c r="M265" s="307" t="s">
        <v>49</v>
      </c>
    </row>
    <row r="266" spans="1:13" ht="31.5" hidden="1" customHeight="1" x14ac:dyDescent="0.2">
      <c r="A266" s="81">
        <f t="shared" si="4"/>
        <v>265</v>
      </c>
      <c r="B266" s="96" t="s">
        <v>42</v>
      </c>
      <c r="C266" s="177" t="s">
        <v>532</v>
      </c>
      <c r="D266" s="120" t="s">
        <v>535</v>
      </c>
      <c r="E266" s="89" t="s">
        <v>536</v>
      </c>
      <c r="F266" s="99" t="s">
        <v>48</v>
      </c>
      <c r="G266" s="84">
        <v>7</v>
      </c>
      <c r="H266" s="96" t="s">
        <v>49</v>
      </c>
      <c r="I266" s="96" t="s">
        <v>2</v>
      </c>
      <c r="J266" s="171" t="s">
        <v>536</v>
      </c>
      <c r="K266" s="171"/>
      <c r="L266" s="84"/>
      <c r="M266" s="307" t="s">
        <v>49</v>
      </c>
    </row>
    <row r="267" spans="1:13" ht="31.5" hidden="1" customHeight="1" x14ac:dyDescent="0.2">
      <c r="A267" s="81">
        <f t="shared" si="4"/>
        <v>266</v>
      </c>
      <c r="B267" s="96" t="s">
        <v>42</v>
      </c>
      <c r="C267" s="177" t="s">
        <v>532</v>
      </c>
      <c r="D267" s="120" t="s">
        <v>537</v>
      </c>
      <c r="E267" s="89" t="s">
        <v>538</v>
      </c>
      <c r="F267" s="99" t="s">
        <v>48</v>
      </c>
      <c r="G267" s="84">
        <v>7</v>
      </c>
      <c r="H267" s="96" t="s">
        <v>49</v>
      </c>
      <c r="I267" s="96" t="s">
        <v>2</v>
      </c>
      <c r="J267" s="171" t="s">
        <v>538</v>
      </c>
      <c r="K267" s="171"/>
      <c r="L267" s="84"/>
      <c r="M267" s="307" t="s">
        <v>49</v>
      </c>
    </row>
    <row r="268" spans="1:13" ht="31.5" hidden="1" customHeight="1" x14ac:dyDescent="0.2">
      <c r="A268" s="81">
        <f t="shared" si="4"/>
        <v>267</v>
      </c>
      <c r="B268" s="96" t="s">
        <v>42</v>
      </c>
      <c r="C268" s="177" t="s">
        <v>532</v>
      </c>
      <c r="D268" s="120" t="s">
        <v>539</v>
      </c>
      <c r="E268" s="89" t="s">
        <v>540</v>
      </c>
      <c r="F268" s="99" t="s">
        <v>48</v>
      </c>
      <c r="G268" s="84">
        <v>7</v>
      </c>
      <c r="H268" s="96" t="s">
        <v>49</v>
      </c>
      <c r="I268" s="96" t="s">
        <v>2</v>
      </c>
      <c r="J268" s="171" t="s">
        <v>540</v>
      </c>
      <c r="K268" s="171"/>
      <c r="L268" s="84"/>
      <c r="M268" s="307" t="s">
        <v>49</v>
      </c>
    </row>
    <row r="269" spans="1:13" ht="31.5" hidden="1" customHeight="1" x14ac:dyDescent="0.2">
      <c r="A269" s="81">
        <f t="shared" si="4"/>
        <v>268</v>
      </c>
      <c r="B269" s="96" t="s">
        <v>42</v>
      </c>
      <c r="C269" s="177" t="s">
        <v>532</v>
      </c>
      <c r="D269" s="120" t="s">
        <v>541</v>
      </c>
      <c r="E269" s="89" t="s">
        <v>542</v>
      </c>
      <c r="F269" s="99" t="s">
        <v>48</v>
      </c>
      <c r="G269" s="84">
        <v>7</v>
      </c>
      <c r="H269" s="96" t="s">
        <v>49</v>
      </c>
      <c r="I269" s="96" t="s">
        <v>2</v>
      </c>
      <c r="J269" s="171" t="s">
        <v>542</v>
      </c>
      <c r="K269" s="171"/>
      <c r="L269" s="84"/>
      <c r="M269" s="307" t="s">
        <v>49</v>
      </c>
    </row>
    <row r="270" spans="1:13" ht="31.5" hidden="1" customHeight="1" x14ac:dyDescent="0.2">
      <c r="A270" s="81">
        <f t="shared" si="4"/>
        <v>269</v>
      </c>
      <c r="B270" s="96" t="s">
        <v>42</v>
      </c>
      <c r="C270" s="177" t="s">
        <v>532</v>
      </c>
      <c r="D270" s="120" t="s">
        <v>543</v>
      </c>
      <c r="E270" s="89" t="s">
        <v>544</v>
      </c>
      <c r="F270" s="99" t="s">
        <v>48</v>
      </c>
      <c r="G270" s="84">
        <v>7</v>
      </c>
      <c r="H270" s="96" t="s">
        <v>49</v>
      </c>
      <c r="I270" s="96" t="s">
        <v>2</v>
      </c>
      <c r="J270" s="171" t="s">
        <v>544</v>
      </c>
      <c r="K270" s="171"/>
      <c r="L270" s="84"/>
      <c r="M270" s="307" t="s">
        <v>49</v>
      </c>
    </row>
    <row r="271" spans="1:13" ht="31.5" hidden="1" customHeight="1" x14ac:dyDescent="0.2">
      <c r="A271" s="81">
        <f t="shared" si="4"/>
        <v>270</v>
      </c>
      <c r="B271" s="215" t="s">
        <v>42</v>
      </c>
      <c r="C271" s="301" t="s">
        <v>545</v>
      </c>
      <c r="D271" s="205" t="s">
        <v>1320</v>
      </c>
      <c r="E271" s="302" t="s">
        <v>546</v>
      </c>
      <c r="F271" s="99" t="s">
        <v>48</v>
      </c>
      <c r="G271" s="84">
        <v>7</v>
      </c>
      <c r="H271" s="96" t="s">
        <v>49</v>
      </c>
      <c r="I271" s="96" t="s">
        <v>2</v>
      </c>
      <c r="J271" s="171" t="s">
        <v>1074</v>
      </c>
      <c r="K271" s="300"/>
      <c r="L271" s="84"/>
      <c r="M271" s="307" t="s">
        <v>49</v>
      </c>
    </row>
    <row r="272" spans="1:13" ht="31.5" hidden="1" customHeight="1" x14ac:dyDescent="0.2">
      <c r="A272" s="295">
        <f t="shared" si="4"/>
        <v>271</v>
      </c>
      <c r="B272" s="299" t="s">
        <v>42</v>
      </c>
      <c r="C272" s="296" t="s">
        <v>545</v>
      </c>
      <c r="D272" s="121" t="s">
        <v>1321</v>
      </c>
      <c r="E272" s="150" t="s">
        <v>547</v>
      </c>
      <c r="F272" s="99" t="s">
        <v>48</v>
      </c>
      <c r="G272" s="84">
        <v>7</v>
      </c>
      <c r="H272" s="96" t="s">
        <v>49</v>
      </c>
      <c r="I272" s="96" t="s">
        <v>2</v>
      </c>
      <c r="J272" s="171" t="s">
        <v>1056</v>
      </c>
      <c r="K272" s="300" t="s">
        <v>2385</v>
      </c>
      <c r="L272" s="84"/>
      <c r="M272" s="307"/>
    </row>
    <row r="273" spans="1:13" ht="31.5" hidden="1" customHeight="1" x14ac:dyDescent="0.2">
      <c r="A273" s="81">
        <f t="shared" si="4"/>
        <v>272</v>
      </c>
      <c r="B273" s="96" t="s">
        <v>42</v>
      </c>
      <c r="C273" s="177" t="s">
        <v>548</v>
      </c>
      <c r="D273" s="112" t="s">
        <v>1320</v>
      </c>
      <c r="E273" s="153" t="s">
        <v>549</v>
      </c>
      <c r="F273" s="99" t="s">
        <v>48</v>
      </c>
      <c r="G273" s="84">
        <v>7</v>
      </c>
      <c r="H273" s="96" t="s">
        <v>49</v>
      </c>
      <c r="I273" s="96" t="s">
        <v>2</v>
      </c>
      <c r="J273" s="171" t="s">
        <v>1074</v>
      </c>
      <c r="K273" s="171"/>
      <c r="L273" s="84"/>
      <c r="M273" s="307" t="s">
        <v>49</v>
      </c>
    </row>
    <row r="274" spans="1:13" ht="31.5" hidden="1" customHeight="1" x14ac:dyDescent="0.2">
      <c r="A274" s="81">
        <f t="shared" si="4"/>
        <v>273</v>
      </c>
      <c r="B274" s="96" t="s">
        <v>42</v>
      </c>
      <c r="C274" s="177" t="s">
        <v>548</v>
      </c>
      <c r="D274" s="112" t="s">
        <v>1321</v>
      </c>
      <c r="E274" s="89" t="s">
        <v>550</v>
      </c>
      <c r="F274" s="99" t="s">
        <v>48</v>
      </c>
      <c r="G274" s="84">
        <v>7</v>
      </c>
      <c r="H274" s="96" t="s">
        <v>49</v>
      </c>
      <c r="I274" s="96" t="s">
        <v>2</v>
      </c>
      <c r="J274" s="171" t="s">
        <v>1056</v>
      </c>
      <c r="K274" s="171"/>
      <c r="L274" s="84"/>
      <c r="M274" s="307"/>
    </row>
    <row r="275" spans="1:13" ht="31.5" hidden="1" customHeight="1" x14ac:dyDescent="0.2">
      <c r="A275" s="81">
        <f t="shared" si="4"/>
        <v>274</v>
      </c>
      <c r="B275" s="96" t="s">
        <v>42</v>
      </c>
      <c r="C275" s="177" t="s">
        <v>551</v>
      </c>
      <c r="D275" s="113" t="s">
        <v>893</v>
      </c>
      <c r="E275" s="153" t="s">
        <v>552</v>
      </c>
      <c r="F275" s="99" t="s">
        <v>48</v>
      </c>
      <c r="G275" s="84">
        <v>7</v>
      </c>
      <c r="H275" s="96" t="s">
        <v>49</v>
      </c>
      <c r="I275" s="96" t="s">
        <v>2</v>
      </c>
      <c r="J275" s="171" t="s">
        <v>1057</v>
      </c>
      <c r="K275" s="171"/>
      <c r="L275" s="84"/>
      <c r="M275" s="307" t="s">
        <v>49</v>
      </c>
    </row>
    <row r="276" spans="1:13" ht="31.5" hidden="1" customHeight="1" x14ac:dyDescent="0.2">
      <c r="A276" s="81">
        <f t="shared" si="4"/>
        <v>275</v>
      </c>
      <c r="B276" s="96" t="s">
        <v>42</v>
      </c>
      <c r="C276" s="177" t="s">
        <v>551</v>
      </c>
      <c r="D276" s="113" t="s">
        <v>893</v>
      </c>
      <c r="E276" s="89" t="s">
        <v>553</v>
      </c>
      <c r="F276" s="99" t="s">
        <v>48</v>
      </c>
      <c r="G276" s="84">
        <v>7</v>
      </c>
      <c r="H276" s="96" t="s">
        <v>49</v>
      </c>
      <c r="I276" s="96" t="s">
        <v>2</v>
      </c>
      <c r="J276" s="171" t="s">
        <v>1057</v>
      </c>
      <c r="K276" s="171"/>
      <c r="L276" s="84"/>
      <c r="M276" s="307" t="s">
        <v>49</v>
      </c>
    </row>
    <row r="277" spans="1:13" ht="31.5" customHeight="1" x14ac:dyDescent="0.2">
      <c r="A277" s="81">
        <f t="shared" si="4"/>
        <v>276</v>
      </c>
      <c r="B277" s="96" t="s">
        <v>42</v>
      </c>
      <c r="C277" s="177" t="s">
        <v>551</v>
      </c>
      <c r="D277" s="113" t="s">
        <v>894</v>
      </c>
      <c r="E277" s="89" t="s">
        <v>554</v>
      </c>
      <c r="F277" s="99" t="s">
        <v>48</v>
      </c>
      <c r="G277" s="84">
        <v>7</v>
      </c>
      <c r="H277" s="96" t="s">
        <v>61</v>
      </c>
      <c r="I277" s="96" t="s">
        <v>2</v>
      </c>
      <c r="J277" s="171" t="s">
        <v>1058</v>
      </c>
      <c r="K277" s="171"/>
      <c r="L277" s="84"/>
      <c r="M277" s="307" t="s">
        <v>61</v>
      </c>
    </row>
    <row r="278" spans="1:13" ht="31.5" customHeight="1" x14ac:dyDescent="0.2">
      <c r="A278" s="81">
        <f t="shared" si="4"/>
        <v>277</v>
      </c>
      <c r="B278" s="96" t="s">
        <v>42</v>
      </c>
      <c r="C278" s="177" t="s">
        <v>551</v>
      </c>
      <c r="D278" s="113" t="s">
        <v>894</v>
      </c>
      <c r="E278" s="89" t="s">
        <v>555</v>
      </c>
      <c r="F278" s="99" t="s">
        <v>48</v>
      </c>
      <c r="G278" s="84">
        <v>7</v>
      </c>
      <c r="H278" s="96" t="s">
        <v>61</v>
      </c>
      <c r="I278" s="96" t="s">
        <v>2</v>
      </c>
      <c r="J278" s="171" t="s">
        <v>1058</v>
      </c>
      <c r="K278" s="171"/>
      <c r="L278" s="84"/>
      <c r="M278" s="307" t="s">
        <v>61</v>
      </c>
    </row>
    <row r="279" spans="1:13" ht="31.5" hidden="1" customHeight="1" x14ac:dyDescent="0.2">
      <c r="A279" s="81">
        <f t="shared" si="4"/>
        <v>278</v>
      </c>
      <c r="B279" s="96" t="s">
        <v>42</v>
      </c>
      <c r="C279" s="177" t="s">
        <v>556</v>
      </c>
      <c r="D279" s="112" t="s">
        <v>1320</v>
      </c>
      <c r="E279" s="153" t="s">
        <v>557</v>
      </c>
      <c r="F279" s="99" t="s">
        <v>48</v>
      </c>
      <c r="G279" s="84">
        <v>7</v>
      </c>
      <c r="H279" s="96" t="s">
        <v>49</v>
      </c>
      <c r="I279" s="96" t="s">
        <v>2</v>
      </c>
      <c r="J279" s="171" t="s">
        <v>1074</v>
      </c>
      <c r="K279" s="171"/>
      <c r="L279" s="84"/>
      <c r="M279" s="307" t="s">
        <v>49</v>
      </c>
    </row>
    <row r="280" spans="1:13" ht="31.5" hidden="1" customHeight="1" x14ac:dyDescent="0.2">
      <c r="A280" s="81">
        <f t="shared" si="4"/>
        <v>279</v>
      </c>
      <c r="B280" s="96" t="s">
        <v>42</v>
      </c>
      <c r="C280" s="177" t="s">
        <v>556</v>
      </c>
      <c r="D280" s="112" t="s">
        <v>1321</v>
      </c>
      <c r="E280" s="153" t="s">
        <v>558</v>
      </c>
      <c r="F280" s="99" t="s">
        <v>48</v>
      </c>
      <c r="G280" s="84">
        <v>7</v>
      </c>
      <c r="H280" s="96" t="s">
        <v>49</v>
      </c>
      <c r="I280" s="96" t="s">
        <v>2</v>
      </c>
      <c r="J280" s="171" t="s">
        <v>1056</v>
      </c>
      <c r="K280" s="171"/>
      <c r="L280" s="84"/>
      <c r="M280" s="307"/>
    </row>
    <row r="281" spans="1:13" ht="31.5" hidden="1" customHeight="1" x14ac:dyDescent="0.2">
      <c r="A281" s="81">
        <f t="shared" si="4"/>
        <v>280</v>
      </c>
      <c r="B281" s="96" t="s">
        <v>42</v>
      </c>
      <c r="C281" s="177" t="s">
        <v>559</v>
      </c>
      <c r="D281" s="194" t="s">
        <v>892</v>
      </c>
      <c r="E281" s="153" t="s">
        <v>560</v>
      </c>
      <c r="F281" s="99" t="s">
        <v>48</v>
      </c>
      <c r="G281" s="84">
        <v>7</v>
      </c>
      <c r="H281" s="96" t="s">
        <v>49</v>
      </c>
      <c r="I281" s="96" t="s">
        <v>2</v>
      </c>
      <c r="J281" s="171" t="s">
        <v>1059</v>
      </c>
      <c r="K281" s="171"/>
      <c r="L281" s="84"/>
      <c r="M281" s="307" t="s">
        <v>49</v>
      </c>
    </row>
    <row r="282" spans="1:13" ht="31.5" hidden="1" customHeight="1" x14ac:dyDescent="0.2">
      <c r="A282" s="81">
        <f t="shared" si="4"/>
        <v>281</v>
      </c>
      <c r="B282" s="96" t="s">
        <v>42</v>
      </c>
      <c r="C282" s="177" t="s">
        <v>559</v>
      </c>
      <c r="D282" s="194" t="s">
        <v>892</v>
      </c>
      <c r="E282" s="89" t="s">
        <v>561</v>
      </c>
      <c r="F282" s="99" t="s">
        <v>48</v>
      </c>
      <c r="G282" s="84">
        <v>7</v>
      </c>
      <c r="H282" s="96" t="s">
        <v>49</v>
      </c>
      <c r="I282" s="96" t="s">
        <v>2</v>
      </c>
      <c r="J282" s="171" t="s">
        <v>1059</v>
      </c>
      <c r="K282" s="171"/>
      <c r="L282" s="84"/>
      <c r="M282" s="307" t="s">
        <v>49</v>
      </c>
    </row>
    <row r="283" spans="1:13" ht="31.5" hidden="1" customHeight="1" x14ac:dyDescent="0.2">
      <c r="A283" s="81">
        <f t="shared" si="4"/>
        <v>282</v>
      </c>
      <c r="B283" s="96" t="s">
        <v>42</v>
      </c>
      <c r="C283" s="177" t="s">
        <v>562</v>
      </c>
      <c r="D283" s="111" t="s">
        <v>1315</v>
      </c>
      <c r="E283" s="153" t="s">
        <v>563</v>
      </c>
      <c r="F283" s="99" t="s">
        <v>48</v>
      </c>
      <c r="G283" s="84">
        <v>7</v>
      </c>
      <c r="H283" s="96" t="s">
        <v>49</v>
      </c>
      <c r="I283" s="96" t="s">
        <v>2</v>
      </c>
      <c r="J283" s="171" t="s">
        <v>1516</v>
      </c>
      <c r="K283" s="171"/>
      <c r="L283" s="84"/>
      <c r="M283" s="307" t="s">
        <v>49</v>
      </c>
    </row>
    <row r="284" spans="1:13" ht="31.5" hidden="1" customHeight="1" x14ac:dyDescent="0.2">
      <c r="A284" s="81">
        <f t="shared" si="4"/>
        <v>283</v>
      </c>
      <c r="B284" s="96" t="s">
        <v>42</v>
      </c>
      <c r="C284" s="177" t="s">
        <v>562</v>
      </c>
      <c r="D284" s="111" t="s">
        <v>1316</v>
      </c>
      <c r="E284" s="89" t="s">
        <v>564</v>
      </c>
      <c r="F284" s="99" t="s">
        <v>48</v>
      </c>
      <c r="G284" s="84">
        <v>7</v>
      </c>
      <c r="H284" s="96" t="s">
        <v>49</v>
      </c>
      <c r="I284" s="96" t="s">
        <v>2</v>
      </c>
      <c r="J284" s="171" t="s">
        <v>1517</v>
      </c>
      <c r="K284" s="171"/>
      <c r="L284" s="84"/>
      <c r="M284" s="307" t="s">
        <v>49</v>
      </c>
    </row>
    <row r="285" spans="1:13" ht="31.5" hidden="1" customHeight="1" x14ac:dyDescent="0.2">
      <c r="A285" s="81">
        <f t="shared" si="4"/>
        <v>284</v>
      </c>
      <c r="B285" s="96" t="s">
        <v>42</v>
      </c>
      <c r="C285" s="177" t="s">
        <v>565</v>
      </c>
      <c r="D285" s="183" t="s">
        <v>566</v>
      </c>
      <c r="E285" s="153" t="s">
        <v>567</v>
      </c>
      <c r="F285" s="99" t="s">
        <v>48</v>
      </c>
      <c r="G285" s="84">
        <v>7</v>
      </c>
      <c r="H285" s="96" t="s">
        <v>49</v>
      </c>
      <c r="I285" s="96" t="s">
        <v>2</v>
      </c>
      <c r="J285" s="171" t="s">
        <v>568</v>
      </c>
      <c r="K285" s="195" t="s">
        <v>1702</v>
      </c>
      <c r="L285" s="84"/>
      <c r="M285" s="307" t="s">
        <v>49</v>
      </c>
    </row>
    <row r="286" spans="1:13" ht="31.5" hidden="1" customHeight="1" x14ac:dyDescent="0.2">
      <c r="A286" s="81">
        <f t="shared" si="4"/>
        <v>285</v>
      </c>
      <c r="B286" s="96" t="s">
        <v>42</v>
      </c>
      <c r="C286" s="177" t="s">
        <v>565</v>
      </c>
      <c r="D286" s="183" t="s">
        <v>566</v>
      </c>
      <c r="E286" s="89" t="s">
        <v>569</v>
      </c>
      <c r="F286" s="99" t="s">
        <v>48</v>
      </c>
      <c r="G286" s="84">
        <v>7</v>
      </c>
      <c r="H286" s="96" t="s">
        <v>49</v>
      </c>
      <c r="I286" s="96" t="s">
        <v>2</v>
      </c>
      <c r="J286" s="171" t="s">
        <v>568</v>
      </c>
      <c r="K286" s="195" t="s">
        <v>1702</v>
      </c>
      <c r="L286" s="84"/>
      <c r="M286" s="307" t="s">
        <v>49</v>
      </c>
    </row>
    <row r="287" spans="1:13" ht="31.5" customHeight="1" x14ac:dyDescent="0.2">
      <c r="A287" s="81">
        <f t="shared" si="4"/>
        <v>286</v>
      </c>
      <c r="B287" s="96" t="s">
        <v>42</v>
      </c>
      <c r="C287" s="177" t="s">
        <v>565</v>
      </c>
      <c r="D287" s="183" t="s">
        <v>570</v>
      </c>
      <c r="E287" s="89" t="s">
        <v>571</v>
      </c>
      <c r="F287" s="99" t="s">
        <v>48</v>
      </c>
      <c r="G287" s="84">
        <v>7</v>
      </c>
      <c r="H287" s="96" t="s">
        <v>61</v>
      </c>
      <c r="I287" s="96" t="s">
        <v>2</v>
      </c>
      <c r="J287" s="171" t="s">
        <v>572</v>
      </c>
      <c r="K287" s="195" t="s">
        <v>1704</v>
      </c>
      <c r="L287" s="84"/>
      <c r="M287" s="307" t="s">
        <v>61</v>
      </c>
    </row>
    <row r="288" spans="1:13" ht="31.5" customHeight="1" x14ac:dyDescent="0.2">
      <c r="A288" s="81">
        <f t="shared" si="4"/>
        <v>287</v>
      </c>
      <c r="B288" s="96" t="s">
        <v>42</v>
      </c>
      <c r="C288" s="177" t="s">
        <v>565</v>
      </c>
      <c r="D288" s="183" t="s">
        <v>570</v>
      </c>
      <c r="E288" s="89" t="s">
        <v>573</v>
      </c>
      <c r="F288" s="99" t="s">
        <v>48</v>
      </c>
      <c r="G288" s="84">
        <v>7</v>
      </c>
      <c r="H288" s="96" t="s">
        <v>61</v>
      </c>
      <c r="I288" s="96" t="s">
        <v>2</v>
      </c>
      <c r="J288" s="171" t="s">
        <v>572</v>
      </c>
      <c r="K288" s="195" t="s">
        <v>1704</v>
      </c>
      <c r="L288" s="84"/>
      <c r="M288" s="307" t="s">
        <v>61</v>
      </c>
    </row>
    <row r="289" spans="1:13" ht="31.5" customHeight="1" x14ac:dyDescent="0.2">
      <c r="A289" s="81">
        <f t="shared" si="4"/>
        <v>288</v>
      </c>
      <c r="B289" s="96" t="s">
        <v>42</v>
      </c>
      <c r="C289" s="177" t="s">
        <v>565</v>
      </c>
      <c r="D289" s="183" t="s">
        <v>574</v>
      </c>
      <c r="E289" s="89" t="s">
        <v>575</v>
      </c>
      <c r="F289" s="99" t="s">
        <v>48</v>
      </c>
      <c r="G289" s="84">
        <v>7</v>
      </c>
      <c r="H289" s="96" t="s">
        <v>61</v>
      </c>
      <c r="I289" s="96" t="s">
        <v>2</v>
      </c>
      <c r="J289" s="171" t="s">
        <v>576</v>
      </c>
      <c r="K289" s="195" t="s">
        <v>1703</v>
      </c>
      <c r="L289" s="84"/>
      <c r="M289" s="307" t="s">
        <v>61</v>
      </c>
    </row>
    <row r="290" spans="1:13" ht="31.5" customHeight="1" x14ac:dyDescent="0.2">
      <c r="A290" s="81">
        <f t="shared" si="4"/>
        <v>289</v>
      </c>
      <c r="B290" s="96" t="s">
        <v>42</v>
      </c>
      <c r="C290" s="177" t="s">
        <v>565</v>
      </c>
      <c r="D290" s="183" t="s">
        <v>574</v>
      </c>
      <c r="E290" s="89" t="s">
        <v>577</v>
      </c>
      <c r="F290" s="99" t="s">
        <v>48</v>
      </c>
      <c r="G290" s="84">
        <v>7</v>
      </c>
      <c r="H290" s="96" t="s">
        <v>61</v>
      </c>
      <c r="I290" s="96" t="s">
        <v>2</v>
      </c>
      <c r="J290" s="171" t="s">
        <v>576</v>
      </c>
      <c r="K290" s="195" t="s">
        <v>1703</v>
      </c>
      <c r="L290" s="84"/>
      <c r="M290" s="307" t="s">
        <v>61</v>
      </c>
    </row>
    <row r="291" spans="1:13" ht="31.5" hidden="1" customHeight="1" x14ac:dyDescent="0.2">
      <c r="A291" s="81">
        <f t="shared" si="4"/>
        <v>290</v>
      </c>
      <c r="B291" s="96" t="s">
        <v>42</v>
      </c>
      <c r="C291" s="177" t="s">
        <v>578</v>
      </c>
      <c r="D291" s="183" t="s">
        <v>566</v>
      </c>
      <c r="E291" s="153" t="s">
        <v>579</v>
      </c>
      <c r="F291" s="99" t="s">
        <v>48</v>
      </c>
      <c r="G291" s="84">
        <v>7</v>
      </c>
      <c r="H291" s="96" t="s">
        <v>49</v>
      </c>
      <c r="I291" s="96" t="s">
        <v>2</v>
      </c>
      <c r="J291" s="171" t="s">
        <v>568</v>
      </c>
      <c r="K291" s="195" t="s">
        <v>1702</v>
      </c>
      <c r="L291" s="84"/>
      <c r="M291" s="307" t="s">
        <v>49</v>
      </c>
    </row>
    <row r="292" spans="1:13" ht="31.5" customHeight="1" x14ac:dyDescent="0.2">
      <c r="A292" s="81">
        <f t="shared" si="4"/>
        <v>291</v>
      </c>
      <c r="B292" s="96" t="s">
        <v>42</v>
      </c>
      <c r="C292" s="177" t="s">
        <v>578</v>
      </c>
      <c r="D292" s="183" t="s">
        <v>570</v>
      </c>
      <c r="E292" s="89" t="s">
        <v>580</v>
      </c>
      <c r="F292" s="99" t="s">
        <v>48</v>
      </c>
      <c r="G292" s="84">
        <v>7</v>
      </c>
      <c r="H292" s="96" t="s">
        <v>61</v>
      </c>
      <c r="I292" s="96" t="s">
        <v>2</v>
      </c>
      <c r="J292" s="171" t="s">
        <v>572</v>
      </c>
      <c r="K292" s="195" t="s">
        <v>1704</v>
      </c>
      <c r="L292" s="84"/>
      <c r="M292" s="307" t="s">
        <v>61</v>
      </c>
    </row>
    <row r="293" spans="1:13" ht="31.5" customHeight="1" x14ac:dyDescent="0.2">
      <c r="A293" s="81">
        <f t="shared" si="4"/>
        <v>292</v>
      </c>
      <c r="B293" s="96" t="s">
        <v>42</v>
      </c>
      <c r="C293" s="177" t="s">
        <v>578</v>
      </c>
      <c r="D293" s="183" t="s">
        <v>574</v>
      </c>
      <c r="E293" s="89" t="s">
        <v>581</v>
      </c>
      <c r="F293" s="99" t="s">
        <v>48</v>
      </c>
      <c r="G293" s="84">
        <v>7</v>
      </c>
      <c r="H293" s="96" t="s">
        <v>61</v>
      </c>
      <c r="I293" s="96" t="s">
        <v>2</v>
      </c>
      <c r="J293" s="171" t="s">
        <v>576</v>
      </c>
      <c r="K293" s="195" t="s">
        <v>1703</v>
      </c>
      <c r="L293" s="84"/>
      <c r="M293" s="307" t="s">
        <v>61</v>
      </c>
    </row>
    <row r="294" spans="1:13" ht="31.5" hidden="1" customHeight="1" x14ac:dyDescent="0.2">
      <c r="A294" s="81">
        <f t="shared" si="4"/>
        <v>293</v>
      </c>
      <c r="B294" s="96" t="s">
        <v>42</v>
      </c>
      <c r="C294" s="177" t="s">
        <v>582</v>
      </c>
      <c r="D294" s="194" t="s">
        <v>892</v>
      </c>
      <c r="E294" s="153" t="s">
        <v>583</v>
      </c>
      <c r="F294" s="99" t="s">
        <v>48</v>
      </c>
      <c r="G294" s="84">
        <v>7</v>
      </c>
      <c r="H294" s="96" t="s">
        <v>49</v>
      </c>
      <c r="I294" s="96" t="s">
        <v>2</v>
      </c>
      <c r="J294" s="171" t="s">
        <v>1059</v>
      </c>
      <c r="K294" s="171"/>
      <c r="L294" s="84"/>
      <c r="M294" s="307" t="s">
        <v>49</v>
      </c>
    </row>
    <row r="295" spans="1:13" ht="31.5" hidden="1" customHeight="1" x14ac:dyDescent="0.2">
      <c r="A295" s="81">
        <f t="shared" si="4"/>
        <v>294</v>
      </c>
      <c r="B295" s="96" t="s">
        <v>42</v>
      </c>
      <c r="C295" s="177" t="s">
        <v>584</v>
      </c>
      <c r="D295" s="122" t="s">
        <v>895</v>
      </c>
      <c r="E295" s="153" t="s">
        <v>585</v>
      </c>
      <c r="F295" s="99" t="s">
        <v>48</v>
      </c>
      <c r="G295" s="84">
        <v>7</v>
      </c>
      <c r="H295" s="96" t="s">
        <v>49</v>
      </c>
      <c r="I295" s="96" t="s">
        <v>2</v>
      </c>
      <c r="J295" s="171" t="s">
        <v>1060</v>
      </c>
      <c r="K295" s="171"/>
      <c r="L295" s="84"/>
      <c r="M295" s="307" t="s">
        <v>49</v>
      </c>
    </row>
    <row r="296" spans="1:13" ht="31.5" hidden="1" customHeight="1" x14ac:dyDescent="0.2">
      <c r="A296" s="81">
        <f t="shared" si="4"/>
        <v>295</v>
      </c>
      <c r="B296" s="96" t="s">
        <v>42</v>
      </c>
      <c r="C296" s="177" t="s">
        <v>584</v>
      </c>
      <c r="D296" s="196" t="s">
        <v>896</v>
      </c>
      <c r="E296" s="89" t="s">
        <v>586</v>
      </c>
      <c r="F296" s="99" t="s">
        <v>48</v>
      </c>
      <c r="G296" s="84">
        <v>7</v>
      </c>
      <c r="H296" s="96" t="s">
        <v>49</v>
      </c>
      <c r="I296" s="96" t="s">
        <v>2</v>
      </c>
      <c r="J296" s="171" t="s">
        <v>1061</v>
      </c>
      <c r="K296" s="171"/>
      <c r="L296" s="84"/>
      <c r="M296" s="307" t="s">
        <v>49</v>
      </c>
    </row>
    <row r="297" spans="1:13" ht="31.5" hidden="1" customHeight="1" x14ac:dyDescent="0.2">
      <c r="A297" s="81">
        <f t="shared" si="4"/>
        <v>296</v>
      </c>
      <c r="B297" s="96" t="s">
        <v>42</v>
      </c>
      <c r="C297" s="177" t="s">
        <v>587</v>
      </c>
      <c r="D297" s="122" t="s">
        <v>1325</v>
      </c>
      <c r="E297" s="153" t="s">
        <v>588</v>
      </c>
      <c r="F297" s="84" t="s">
        <v>48</v>
      </c>
      <c r="G297" s="84">
        <v>7</v>
      </c>
      <c r="H297" s="96" t="s">
        <v>49</v>
      </c>
      <c r="I297" s="96" t="s">
        <v>2</v>
      </c>
      <c r="J297" s="171" t="s">
        <v>1075</v>
      </c>
      <c r="K297" s="171"/>
      <c r="L297" s="84"/>
      <c r="M297" s="307" t="s">
        <v>49</v>
      </c>
    </row>
    <row r="298" spans="1:13" ht="31.5" hidden="1" customHeight="1" x14ac:dyDescent="0.2">
      <c r="A298" s="81">
        <f t="shared" si="4"/>
        <v>297</v>
      </c>
      <c r="B298" s="96" t="s">
        <v>42</v>
      </c>
      <c r="C298" s="177" t="s">
        <v>587</v>
      </c>
      <c r="D298" s="122" t="s">
        <v>1325</v>
      </c>
      <c r="E298" s="89" t="s">
        <v>589</v>
      </c>
      <c r="F298" s="84" t="s">
        <v>48</v>
      </c>
      <c r="G298" s="84">
        <v>7</v>
      </c>
      <c r="H298" s="96" t="s">
        <v>49</v>
      </c>
      <c r="I298" s="96" t="s">
        <v>2</v>
      </c>
      <c r="J298" s="171" t="s">
        <v>1075</v>
      </c>
      <c r="K298" s="171"/>
      <c r="L298" s="84"/>
      <c r="M298" s="307" t="s">
        <v>49</v>
      </c>
    </row>
    <row r="299" spans="1:13" ht="31.5" hidden="1" customHeight="1" x14ac:dyDescent="0.2">
      <c r="A299" s="81">
        <f t="shared" si="4"/>
        <v>298</v>
      </c>
      <c r="B299" s="96" t="s">
        <v>42</v>
      </c>
      <c r="C299" s="177" t="s">
        <v>587</v>
      </c>
      <c r="D299" s="122" t="s">
        <v>1325</v>
      </c>
      <c r="E299" s="89" t="s">
        <v>590</v>
      </c>
      <c r="F299" s="84" t="s">
        <v>48</v>
      </c>
      <c r="G299" s="84">
        <v>7</v>
      </c>
      <c r="H299" s="96" t="s">
        <v>49</v>
      </c>
      <c r="I299" s="96" t="s">
        <v>2</v>
      </c>
      <c r="J299" s="171" t="s">
        <v>1075</v>
      </c>
      <c r="K299" s="171"/>
      <c r="L299" s="84"/>
      <c r="M299" s="307" t="s">
        <v>49</v>
      </c>
    </row>
    <row r="300" spans="1:13" ht="31.5" customHeight="1" x14ac:dyDescent="0.2">
      <c r="A300" s="81">
        <f t="shared" si="4"/>
        <v>299</v>
      </c>
      <c r="B300" s="96" t="s">
        <v>42</v>
      </c>
      <c r="C300" s="177" t="s">
        <v>591</v>
      </c>
      <c r="D300" s="122" t="s">
        <v>1307</v>
      </c>
      <c r="E300" s="153" t="s">
        <v>592</v>
      </c>
      <c r="F300" s="84" t="s">
        <v>48</v>
      </c>
      <c r="G300" s="84">
        <v>7</v>
      </c>
      <c r="H300" s="96" t="s">
        <v>61</v>
      </c>
      <c r="I300" s="96" t="s">
        <v>2</v>
      </c>
      <c r="J300" s="171" t="s">
        <v>1062</v>
      </c>
      <c r="K300" s="171"/>
      <c r="L300" s="84"/>
      <c r="M300" s="307" t="s">
        <v>61</v>
      </c>
    </row>
    <row r="301" spans="1:13" ht="31.5" hidden="1" customHeight="1" x14ac:dyDescent="0.2">
      <c r="A301" s="81">
        <f t="shared" si="4"/>
        <v>300</v>
      </c>
      <c r="B301" s="96" t="s">
        <v>42</v>
      </c>
      <c r="C301" s="177" t="s">
        <v>593</v>
      </c>
      <c r="D301" s="91" t="s">
        <v>594</v>
      </c>
      <c r="E301" s="153" t="s">
        <v>595</v>
      </c>
      <c r="F301" s="99" t="s">
        <v>48</v>
      </c>
      <c r="G301" s="84">
        <v>7</v>
      </c>
      <c r="H301" s="96" t="s">
        <v>49</v>
      </c>
      <c r="I301" s="96" t="s">
        <v>2</v>
      </c>
      <c r="J301" s="171" t="s">
        <v>596</v>
      </c>
      <c r="K301" s="171"/>
      <c r="L301" s="84"/>
      <c r="M301" s="307" t="s">
        <v>49</v>
      </c>
    </row>
    <row r="302" spans="1:13" ht="31.5" hidden="1" customHeight="1" x14ac:dyDescent="0.2">
      <c r="A302" s="81">
        <f t="shared" si="4"/>
        <v>301</v>
      </c>
      <c r="B302" s="96" t="s">
        <v>42</v>
      </c>
      <c r="C302" s="177" t="s">
        <v>593</v>
      </c>
      <c r="D302" s="91" t="s">
        <v>594</v>
      </c>
      <c r="E302" s="89" t="s">
        <v>597</v>
      </c>
      <c r="F302" s="99" t="s">
        <v>48</v>
      </c>
      <c r="G302" s="84">
        <v>7</v>
      </c>
      <c r="H302" s="96" t="s">
        <v>49</v>
      </c>
      <c r="I302" s="96" t="s">
        <v>2</v>
      </c>
      <c r="J302" s="171" t="s">
        <v>596</v>
      </c>
      <c r="K302" s="171"/>
      <c r="L302" s="84"/>
      <c r="M302" s="307" t="s">
        <v>49</v>
      </c>
    </row>
    <row r="303" spans="1:13" ht="31.5" hidden="1" customHeight="1" x14ac:dyDescent="0.2">
      <c r="A303" s="81">
        <f t="shared" si="4"/>
        <v>302</v>
      </c>
      <c r="B303" s="96" t="s">
        <v>42</v>
      </c>
      <c r="C303" s="177" t="s">
        <v>598</v>
      </c>
      <c r="D303" s="122" t="s">
        <v>1325</v>
      </c>
      <c r="E303" s="153" t="s">
        <v>599</v>
      </c>
      <c r="F303" s="99" t="s">
        <v>48</v>
      </c>
      <c r="G303" s="84">
        <v>7</v>
      </c>
      <c r="H303" s="96" t="s">
        <v>49</v>
      </c>
      <c r="I303" s="96" t="s">
        <v>2</v>
      </c>
      <c r="J303" s="171" t="s">
        <v>1075</v>
      </c>
      <c r="K303" s="171"/>
      <c r="L303" s="84"/>
      <c r="M303" s="307" t="s">
        <v>49</v>
      </c>
    </row>
    <row r="304" spans="1:13" ht="31.5" customHeight="1" x14ac:dyDescent="0.2">
      <c r="A304" s="81">
        <f t="shared" si="4"/>
        <v>303</v>
      </c>
      <c r="B304" s="96" t="s">
        <v>42</v>
      </c>
      <c r="C304" s="177" t="s">
        <v>598</v>
      </c>
      <c r="D304" s="122" t="s">
        <v>1307</v>
      </c>
      <c r="E304" s="89" t="s">
        <v>600</v>
      </c>
      <c r="F304" s="99" t="s">
        <v>48</v>
      </c>
      <c r="G304" s="84">
        <v>7</v>
      </c>
      <c r="H304" s="96" t="s">
        <v>61</v>
      </c>
      <c r="I304" s="96" t="s">
        <v>2</v>
      </c>
      <c r="J304" s="171" t="s">
        <v>1062</v>
      </c>
      <c r="K304" s="171"/>
      <c r="L304" s="84"/>
      <c r="M304" s="307" t="s">
        <v>61</v>
      </c>
    </row>
    <row r="305" spans="1:13" ht="31.5" customHeight="1" x14ac:dyDescent="0.2">
      <c r="A305" s="81">
        <f t="shared" si="4"/>
        <v>304</v>
      </c>
      <c r="B305" s="96" t="s">
        <v>42</v>
      </c>
      <c r="C305" s="177" t="s">
        <v>601</v>
      </c>
      <c r="D305" s="114" t="s">
        <v>897</v>
      </c>
      <c r="E305" s="153" t="s">
        <v>602</v>
      </c>
      <c r="F305" s="99" t="s">
        <v>48</v>
      </c>
      <c r="G305" s="84">
        <v>7</v>
      </c>
      <c r="H305" s="96" t="s">
        <v>61</v>
      </c>
      <c r="I305" s="96" t="s">
        <v>2</v>
      </c>
      <c r="J305" s="171" t="s">
        <v>1063</v>
      </c>
      <c r="K305" s="171"/>
      <c r="L305" s="84"/>
      <c r="M305" s="307" t="s">
        <v>61</v>
      </c>
    </row>
    <row r="306" spans="1:13" ht="31.5" hidden="1" customHeight="1" x14ac:dyDescent="0.2">
      <c r="A306" s="81">
        <f t="shared" si="4"/>
        <v>305</v>
      </c>
      <c r="B306" s="96" t="s">
        <v>42</v>
      </c>
      <c r="C306" s="177" t="s">
        <v>603</v>
      </c>
      <c r="D306" s="122" t="s">
        <v>1319</v>
      </c>
      <c r="E306" s="153" t="s">
        <v>604</v>
      </c>
      <c r="F306" s="99" t="s">
        <v>48</v>
      </c>
      <c r="G306" s="84">
        <v>7</v>
      </c>
      <c r="H306" s="96" t="s">
        <v>49</v>
      </c>
      <c r="I306" s="96" t="s">
        <v>2</v>
      </c>
      <c r="J306" s="171" t="s">
        <v>1518</v>
      </c>
      <c r="K306" s="171"/>
      <c r="L306" s="84"/>
      <c r="M306" s="307" t="s">
        <v>49</v>
      </c>
    </row>
    <row r="307" spans="1:13" ht="31.5" hidden="1" customHeight="1" x14ac:dyDescent="0.2">
      <c r="A307" s="81">
        <f t="shared" si="4"/>
        <v>306</v>
      </c>
      <c r="B307" s="96" t="s">
        <v>42</v>
      </c>
      <c r="C307" s="177" t="s">
        <v>603</v>
      </c>
      <c r="D307" s="122" t="s">
        <v>1319</v>
      </c>
      <c r="E307" s="89" t="s">
        <v>605</v>
      </c>
      <c r="F307" s="99" t="s">
        <v>48</v>
      </c>
      <c r="G307" s="84">
        <v>7</v>
      </c>
      <c r="H307" s="96" t="s">
        <v>49</v>
      </c>
      <c r="I307" s="96" t="s">
        <v>2</v>
      </c>
      <c r="J307" s="171" t="s">
        <v>1518</v>
      </c>
      <c r="K307" s="171"/>
      <c r="L307" s="84"/>
      <c r="M307" s="307" t="s">
        <v>49</v>
      </c>
    </row>
    <row r="308" spans="1:13" ht="31.5" hidden="1" customHeight="1" x14ac:dyDescent="0.2">
      <c r="A308" s="81">
        <f t="shared" si="4"/>
        <v>307</v>
      </c>
      <c r="B308" s="96" t="s">
        <v>42</v>
      </c>
      <c r="C308" s="177" t="s">
        <v>603</v>
      </c>
      <c r="D308" s="122" t="s">
        <v>1319</v>
      </c>
      <c r="E308" s="89" t="s">
        <v>606</v>
      </c>
      <c r="F308" s="99" t="s">
        <v>48</v>
      </c>
      <c r="G308" s="84">
        <v>7</v>
      </c>
      <c r="H308" s="96" t="s">
        <v>49</v>
      </c>
      <c r="I308" s="96" t="s">
        <v>2</v>
      </c>
      <c r="J308" s="171" t="s">
        <v>1518</v>
      </c>
      <c r="K308" s="171"/>
      <c r="L308" s="84"/>
      <c r="M308" s="307" t="s">
        <v>49</v>
      </c>
    </row>
    <row r="309" spans="1:13" ht="31.5" hidden="1" customHeight="1" x14ac:dyDescent="0.2">
      <c r="A309" s="81">
        <f t="shared" si="4"/>
        <v>308</v>
      </c>
      <c r="B309" s="96" t="s">
        <v>42</v>
      </c>
      <c r="C309" s="177" t="s">
        <v>603</v>
      </c>
      <c r="D309" s="122" t="s">
        <v>1319</v>
      </c>
      <c r="E309" s="89" t="s">
        <v>607</v>
      </c>
      <c r="F309" s="99" t="s">
        <v>48</v>
      </c>
      <c r="G309" s="84">
        <v>7</v>
      </c>
      <c r="H309" s="96" t="s">
        <v>49</v>
      </c>
      <c r="I309" s="96" t="s">
        <v>2</v>
      </c>
      <c r="J309" s="171" t="s">
        <v>1518</v>
      </c>
      <c r="K309" s="171"/>
      <c r="L309" s="84"/>
      <c r="M309" s="307" t="s">
        <v>49</v>
      </c>
    </row>
    <row r="310" spans="1:13" ht="31.5" hidden="1" customHeight="1" x14ac:dyDescent="0.2">
      <c r="A310" s="81">
        <f t="shared" si="4"/>
        <v>309</v>
      </c>
      <c r="B310" s="96" t="s">
        <v>42</v>
      </c>
      <c r="C310" s="177" t="s">
        <v>608</v>
      </c>
      <c r="D310" s="90" t="s">
        <v>609</v>
      </c>
      <c r="E310" s="153" t="s">
        <v>610</v>
      </c>
      <c r="F310" s="99" t="s">
        <v>48</v>
      </c>
      <c r="G310" s="84">
        <v>7</v>
      </c>
      <c r="H310" s="96" t="s">
        <v>49</v>
      </c>
      <c r="I310" s="96" t="s">
        <v>2</v>
      </c>
      <c r="J310" s="171" t="s">
        <v>610</v>
      </c>
      <c r="K310" s="171"/>
      <c r="L310" s="84"/>
      <c r="M310" s="307" t="s">
        <v>49</v>
      </c>
    </row>
    <row r="311" spans="1:13" ht="31.5" hidden="1" customHeight="1" x14ac:dyDescent="0.2">
      <c r="A311" s="81">
        <f t="shared" si="4"/>
        <v>310</v>
      </c>
      <c r="B311" s="197" t="s">
        <v>408</v>
      </c>
      <c r="C311" s="177" t="s">
        <v>611</v>
      </c>
      <c r="D311" s="120" t="s">
        <v>1552</v>
      </c>
      <c r="E311" s="153" t="s">
        <v>612</v>
      </c>
      <c r="F311" s="99" t="s">
        <v>48</v>
      </c>
      <c r="G311" s="84">
        <v>7</v>
      </c>
      <c r="H311" s="96" t="s">
        <v>49</v>
      </c>
      <c r="I311" s="96" t="s">
        <v>889</v>
      </c>
      <c r="J311" s="171" t="s">
        <v>612</v>
      </c>
      <c r="K311" s="198" t="s">
        <v>1706</v>
      </c>
      <c r="L311" s="84"/>
      <c r="M311" s="307" t="s">
        <v>49</v>
      </c>
    </row>
    <row r="312" spans="1:13" ht="31.5" hidden="1" customHeight="1" x14ac:dyDescent="0.2">
      <c r="A312" s="81">
        <f t="shared" si="4"/>
        <v>311</v>
      </c>
      <c r="B312" s="96" t="s">
        <v>42</v>
      </c>
      <c r="C312" s="177" t="s">
        <v>613</v>
      </c>
      <c r="D312" s="90" t="s">
        <v>614</v>
      </c>
      <c r="E312" s="153" t="s">
        <v>615</v>
      </c>
      <c r="F312" s="99" t="s">
        <v>48</v>
      </c>
      <c r="G312" s="84">
        <v>7</v>
      </c>
      <c r="H312" s="96" t="s">
        <v>49</v>
      </c>
      <c r="I312" s="96" t="s">
        <v>2</v>
      </c>
      <c r="J312" s="171" t="s">
        <v>615</v>
      </c>
      <c r="K312" s="171"/>
      <c r="L312" s="84"/>
      <c r="M312" s="307" t="s">
        <v>49</v>
      </c>
    </row>
    <row r="313" spans="1:13" ht="31.5" hidden="1" customHeight="1" x14ac:dyDescent="0.2">
      <c r="A313" s="81">
        <f t="shared" si="4"/>
        <v>312</v>
      </c>
      <c r="B313" s="96" t="s">
        <v>42</v>
      </c>
      <c r="C313" s="177" t="s">
        <v>616</v>
      </c>
      <c r="D313" s="90" t="s">
        <v>617</v>
      </c>
      <c r="E313" s="153" t="s">
        <v>618</v>
      </c>
      <c r="F313" s="99" t="s">
        <v>48</v>
      </c>
      <c r="G313" s="84">
        <v>7</v>
      </c>
      <c r="H313" s="96" t="s">
        <v>49</v>
      </c>
      <c r="I313" s="96" t="s">
        <v>2</v>
      </c>
      <c r="J313" s="171" t="s">
        <v>618</v>
      </c>
      <c r="K313" s="171"/>
      <c r="L313" s="84"/>
      <c r="M313" s="307" t="s">
        <v>49</v>
      </c>
    </row>
    <row r="314" spans="1:13" ht="31.5" hidden="1" customHeight="1" x14ac:dyDescent="0.2">
      <c r="A314" s="81">
        <f t="shared" si="4"/>
        <v>313</v>
      </c>
      <c r="B314" s="96" t="s">
        <v>408</v>
      </c>
      <c r="C314" s="177" t="s">
        <v>619</v>
      </c>
      <c r="D314" s="181" t="s">
        <v>620</v>
      </c>
      <c r="E314" s="153" t="s">
        <v>621</v>
      </c>
      <c r="F314" s="99" t="s">
        <v>48</v>
      </c>
      <c r="G314" s="84">
        <v>7</v>
      </c>
      <c r="H314" s="96" t="s">
        <v>49</v>
      </c>
      <c r="I314" s="96" t="s">
        <v>2</v>
      </c>
      <c r="J314" s="171" t="s">
        <v>621</v>
      </c>
      <c r="K314" s="171"/>
      <c r="L314" s="84"/>
      <c r="M314" s="307" t="s">
        <v>49</v>
      </c>
    </row>
    <row r="315" spans="1:13" ht="31.5" hidden="1" customHeight="1" x14ac:dyDescent="0.2">
      <c r="A315" s="81">
        <f t="shared" si="4"/>
        <v>314</v>
      </c>
      <c r="B315" s="96" t="s">
        <v>408</v>
      </c>
      <c r="C315" s="177" t="s">
        <v>622</v>
      </c>
      <c r="D315" s="181" t="s">
        <v>623</v>
      </c>
      <c r="E315" s="153" t="s">
        <v>624</v>
      </c>
      <c r="F315" s="99" t="s">
        <v>48</v>
      </c>
      <c r="G315" s="84">
        <v>7</v>
      </c>
      <c r="H315" s="96" t="s">
        <v>49</v>
      </c>
      <c r="I315" s="96" t="s">
        <v>2</v>
      </c>
      <c r="J315" s="171" t="s">
        <v>624</v>
      </c>
      <c r="K315" s="171"/>
      <c r="L315" s="84"/>
      <c r="M315" s="307" t="s">
        <v>49</v>
      </c>
    </row>
    <row r="316" spans="1:13" ht="31.5" hidden="1" customHeight="1" x14ac:dyDescent="0.2">
      <c r="A316" s="81">
        <f t="shared" si="4"/>
        <v>315</v>
      </c>
      <c r="B316" s="96" t="s">
        <v>625</v>
      </c>
      <c r="C316" s="177" t="s">
        <v>626</v>
      </c>
      <c r="D316" s="199" t="s">
        <v>900</v>
      </c>
      <c r="E316" s="153" t="s">
        <v>627</v>
      </c>
      <c r="F316" s="99" t="s">
        <v>48</v>
      </c>
      <c r="G316" s="82">
        <v>8</v>
      </c>
      <c r="H316" s="96" t="s">
        <v>49</v>
      </c>
      <c r="I316" s="96" t="s">
        <v>2</v>
      </c>
      <c r="J316" s="171" t="s">
        <v>628</v>
      </c>
      <c r="K316" s="171"/>
      <c r="L316" s="84"/>
      <c r="M316" s="307" t="s">
        <v>49</v>
      </c>
    </row>
    <row r="317" spans="1:13" ht="31.5" hidden="1" customHeight="1" x14ac:dyDescent="0.2">
      <c r="A317" s="81">
        <f t="shared" si="4"/>
        <v>316</v>
      </c>
      <c r="B317" s="96" t="s">
        <v>625</v>
      </c>
      <c r="C317" s="177" t="s">
        <v>626</v>
      </c>
      <c r="D317" s="199" t="s">
        <v>900</v>
      </c>
      <c r="E317" s="89" t="s">
        <v>629</v>
      </c>
      <c r="F317" s="99" t="s">
        <v>48</v>
      </c>
      <c r="G317" s="82">
        <v>8</v>
      </c>
      <c r="H317" s="96" t="s">
        <v>49</v>
      </c>
      <c r="I317" s="96" t="s">
        <v>2</v>
      </c>
      <c r="J317" s="171" t="s">
        <v>628</v>
      </c>
      <c r="K317" s="171"/>
      <c r="L317" s="84"/>
      <c r="M317" s="307" t="s">
        <v>49</v>
      </c>
    </row>
    <row r="318" spans="1:13" ht="31.5" hidden="1" customHeight="1" x14ac:dyDescent="0.2">
      <c r="A318" s="81">
        <f t="shared" si="4"/>
        <v>317</v>
      </c>
      <c r="B318" s="96" t="s">
        <v>625</v>
      </c>
      <c r="C318" s="177" t="s">
        <v>626</v>
      </c>
      <c r="D318" s="199" t="s">
        <v>900</v>
      </c>
      <c r="E318" s="89" t="s">
        <v>630</v>
      </c>
      <c r="F318" s="99" t="s">
        <v>48</v>
      </c>
      <c r="G318" s="82">
        <v>8</v>
      </c>
      <c r="H318" s="96" t="s">
        <v>49</v>
      </c>
      <c r="I318" s="96" t="s">
        <v>2</v>
      </c>
      <c r="J318" s="171" t="s">
        <v>628</v>
      </c>
      <c r="K318" s="171"/>
      <c r="L318" s="84"/>
      <c r="M318" s="307" t="s">
        <v>49</v>
      </c>
    </row>
    <row r="319" spans="1:13" ht="31.5" hidden="1" customHeight="1" x14ac:dyDescent="0.2">
      <c r="A319" s="81">
        <f t="shared" si="4"/>
        <v>318</v>
      </c>
      <c r="B319" s="96" t="s">
        <v>625</v>
      </c>
      <c r="C319" s="177" t="s">
        <v>631</v>
      </c>
      <c r="D319" s="117" t="s">
        <v>901</v>
      </c>
      <c r="E319" s="153" t="s">
        <v>632</v>
      </c>
      <c r="F319" s="99" t="s">
        <v>48</v>
      </c>
      <c r="G319" s="82">
        <v>8</v>
      </c>
      <c r="H319" s="96" t="s">
        <v>49</v>
      </c>
      <c r="I319" s="96" t="s">
        <v>2</v>
      </c>
      <c r="J319" s="171" t="s">
        <v>633</v>
      </c>
      <c r="K319" s="171"/>
      <c r="L319" s="84"/>
      <c r="M319" s="307" t="s">
        <v>49</v>
      </c>
    </row>
    <row r="320" spans="1:13" ht="31.5" hidden="1" customHeight="1" x14ac:dyDescent="0.2">
      <c r="A320" s="81">
        <f t="shared" si="4"/>
        <v>319</v>
      </c>
      <c r="B320" s="96" t="s">
        <v>625</v>
      </c>
      <c r="C320" s="177" t="s">
        <v>631</v>
      </c>
      <c r="D320" s="117" t="s">
        <v>901</v>
      </c>
      <c r="E320" s="89" t="s">
        <v>634</v>
      </c>
      <c r="F320" s="99" t="s">
        <v>48</v>
      </c>
      <c r="G320" s="82">
        <v>8</v>
      </c>
      <c r="H320" s="96" t="s">
        <v>49</v>
      </c>
      <c r="I320" s="96" t="s">
        <v>2</v>
      </c>
      <c r="J320" s="171" t="s">
        <v>633</v>
      </c>
      <c r="K320" s="171"/>
      <c r="L320" s="84"/>
      <c r="M320" s="307" t="s">
        <v>49</v>
      </c>
    </row>
    <row r="321" spans="1:13" ht="31.5" hidden="1" customHeight="1" x14ac:dyDescent="0.2">
      <c r="A321" s="81">
        <f t="shared" si="4"/>
        <v>320</v>
      </c>
      <c r="B321" s="96" t="s">
        <v>625</v>
      </c>
      <c r="C321" s="177" t="s">
        <v>631</v>
      </c>
      <c r="D321" s="117" t="s">
        <v>901</v>
      </c>
      <c r="E321" s="89" t="s">
        <v>635</v>
      </c>
      <c r="F321" s="99" t="s">
        <v>48</v>
      </c>
      <c r="G321" s="82">
        <v>8</v>
      </c>
      <c r="H321" s="96" t="s">
        <v>49</v>
      </c>
      <c r="I321" s="96" t="s">
        <v>2</v>
      </c>
      <c r="J321" s="171" t="s">
        <v>633</v>
      </c>
      <c r="K321" s="171"/>
      <c r="L321" s="84"/>
      <c r="M321" s="307" t="s">
        <v>49</v>
      </c>
    </row>
    <row r="322" spans="1:13" ht="31.5" hidden="1" customHeight="1" x14ac:dyDescent="0.2">
      <c r="A322" s="81">
        <f t="shared" si="4"/>
        <v>321</v>
      </c>
      <c r="B322" s="96" t="s">
        <v>625</v>
      </c>
      <c r="C322" s="177" t="s">
        <v>636</v>
      </c>
      <c r="D322" s="89" t="s">
        <v>902</v>
      </c>
      <c r="E322" s="153" t="s">
        <v>637</v>
      </c>
      <c r="F322" s="99" t="s">
        <v>48</v>
      </c>
      <c r="G322" s="82">
        <v>8</v>
      </c>
      <c r="H322" s="96" t="s">
        <v>49</v>
      </c>
      <c r="I322" s="96" t="s">
        <v>2</v>
      </c>
      <c r="J322" s="171" t="s">
        <v>638</v>
      </c>
      <c r="K322" s="171"/>
      <c r="L322" s="84"/>
      <c r="M322" s="307" t="s">
        <v>49</v>
      </c>
    </row>
    <row r="323" spans="1:13" ht="31.5" hidden="1" customHeight="1" x14ac:dyDescent="0.2">
      <c r="A323" s="81">
        <f t="shared" ref="A323:A386" si="5">A322+1</f>
        <v>322</v>
      </c>
      <c r="B323" s="96" t="s">
        <v>625</v>
      </c>
      <c r="C323" s="177" t="s">
        <v>636</v>
      </c>
      <c r="D323" s="89" t="s">
        <v>902</v>
      </c>
      <c r="E323" s="89" t="s">
        <v>639</v>
      </c>
      <c r="F323" s="99" t="s">
        <v>48</v>
      </c>
      <c r="G323" s="82">
        <v>8</v>
      </c>
      <c r="H323" s="96" t="s">
        <v>49</v>
      </c>
      <c r="I323" s="96" t="s">
        <v>2</v>
      </c>
      <c r="J323" s="171" t="s">
        <v>638</v>
      </c>
      <c r="K323" s="171"/>
      <c r="L323" s="84"/>
      <c r="M323" s="307" t="s">
        <v>49</v>
      </c>
    </row>
    <row r="324" spans="1:13" ht="31.5" hidden="1" customHeight="1" x14ac:dyDescent="0.2">
      <c r="A324" s="81">
        <f t="shared" si="5"/>
        <v>323</v>
      </c>
      <c r="B324" s="96" t="s">
        <v>625</v>
      </c>
      <c r="C324" s="177" t="s">
        <v>636</v>
      </c>
      <c r="D324" s="89" t="s">
        <v>902</v>
      </c>
      <c r="E324" s="89" t="s">
        <v>640</v>
      </c>
      <c r="F324" s="99" t="s">
        <v>48</v>
      </c>
      <c r="G324" s="82">
        <v>8</v>
      </c>
      <c r="H324" s="96" t="s">
        <v>49</v>
      </c>
      <c r="I324" s="96" t="s">
        <v>2</v>
      </c>
      <c r="J324" s="171" t="s">
        <v>638</v>
      </c>
      <c r="K324" s="171"/>
      <c r="L324" s="84"/>
      <c r="M324" s="307" t="s">
        <v>49</v>
      </c>
    </row>
    <row r="325" spans="1:13" ht="31.5" hidden="1" customHeight="1" x14ac:dyDescent="0.2">
      <c r="A325" s="81">
        <f t="shared" si="5"/>
        <v>324</v>
      </c>
      <c r="B325" s="96" t="s">
        <v>625</v>
      </c>
      <c r="C325" s="177" t="s">
        <v>641</v>
      </c>
      <c r="D325" s="89" t="s">
        <v>903</v>
      </c>
      <c r="E325" s="153" t="s">
        <v>642</v>
      </c>
      <c r="F325" s="99" t="s">
        <v>48</v>
      </c>
      <c r="G325" s="82">
        <v>8</v>
      </c>
      <c r="H325" s="96" t="s">
        <v>49</v>
      </c>
      <c r="I325" s="96" t="s">
        <v>2</v>
      </c>
      <c r="J325" s="171" t="s">
        <v>643</v>
      </c>
      <c r="K325" s="171"/>
      <c r="L325" s="84"/>
      <c r="M325" s="307" t="s">
        <v>49</v>
      </c>
    </row>
    <row r="326" spans="1:13" ht="31.5" hidden="1" customHeight="1" x14ac:dyDescent="0.2">
      <c r="A326" s="81">
        <f t="shared" si="5"/>
        <v>325</v>
      </c>
      <c r="B326" s="96" t="s">
        <v>625</v>
      </c>
      <c r="C326" s="177" t="s">
        <v>644</v>
      </c>
      <c r="D326" s="89" t="s">
        <v>903</v>
      </c>
      <c r="E326" s="153" t="s">
        <v>645</v>
      </c>
      <c r="F326" s="99" t="s">
        <v>48</v>
      </c>
      <c r="G326" s="82">
        <v>8</v>
      </c>
      <c r="H326" s="96" t="s">
        <v>49</v>
      </c>
      <c r="I326" s="96" t="s">
        <v>2</v>
      </c>
      <c r="J326" s="171" t="s">
        <v>643</v>
      </c>
      <c r="K326" s="171"/>
      <c r="L326" s="84"/>
      <c r="M326" s="307" t="s">
        <v>49</v>
      </c>
    </row>
    <row r="327" spans="1:13" ht="31.5" hidden="1" customHeight="1" x14ac:dyDescent="0.2">
      <c r="A327" s="81">
        <f t="shared" si="5"/>
        <v>326</v>
      </c>
      <c r="B327" s="96" t="s">
        <v>625</v>
      </c>
      <c r="C327" s="177" t="s">
        <v>646</v>
      </c>
      <c r="D327" s="181" t="s">
        <v>647</v>
      </c>
      <c r="E327" s="153" t="s">
        <v>648</v>
      </c>
      <c r="F327" s="99" t="s">
        <v>48</v>
      </c>
      <c r="G327" s="82">
        <v>8</v>
      </c>
      <c r="H327" s="96" t="s">
        <v>49</v>
      </c>
      <c r="I327" s="96" t="s">
        <v>2</v>
      </c>
      <c r="J327" s="171" t="s">
        <v>648</v>
      </c>
      <c r="K327" s="171"/>
      <c r="L327" s="84"/>
      <c r="M327" s="307" t="s">
        <v>49</v>
      </c>
    </row>
    <row r="328" spans="1:13" ht="31.5" hidden="1" customHeight="1" x14ac:dyDescent="0.2">
      <c r="A328" s="81">
        <f t="shared" si="5"/>
        <v>327</v>
      </c>
      <c r="B328" s="96" t="s">
        <v>625</v>
      </c>
      <c r="C328" s="177" t="s">
        <v>649</v>
      </c>
      <c r="D328" s="89" t="s">
        <v>902</v>
      </c>
      <c r="E328" s="153" t="s">
        <v>650</v>
      </c>
      <c r="F328" s="99" t="s">
        <v>48</v>
      </c>
      <c r="G328" s="82">
        <v>8</v>
      </c>
      <c r="H328" s="96" t="s">
        <v>49</v>
      </c>
      <c r="I328" s="96" t="s">
        <v>2</v>
      </c>
      <c r="J328" s="171" t="s">
        <v>638</v>
      </c>
      <c r="K328" s="171"/>
      <c r="L328" s="84"/>
      <c r="M328" s="307" t="s">
        <v>49</v>
      </c>
    </row>
    <row r="329" spans="1:13" ht="31.5" hidden="1" customHeight="1" x14ac:dyDescent="0.2">
      <c r="A329" s="81">
        <f t="shared" si="5"/>
        <v>328</v>
      </c>
      <c r="B329" s="96" t="s">
        <v>625</v>
      </c>
      <c r="C329" s="177" t="s">
        <v>651</v>
      </c>
      <c r="D329" s="181" t="s">
        <v>652</v>
      </c>
      <c r="E329" s="153" t="s">
        <v>653</v>
      </c>
      <c r="F329" s="99" t="s">
        <v>48</v>
      </c>
      <c r="G329" s="82">
        <v>8</v>
      </c>
      <c r="H329" s="96" t="s">
        <v>49</v>
      </c>
      <c r="I329" s="96" t="s">
        <v>2</v>
      </c>
      <c r="J329" s="171" t="s">
        <v>653</v>
      </c>
      <c r="K329" s="171"/>
      <c r="L329" s="84"/>
      <c r="M329" s="307" t="s">
        <v>49</v>
      </c>
    </row>
    <row r="330" spans="1:13" ht="31.5" hidden="1" customHeight="1" x14ac:dyDescent="0.2">
      <c r="A330" s="81">
        <f t="shared" si="5"/>
        <v>329</v>
      </c>
      <c r="B330" s="96" t="s">
        <v>625</v>
      </c>
      <c r="C330" s="177" t="s">
        <v>654</v>
      </c>
      <c r="D330" s="181" t="s">
        <v>655</v>
      </c>
      <c r="E330" s="153" t="s">
        <v>656</v>
      </c>
      <c r="F330" s="99" t="s">
        <v>48</v>
      </c>
      <c r="G330" s="82">
        <v>8</v>
      </c>
      <c r="H330" s="96" t="s">
        <v>49</v>
      </c>
      <c r="I330" s="96" t="s">
        <v>2</v>
      </c>
      <c r="J330" s="171" t="s">
        <v>657</v>
      </c>
      <c r="K330" s="171"/>
      <c r="L330" s="84"/>
      <c r="M330" s="307" t="s">
        <v>49</v>
      </c>
    </row>
    <row r="331" spans="1:13" ht="31.5" hidden="1" customHeight="1" x14ac:dyDescent="0.2">
      <c r="A331" s="81">
        <f t="shared" si="5"/>
        <v>330</v>
      </c>
      <c r="B331" s="96" t="s">
        <v>625</v>
      </c>
      <c r="C331" s="177" t="s">
        <v>654</v>
      </c>
      <c r="D331" s="181" t="s">
        <v>655</v>
      </c>
      <c r="E331" s="89" t="s">
        <v>658</v>
      </c>
      <c r="F331" s="99" t="s">
        <v>48</v>
      </c>
      <c r="G331" s="82">
        <v>8</v>
      </c>
      <c r="H331" s="96" t="s">
        <v>49</v>
      </c>
      <c r="I331" s="96" t="s">
        <v>2</v>
      </c>
      <c r="J331" s="171" t="s">
        <v>657</v>
      </c>
      <c r="K331" s="171"/>
      <c r="L331" s="84"/>
      <c r="M331" s="307" t="s">
        <v>49</v>
      </c>
    </row>
    <row r="332" spans="1:13" ht="31.5" hidden="1" customHeight="1" x14ac:dyDescent="0.2">
      <c r="A332" s="81">
        <f t="shared" si="5"/>
        <v>331</v>
      </c>
      <c r="B332" s="96" t="s">
        <v>625</v>
      </c>
      <c r="C332" s="177" t="s">
        <v>654</v>
      </c>
      <c r="D332" s="181" t="s">
        <v>655</v>
      </c>
      <c r="E332" s="89" t="s">
        <v>659</v>
      </c>
      <c r="F332" s="99" t="s">
        <v>48</v>
      </c>
      <c r="G332" s="82">
        <v>8</v>
      </c>
      <c r="H332" s="96" t="s">
        <v>49</v>
      </c>
      <c r="I332" s="96" t="s">
        <v>2</v>
      </c>
      <c r="J332" s="171" t="s">
        <v>657</v>
      </c>
      <c r="K332" s="171"/>
      <c r="L332" s="84"/>
      <c r="M332" s="307" t="s">
        <v>49</v>
      </c>
    </row>
    <row r="333" spans="1:13" ht="31.5" hidden="1" customHeight="1" x14ac:dyDescent="0.2">
      <c r="A333" s="81">
        <f t="shared" si="5"/>
        <v>332</v>
      </c>
      <c r="B333" s="96" t="s">
        <v>625</v>
      </c>
      <c r="C333" s="177" t="s">
        <v>654</v>
      </c>
      <c r="D333" s="181" t="s">
        <v>655</v>
      </c>
      <c r="E333" s="89" t="s">
        <v>660</v>
      </c>
      <c r="F333" s="99" t="s">
        <v>48</v>
      </c>
      <c r="G333" s="82">
        <v>8</v>
      </c>
      <c r="H333" s="96" t="s">
        <v>49</v>
      </c>
      <c r="I333" s="96" t="s">
        <v>2</v>
      </c>
      <c r="J333" s="171" t="s">
        <v>657</v>
      </c>
      <c r="K333" s="171"/>
      <c r="L333" s="84"/>
      <c r="M333" s="307" t="s">
        <v>49</v>
      </c>
    </row>
    <row r="334" spans="1:13" ht="31.5" hidden="1" customHeight="1" x14ac:dyDescent="0.2">
      <c r="A334" s="81">
        <f t="shared" si="5"/>
        <v>333</v>
      </c>
      <c r="B334" s="96" t="s">
        <v>625</v>
      </c>
      <c r="C334" s="177" t="s">
        <v>654</v>
      </c>
      <c r="D334" s="181" t="s">
        <v>655</v>
      </c>
      <c r="E334" s="89" t="s">
        <v>661</v>
      </c>
      <c r="F334" s="99" t="s">
        <v>48</v>
      </c>
      <c r="G334" s="82">
        <v>8</v>
      </c>
      <c r="H334" s="96" t="s">
        <v>49</v>
      </c>
      <c r="I334" s="96" t="s">
        <v>2</v>
      </c>
      <c r="J334" s="171" t="s">
        <v>657</v>
      </c>
      <c r="K334" s="171"/>
      <c r="L334" s="84"/>
      <c r="M334" s="307" t="s">
        <v>49</v>
      </c>
    </row>
    <row r="335" spans="1:13" ht="31.5" hidden="1" customHeight="1" x14ac:dyDescent="0.2">
      <c r="A335" s="81">
        <f t="shared" si="5"/>
        <v>334</v>
      </c>
      <c r="B335" s="96" t="s">
        <v>625</v>
      </c>
      <c r="C335" s="177" t="s">
        <v>654</v>
      </c>
      <c r="D335" s="181" t="s">
        <v>655</v>
      </c>
      <c r="E335" s="89" t="s">
        <v>662</v>
      </c>
      <c r="F335" s="99" t="s">
        <v>48</v>
      </c>
      <c r="G335" s="82">
        <v>8</v>
      </c>
      <c r="H335" s="96" t="s">
        <v>49</v>
      </c>
      <c r="I335" s="96" t="s">
        <v>2</v>
      </c>
      <c r="J335" s="171" t="s">
        <v>657</v>
      </c>
      <c r="K335" s="171"/>
      <c r="L335" s="84"/>
      <c r="M335" s="307" t="s">
        <v>49</v>
      </c>
    </row>
    <row r="336" spans="1:13" ht="31.5" hidden="1" customHeight="1" x14ac:dyDescent="0.2">
      <c r="A336" s="81">
        <f t="shared" si="5"/>
        <v>335</v>
      </c>
      <c r="B336" s="96" t="s">
        <v>625</v>
      </c>
      <c r="C336" s="177" t="s">
        <v>663</v>
      </c>
      <c r="D336" s="90" t="s">
        <v>904</v>
      </c>
      <c r="E336" s="153" t="s">
        <v>664</v>
      </c>
      <c r="F336" s="99" t="s">
        <v>48</v>
      </c>
      <c r="G336" s="82">
        <v>8</v>
      </c>
      <c r="H336" s="96" t="s">
        <v>49</v>
      </c>
      <c r="I336" s="96" t="s">
        <v>2</v>
      </c>
      <c r="J336" s="171" t="s">
        <v>664</v>
      </c>
      <c r="K336" s="171"/>
      <c r="L336" s="84"/>
      <c r="M336" s="307" t="s">
        <v>49</v>
      </c>
    </row>
    <row r="337" spans="1:13" ht="31.5" hidden="1" customHeight="1" x14ac:dyDescent="0.2">
      <c r="A337" s="81">
        <f t="shared" si="5"/>
        <v>336</v>
      </c>
      <c r="B337" s="96" t="s">
        <v>625</v>
      </c>
      <c r="C337" s="177" t="s">
        <v>665</v>
      </c>
      <c r="D337" s="181" t="s">
        <v>666</v>
      </c>
      <c r="E337" s="153" t="s">
        <v>666</v>
      </c>
      <c r="F337" s="99" t="s">
        <v>48</v>
      </c>
      <c r="G337" s="82">
        <v>8</v>
      </c>
      <c r="H337" s="96" t="s">
        <v>49</v>
      </c>
      <c r="I337" s="96" t="s">
        <v>2</v>
      </c>
      <c r="J337" s="171" t="s">
        <v>666</v>
      </c>
      <c r="K337" s="171"/>
      <c r="L337" s="84"/>
      <c r="M337" s="307" t="s">
        <v>49</v>
      </c>
    </row>
    <row r="338" spans="1:13" ht="31.5" hidden="1" customHeight="1" x14ac:dyDescent="0.2">
      <c r="A338" s="81">
        <f t="shared" si="5"/>
        <v>337</v>
      </c>
      <c r="B338" s="96" t="s">
        <v>625</v>
      </c>
      <c r="C338" s="177" t="s">
        <v>667</v>
      </c>
      <c r="D338" s="181" t="s">
        <v>668</v>
      </c>
      <c r="E338" s="153" t="s">
        <v>669</v>
      </c>
      <c r="F338" s="99" t="s">
        <v>48</v>
      </c>
      <c r="G338" s="82">
        <v>8</v>
      </c>
      <c r="H338" s="96" t="s">
        <v>49</v>
      </c>
      <c r="I338" s="96" t="s">
        <v>2</v>
      </c>
      <c r="J338" s="171" t="s">
        <v>670</v>
      </c>
      <c r="K338" s="171"/>
      <c r="L338" s="84"/>
      <c r="M338" s="307" t="s">
        <v>49</v>
      </c>
    </row>
    <row r="339" spans="1:13" ht="31.5" hidden="1" customHeight="1" x14ac:dyDescent="0.2">
      <c r="A339" s="81">
        <f t="shared" si="5"/>
        <v>338</v>
      </c>
      <c r="B339" s="96" t="s">
        <v>625</v>
      </c>
      <c r="C339" s="177" t="s">
        <v>667</v>
      </c>
      <c r="D339" s="181" t="s">
        <v>668</v>
      </c>
      <c r="E339" s="89" t="s">
        <v>671</v>
      </c>
      <c r="F339" s="99" t="s">
        <v>48</v>
      </c>
      <c r="G339" s="82">
        <v>8</v>
      </c>
      <c r="H339" s="96" t="s">
        <v>49</v>
      </c>
      <c r="I339" s="96" t="s">
        <v>2</v>
      </c>
      <c r="J339" s="171" t="s">
        <v>670</v>
      </c>
      <c r="K339" s="171"/>
      <c r="L339" s="84"/>
      <c r="M339" s="307" t="s">
        <v>49</v>
      </c>
    </row>
    <row r="340" spans="1:13" ht="31.5" hidden="1" customHeight="1" x14ac:dyDescent="0.2">
      <c r="A340" s="81">
        <f t="shared" si="5"/>
        <v>339</v>
      </c>
      <c r="B340" s="96" t="s">
        <v>625</v>
      </c>
      <c r="C340" s="177" t="s">
        <v>672</v>
      </c>
      <c r="D340" s="181" t="s">
        <v>673</v>
      </c>
      <c r="E340" s="153" t="s">
        <v>674</v>
      </c>
      <c r="F340" s="99" t="s">
        <v>48</v>
      </c>
      <c r="G340" s="82">
        <v>8</v>
      </c>
      <c r="H340" s="96" t="s">
        <v>49</v>
      </c>
      <c r="I340" s="96" t="s">
        <v>2</v>
      </c>
      <c r="J340" s="171" t="s">
        <v>674</v>
      </c>
      <c r="K340" s="171"/>
      <c r="L340" s="84"/>
      <c r="M340" s="307" t="s">
        <v>49</v>
      </c>
    </row>
    <row r="341" spans="1:13" ht="31.5" hidden="1" customHeight="1" x14ac:dyDescent="0.2">
      <c r="A341" s="81">
        <f t="shared" si="5"/>
        <v>340</v>
      </c>
      <c r="B341" s="96" t="s">
        <v>625</v>
      </c>
      <c r="C341" s="177" t="s">
        <v>675</v>
      </c>
      <c r="D341" s="181" t="s">
        <v>676</v>
      </c>
      <c r="E341" s="153" t="s">
        <v>677</v>
      </c>
      <c r="F341" s="99" t="s">
        <v>48</v>
      </c>
      <c r="G341" s="82">
        <v>8</v>
      </c>
      <c r="H341" s="96" t="s">
        <v>49</v>
      </c>
      <c r="I341" s="96" t="s">
        <v>2</v>
      </c>
      <c r="J341" s="171" t="s">
        <v>678</v>
      </c>
      <c r="K341" s="171"/>
      <c r="L341" s="84"/>
      <c r="M341" s="307" t="s">
        <v>49</v>
      </c>
    </row>
    <row r="342" spans="1:13" ht="31.5" hidden="1" customHeight="1" x14ac:dyDescent="0.2">
      <c r="A342" s="81">
        <f t="shared" si="5"/>
        <v>341</v>
      </c>
      <c r="B342" s="96" t="s">
        <v>625</v>
      </c>
      <c r="C342" s="177" t="s">
        <v>675</v>
      </c>
      <c r="D342" s="181" t="s">
        <v>676</v>
      </c>
      <c r="E342" s="89" t="s">
        <v>679</v>
      </c>
      <c r="F342" s="99" t="s">
        <v>48</v>
      </c>
      <c r="G342" s="82">
        <v>8</v>
      </c>
      <c r="H342" s="96" t="s">
        <v>49</v>
      </c>
      <c r="I342" s="96" t="s">
        <v>2</v>
      </c>
      <c r="J342" s="171" t="s">
        <v>678</v>
      </c>
      <c r="K342" s="171"/>
      <c r="L342" s="84"/>
      <c r="M342" s="307" t="s">
        <v>49</v>
      </c>
    </row>
    <row r="343" spans="1:13" ht="31.5" hidden="1" customHeight="1" x14ac:dyDescent="0.2">
      <c r="A343" s="81">
        <f t="shared" si="5"/>
        <v>342</v>
      </c>
      <c r="B343" s="96" t="s">
        <v>625</v>
      </c>
      <c r="C343" s="177" t="s">
        <v>680</v>
      </c>
      <c r="D343" s="181" t="s">
        <v>681</v>
      </c>
      <c r="E343" s="153" t="s">
        <v>682</v>
      </c>
      <c r="F343" s="99" t="s">
        <v>48</v>
      </c>
      <c r="G343" s="82">
        <v>8</v>
      </c>
      <c r="H343" s="96" t="s">
        <v>49</v>
      </c>
      <c r="I343" s="96" t="s">
        <v>2</v>
      </c>
      <c r="J343" s="171" t="s">
        <v>682</v>
      </c>
      <c r="K343" s="171"/>
      <c r="L343" s="84"/>
      <c r="M343" s="307" t="s">
        <v>49</v>
      </c>
    </row>
    <row r="344" spans="1:13" ht="31.5" hidden="1" customHeight="1" x14ac:dyDescent="0.2">
      <c r="A344" s="81">
        <f t="shared" si="5"/>
        <v>343</v>
      </c>
      <c r="B344" s="200" t="s">
        <v>625</v>
      </c>
      <c r="C344" s="177" t="s">
        <v>683</v>
      </c>
      <c r="D344" s="201" t="s">
        <v>1714</v>
      </c>
      <c r="E344" s="202" t="s">
        <v>684</v>
      </c>
      <c r="F344" s="99" t="s">
        <v>48</v>
      </c>
      <c r="G344" s="82">
        <v>8</v>
      </c>
      <c r="H344" s="96" t="s">
        <v>49</v>
      </c>
      <c r="I344" s="96" t="s">
        <v>2</v>
      </c>
      <c r="J344" s="171" t="s">
        <v>1825</v>
      </c>
      <c r="K344" s="171"/>
      <c r="L344" s="84"/>
      <c r="M344" s="307" t="s">
        <v>49</v>
      </c>
    </row>
    <row r="345" spans="1:13" ht="31.5" hidden="1" customHeight="1" x14ac:dyDescent="0.2">
      <c r="A345" s="81">
        <f t="shared" si="5"/>
        <v>344</v>
      </c>
      <c r="B345" s="81" t="s">
        <v>625</v>
      </c>
      <c r="C345" s="177" t="s">
        <v>683</v>
      </c>
      <c r="D345" s="201" t="s">
        <v>1714</v>
      </c>
      <c r="E345" s="203" t="s">
        <v>685</v>
      </c>
      <c r="F345" s="99" t="s">
        <v>48</v>
      </c>
      <c r="G345" s="82">
        <v>8</v>
      </c>
      <c r="H345" s="96" t="s">
        <v>49</v>
      </c>
      <c r="I345" s="96" t="s">
        <v>2</v>
      </c>
      <c r="J345" s="171" t="s">
        <v>1825</v>
      </c>
      <c r="K345" s="171"/>
      <c r="L345" s="84"/>
      <c r="M345" s="307" t="s">
        <v>49</v>
      </c>
    </row>
    <row r="346" spans="1:13" ht="31.5" hidden="1" customHeight="1" x14ac:dyDescent="0.2">
      <c r="A346" s="81">
        <f t="shared" si="5"/>
        <v>345</v>
      </c>
      <c r="B346" s="204" t="s">
        <v>625</v>
      </c>
      <c r="C346" s="177" t="s">
        <v>686</v>
      </c>
      <c r="D346" s="205" t="s">
        <v>1324</v>
      </c>
      <c r="E346" s="205" t="s">
        <v>687</v>
      </c>
      <c r="F346" s="99" t="s">
        <v>48</v>
      </c>
      <c r="G346" s="82">
        <v>8</v>
      </c>
      <c r="H346" s="96" t="s">
        <v>49</v>
      </c>
      <c r="I346" s="96" t="s">
        <v>2</v>
      </c>
      <c r="J346" s="171" t="s">
        <v>1519</v>
      </c>
      <c r="K346" s="171"/>
      <c r="L346" s="84"/>
      <c r="M346" s="307" t="s">
        <v>49</v>
      </c>
    </row>
    <row r="347" spans="1:13" ht="31.5" hidden="1" customHeight="1" x14ac:dyDescent="0.2">
      <c r="A347" s="81">
        <f t="shared" si="5"/>
        <v>346</v>
      </c>
      <c r="B347" s="204" t="s">
        <v>625</v>
      </c>
      <c r="C347" s="177" t="s">
        <v>686</v>
      </c>
      <c r="D347" s="205" t="s">
        <v>1324</v>
      </c>
      <c r="E347" s="205" t="s">
        <v>688</v>
      </c>
      <c r="F347" s="99" t="s">
        <v>48</v>
      </c>
      <c r="G347" s="82">
        <v>8</v>
      </c>
      <c r="H347" s="96" t="s">
        <v>49</v>
      </c>
      <c r="I347" s="96" t="s">
        <v>2</v>
      </c>
      <c r="J347" s="171" t="s">
        <v>1519</v>
      </c>
      <c r="K347" s="171"/>
      <c r="L347" s="84"/>
      <c r="M347" s="307" t="s">
        <v>49</v>
      </c>
    </row>
    <row r="348" spans="1:13" ht="31.5" hidden="1" customHeight="1" x14ac:dyDescent="0.2">
      <c r="A348" s="81">
        <f t="shared" si="5"/>
        <v>347</v>
      </c>
      <c r="B348" s="204" t="s">
        <v>625</v>
      </c>
      <c r="C348" s="177" t="s">
        <v>686</v>
      </c>
      <c r="D348" s="205" t="s">
        <v>1324</v>
      </c>
      <c r="E348" s="205" t="s">
        <v>689</v>
      </c>
      <c r="F348" s="99" t="s">
        <v>48</v>
      </c>
      <c r="G348" s="82">
        <v>8</v>
      </c>
      <c r="H348" s="96" t="s">
        <v>49</v>
      </c>
      <c r="I348" s="96" t="s">
        <v>2</v>
      </c>
      <c r="J348" s="171" t="s">
        <v>1519</v>
      </c>
      <c r="K348" s="171"/>
      <c r="L348" s="84"/>
      <c r="M348" s="307" t="s">
        <v>49</v>
      </c>
    </row>
    <row r="349" spans="1:13" ht="31.5" hidden="1" customHeight="1" x14ac:dyDescent="0.2">
      <c r="A349" s="81">
        <f t="shared" si="5"/>
        <v>348</v>
      </c>
      <c r="B349" s="204" t="s">
        <v>625</v>
      </c>
      <c r="C349" s="177" t="s">
        <v>686</v>
      </c>
      <c r="D349" s="205" t="s">
        <v>1324</v>
      </c>
      <c r="E349" s="205" t="s">
        <v>690</v>
      </c>
      <c r="F349" s="99" t="s">
        <v>48</v>
      </c>
      <c r="G349" s="82">
        <v>8</v>
      </c>
      <c r="H349" s="96" t="s">
        <v>49</v>
      </c>
      <c r="I349" s="96" t="s">
        <v>2</v>
      </c>
      <c r="J349" s="171" t="s">
        <v>1519</v>
      </c>
      <c r="K349" s="171"/>
      <c r="L349" s="84"/>
      <c r="M349" s="307" t="s">
        <v>49</v>
      </c>
    </row>
    <row r="350" spans="1:13" ht="31.5" hidden="1" customHeight="1" x14ac:dyDescent="0.2">
      <c r="A350" s="81">
        <f t="shared" si="5"/>
        <v>349</v>
      </c>
      <c r="B350" s="206" t="s">
        <v>625</v>
      </c>
      <c r="C350" s="177" t="s">
        <v>691</v>
      </c>
      <c r="D350" s="207" t="s">
        <v>692</v>
      </c>
      <c r="E350" s="207" t="s">
        <v>693</v>
      </c>
      <c r="F350" s="99" t="s">
        <v>48</v>
      </c>
      <c r="G350" s="82">
        <v>8</v>
      </c>
      <c r="H350" s="96" t="s">
        <v>49</v>
      </c>
      <c r="I350" s="96" t="s">
        <v>2</v>
      </c>
      <c r="J350" s="171" t="s">
        <v>693</v>
      </c>
      <c r="K350" s="171"/>
      <c r="L350" s="84"/>
      <c r="M350" s="307" t="s">
        <v>49</v>
      </c>
    </row>
    <row r="351" spans="1:13" ht="31.5" hidden="1" customHeight="1" x14ac:dyDescent="0.2">
      <c r="A351" s="81">
        <f t="shared" si="5"/>
        <v>350</v>
      </c>
      <c r="B351" s="206" t="s">
        <v>625</v>
      </c>
      <c r="C351" s="177" t="s">
        <v>694</v>
      </c>
      <c r="D351" s="207" t="s">
        <v>695</v>
      </c>
      <c r="E351" s="207" t="s">
        <v>696</v>
      </c>
      <c r="F351" s="99" t="s">
        <v>48</v>
      </c>
      <c r="G351" s="82">
        <v>8</v>
      </c>
      <c r="H351" s="96" t="s">
        <v>49</v>
      </c>
      <c r="I351" s="96" t="s">
        <v>2</v>
      </c>
      <c r="J351" s="171" t="s">
        <v>696</v>
      </c>
      <c r="K351" s="171"/>
      <c r="L351" s="84"/>
      <c r="M351" s="307" t="s">
        <v>49</v>
      </c>
    </row>
    <row r="352" spans="1:13" ht="31.5" hidden="1" customHeight="1" x14ac:dyDescent="0.2">
      <c r="A352" s="81">
        <f t="shared" si="5"/>
        <v>351</v>
      </c>
      <c r="B352" s="206" t="s">
        <v>625</v>
      </c>
      <c r="C352" s="177" t="s">
        <v>697</v>
      </c>
      <c r="D352" s="207" t="s">
        <v>698</v>
      </c>
      <c r="E352" s="207" t="s">
        <v>699</v>
      </c>
      <c r="F352" s="99" t="s">
        <v>48</v>
      </c>
      <c r="G352" s="82">
        <v>8</v>
      </c>
      <c r="H352" s="96" t="s">
        <v>49</v>
      </c>
      <c r="I352" s="96" t="s">
        <v>2</v>
      </c>
      <c r="J352" s="171" t="s">
        <v>699</v>
      </c>
      <c r="K352" s="171"/>
      <c r="L352" s="84"/>
      <c r="M352" s="307" t="s">
        <v>49</v>
      </c>
    </row>
    <row r="353" spans="1:13" ht="31.5" hidden="1" customHeight="1" x14ac:dyDescent="0.2">
      <c r="A353" s="81">
        <f t="shared" si="5"/>
        <v>352</v>
      </c>
      <c r="B353" s="206" t="s">
        <v>625</v>
      </c>
      <c r="C353" s="177" t="s">
        <v>700</v>
      </c>
      <c r="D353" s="207" t="s">
        <v>701</v>
      </c>
      <c r="E353" s="207" t="s">
        <v>701</v>
      </c>
      <c r="F353" s="99" t="s">
        <v>48</v>
      </c>
      <c r="G353" s="82">
        <v>8</v>
      </c>
      <c r="H353" s="96" t="s">
        <v>49</v>
      </c>
      <c r="I353" s="96" t="s">
        <v>2</v>
      </c>
      <c r="J353" s="171" t="s">
        <v>701</v>
      </c>
      <c r="K353" s="171"/>
      <c r="L353" s="84"/>
      <c r="M353" s="307" t="s">
        <v>49</v>
      </c>
    </row>
    <row r="354" spans="1:13" ht="31.5" hidden="1" customHeight="1" x14ac:dyDescent="0.2">
      <c r="A354" s="81">
        <f t="shared" si="5"/>
        <v>353</v>
      </c>
      <c r="B354" s="206" t="s">
        <v>625</v>
      </c>
      <c r="C354" s="177" t="s">
        <v>702</v>
      </c>
      <c r="D354" s="205" t="s">
        <v>1712</v>
      </c>
      <c r="E354" s="207" t="s">
        <v>703</v>
      </c>
      <c r="F354" s="99" t="s">
        <v>48</v>
      </c>
      <c r="G354" s="82">
        <v>8</v>
      </c>
      <c r="H354" s="96" t="s">
        <v>49</v>
      </c>
      <c r="I354" s="96" t="s">
        <v>2</v>
      </c>
      <c r="J354" s="171" t="s">
        <v>1826</v>
      </c>
      <c r="K354" s="171"/>
      <c r="L354" s="84"/>
      <c r="M354" s="307" t="s">
        <v>49</v>
      </c>
    </row>
    <row r="355" spans="1:13" ht="31.5" customHeight="1" x14ac:dyDescent="0.2">
      <c r="A355" s="81">
        <f t="shared" si="5"/>
        <v>354</v>
      </c>
      <c r="B355" s="208" t="s">
        <v>42</v>
      </c>
      <c r="C355" s="177" t="s">
        <v>704</v>
      </c>
      <c r="D355" s="151" t="s">
        <v>898</v>
      </c>
      <c r="E355" s="209" t="s">
        <v>705</v>
      </c>
      <c r="F355" s="99" t="s">
        <v>48</v>
      </c>
      <c r="G355" s="82">
        <v>8</v>
      </c>
      <c r="H355" s="96" t="s">
        <v>61</v>
      </c>
      <c r="I355" s="96" t="s">
        <v>2</v>
      </c>
      <c r="J355" s="171" t="s">
        <v>1064</v>
      </c>
      <c r="K355" s="171"/>
      <c r="L355" s="99" t="s">
        <v>706</v>
      </c>
      <c r="M355" s="307" t="s">
        <v>61</v>
      </c>
    </row>
    <row r="356" spans="1:13" ht="31.5" hidden="1" customHeight="1" x14ac:dyDescent="0.2">
      <c r="A356" s="81">
        <f t="shared" si="5"/>
        <v>355</v>
      </c>
      <c r="B356" s="208" t="s">
        <v>42</v>
      </c>
      <c r="C356" s="177" t="s">
        <v>707</v>
      </c>
      <c r="D356" s="114" t="s">
        <v>899</v>
      </c>
      <c r="E356" s="209" t="s">
        <v>708</v>
      </c>
      <c r="F356" s="99" t="s">
        <v>48</v>
      </c>
      <c r="G356" s="82">
        <v>8</v>
      </c>
      <c r="H356" s="96" t="s">
        <v>49</v>
      </c>
      <c r="I356" s="96" t="s">
        <v>2</v>
      </c>
      <c r="J356" s="171" t="s">
        <v>708</v>
      </c>
      <c r="K356" s="210"/>
      <c r="L356" s="99" t="s">
        <v>706</v>
      </c>
      <c r="M356" s="307" t="s">
        <v>49</v>
      </c>
    </row>
    <row r="357" spans="1:13" ht="31.5" hidden="1" customHeight="1" x14ac:dyDescent="0.2">
      <c r="A357" s="81">
        <f t="shared" si="5"/>
        <v>356</v>
      </c>
      <c r="B357" s="208" t="s">
        <v>625</v>
      </c>
      <c r="C357" s="177" t="s">
        <v>709</v>
      </c>
      <c r="D357" s="95" t="s">
        <v>710</v>
      </c>
      <c r="E357" s="209" t="s">
        <v>711</v>
      </c>
      <c r="F357" s="99" t="s">
        <v>48</v>
      </c>
      <c r="G357" s="82">
        <v>8</v>
      </c>
      <c r="H357" s="96" t="s">
        <v>49</v>
      </c>
      <c r="I357" s="96" t="s">
        <v>2</v>
      </c>
      <c r="J357" s="171" t="s">
        <v>711</v>
      </c>
      <c r="K357" s="171"/>
      <c r="L357" s="99" t="s">
        <v>706</v>
      </c>
      <c r="M357" s="307" t="s">
        <v>49</v>
      </c>
    </row>
    <row r="358" spans="1:13" ht="31.5" hidden="1" customHeight="1" x14ac:dyDescent="0.2">
      <c r="A358" s="81">
        <f t="shared" si="5"/>
        <v>357</v>
      </c>
      <c r="B358" s="208" t="s">
        <v>625</v>
      </c>
      <c r="C358" s="177" t="s">
        <v>709</v>
      </c>
      <c r="D358" s="95" t="s">
        <v>712</v>
      </c>
      <c r="E358" s="209" t="s">
        <v>713</v>
      </c>
      <c r="F358" s="99" t="s">
        <v>48</v>
      </c>
      <c r="G358" s="82">
        <v>8</v>
      </c>
      <c r="H358" s="96" t="s">
        <v>49</v>
      </c>
      <c r="I358" s="96" t="s">
        <v>2</v>
      </c>
      <c r="J358" s="171" t="s">
        <v>713</v>
      </c>
      <c r="K358" s="171"/>
      <c r="L358" s="99" t="s">
        <v>706</v>
      </c>
      <c r="M358" s="307" t="s">
        <v>49</v>
      </c>
    </row>
    <row r="359" spans="1:13" ht="31.5" hidden="1" customHeight="1" x14ac:dyDescent="0.2">
      <c r="A359" s="81">
        <f t="shared" si="5"/>
        <v>358</v>
      </c>
      <c r="B359" s="211" t="s">
        <v>625</v>
      </c>
      <c r="C359" s="177" t="s">
        <v>714</v>
      </c>
      <c r="D359" s="212" t="s">
        <v>1707</v>
      </c>
      <c r="E359" s="213" t="s">
        <v>715</v>
      </c>
      <c r="F359" s="99" t="s">
        <v>48</v>
      </c>
      <c r="G359" s="82">
        <v>8</v>
      </c>
      <c r="H359" s="96" t="s">
        <v>49</v>
      </c>
      <c r="I359" s="96" t="s">
        <v>2</v>
      </c>
      <c r="J359" s="171" t="s">
        <v>1708</v>
      </c>
      <c r="K359" s="171"/>
      <c r="L359" s="99" t="s">
        <v>706</v>
      </c>
      <c r="M359" s="307" t="s">
        <v>49</v>
      </c>
    </row>
    <row r="360" spans="1:13" ht="31.5" hidden="1" customHeight="1" x14ac:dyDescent="0.2">
      <c r="A360" s="81">
        <f t="shared" si="5"/>
        <v>359</v>
      </c>
      <c r="B360" s="208" t="s">
        <v>625</v>
      </c>
      <c r="C360" s="177" t="s">
        <v>716</v>
      </c>
      <c r="D360" s="211" t="s">
        <v>717</v>
      </c>
      <c r="E360" s="213" t="s">
        <v>718</v>
      </c>
      <c r="F360" s="99" t="s">
        <v>48</v>
      </c>
      <c r="G360" s="82">
        <v>8</v>
      </c>
      <c r="H360" s="96" t="s">
        <v>49</v>
      </c>
      <c r="I360" s="96" t="s">
        <v>2</v>
      </c>
      <c r="J360" s="171" t="s">
        <v>719</v>
      </c>
      <c r="K360" s="171"/>
      <c r="L360" s="99" t="s">
        <v>706</v>
      </c>
      <c r="M360" s="307" t="s">
        <v>49</v>
      </c>
    </row>
    <row r="361" spans="1:13" ht="31.5" hidden="1" customHeight="1" x14ac:dyDescent="0.2">
      <c r="A361" s="81">
        <f t="shared" si="5"/>
        <v>360</v>
      </c>
      <c r="B361" s="208" t="s">
        <v>625</v>
      </c>
      <c r="C361" s="177" t="s">
        <v>716</v>
      </c>
      <c r="D361" s="211" t="s">
        <v>717</v>
      </c>
      <c r="E361" s="213" t="s">
        <v>720</v>
      </c>
      <c r="F361" s="99" t="s">
        <v>48</v>
      </c>
      <c r="G361" s="82">
        <v>8</v>
      </c>
      <c r="H361" s="96" t="s">
        <v>49</v>
      </c>
      <c r="I361" s="96" t="s">
        <v>2</v>
      </c>
      <c r="J361" s="171" t="s">
        <v>719</v>
      </c>
      <c r="K361" s="171"/>
      <c r="L361" s="99" t="s">
        <v>706</v>
      </c>
      <c r="M361" s="307" t="s">
        <v>49</v>
      </c>
    </row>
    <row r="362" spans="1:13" ht="31.5" hidden="1" customHeight="1" x14ac:dyDescent="0.2">
      <c r="A362" s="81">
        <f t="shared" si="5"/>
        <v>361</v>
      </c>
      <c r="B362" s="214" t="s">
        <v>42</v>
      </c>
      <c r="C362" s="177" t="s">
        <v>721</v>
      </c>
      <c r="D362" s="211" t="s">
        <v>722</v>
      </c>
      <c r="E362" s="213" t="s">
        <v>723</v>
      </c>
      <c r="F362" s="99" t="s">
        <v>48</v>
      </c>
      <c r="G362" s="82">
        <v>8</v>
      </c>
      <c r="H362" s="96" t="s">
        <v>49</v>
      </c>
      <c r="I362" s="96" t="s">
        <v>2</v>
      </c>
      <c r="J362" s="171" t="s">
        <v>723</v>
      </c>
      <c r="K362" s="171"/>
      <c r="L362" s="99" t="s">
        <v>706</v>
      </c>
      <c r="M362" s="307" t="s">
        <v>49</v>
      </c>
    </row>
    <row r="363" spans="1:13" ht="31.5" hidden="1" customHeight="1" x14ac:dyDescent="0.2">
      <c r="A363" s="81">
        <f t="shared" si="5"/>
        <v>362</v>
      </c>
      <c r="B363" s="208" t="s">
        <v>42</v>
      </c>
      <c r="C363" s="177" t="s">
        <v>724</v>
      </c>
      <c r="D363" s="211" t="s">
        <v>725</v>
      </c>
      <c r="E363" s="213" t="s">
        <v>726</v>
      </c>
      <c r="F363" s="99" t="s">
        <v>48</v>
      </c>
      <c r="G363" s="82">
        <v>8</v>
      </c>
      <c r="H363" s="96" t="s">
        <v>49</v>
      </c>
      <c r="I363" s="96" t="s">
        <v>2</v>
      </c>
      <c r="J363" s="171" t="s">
        <v>726</v>
      </c>
      <c r="K363" s="171"/>
      <c r="L363" s="99" t="s">
        <v>706</v>
      </c>
      <c r="M363" s="307" t="s">
        <v>49</v>
      </c>
    </row>
    <row r="364" spans="1:13" ht="31.5" hidden="1" customHeight="1" x14ac:dyDescent="0.2">
      <c r="A364" s="81">
        <f t="shared" si="5"/>
        <v>363</v>
      </c>
      <c r="B364" s="96" t="s">
        <v>143</v>
      </c>
      <c r="C364" s="177" t="s">
        <v>727</v>
      </c>
      <c r="D364" s="213" t="s">
        <v>207</v>
      </c>
      <c r="E364" s="213" t="s">
        <v>728</v>
      </c>
      <c r="F364" s="99" t="s">
        <v>48</v>
      </c>
      <c r="G364" s="82">
        <v>8</v>
      </c>
      <c r="H364" s="96" t="s">
        <v>49</v>
      </c>
      <c r="I364" s="96" t="s">
        <v>2</v>
      </c>
      <c r="J364" s="171" t="s">
        <v>209</v>
      </c>
      <c r="K364" s="171"/>
      <c r="L364" s="99" t="s">
        <v>706</v>
      </c>
      <c r="M364" s="307" t="s">
        <v>49</v>
      </c>
    </row>
    <row r="365" spans="1:13" ht="31.5" hidden="1" customHeight="1" x14ac:dyDescent="0.2">
      <c r="A365" s="81">
        <f t="shared" si="5"/>
        <v>364</v>
      </c>
      <c r="B365" s="96" t="s">
        <v>143</v>
      </c>
      <c r="C365" s="177" t="s">
        <v>727</v>
      </c>
      <c r="D365" s="213" t="s">
        <v>288</v>
      </c>
      <c r="E365" s="213" t="s">
        <v>729</v>
      </c>
      <c r="F365" s="99" t="s">
        <v>48</v>
      </c>
      <c r="G365" s="82">
        <v>8</v>
      </c>
      <c r="H365" s="96" t="s">
        <v>49</v>
      </c>
      <c r="I365" s="96" t="s">
        <v>2</v>
      </c>
      <c r="J365" s="171" t="s">
        <v>290</v>
      </c>
      <c r="K365" s="171"/>
      <c r="L365" s="99" t="s">
        <v>706</v>
      </c>
      <c r="M365" s="307" t="s">
        <v>49</v>
      </c>
    </row>
    <row r="366" spans="1:13" ht="31.5" hidden="1" customHeight="1" x14ac:dyDescent="0.2">
      <c r="A366" s="81">
        <f t="shared" si="5"/>
        <v>365</v>
      </c>
      <c r="B366" s="96" t="s">
        <v>143</v>
      </c>
      <c r="C366" s="177" t="s">
        <v>727</v>
      </c>
      <c r="D366" s="187" t="s">
        <v>458</v>
      </c>
      <c r="E366" s="213" t="s">
        <v>730</v>
      </c>
      <c r="F366" s="99" t="s">
        <v>48</v>
      </c>
      <c r="G366" s="82">
        <v>8</v>
      </c>
      <c r="H366" s="96" t="s">
        <v>49</v>
      </c>
      <c r="I366" s="96" t="s">
        <v>889</v>
      </c>
      <c r="J366" s="171" t="s">
        <v>460</v>
      </c>
      <c r="K366" s="179" t="s">
        <v>1710</v>
      </c>
      <c r="L366" s="99"/>
      <c r="M366" s="307" t="s">
        <v>49</v>
      </c>
    </row>
    <row r="367" spans="1:13" ht="31.5" hidden="1" customHeight="1" x14ac:dyDescent="0.2">
      <c r="A367" s="81">
        <f t="shared" si="5"/>
        <v>366</v>
      </c>
      <c r="B367" s="96" t="s">
        <v>143</v>
      </c>
      <c r="C367" s="177" t="s">
        <v>727</v>
      </c>
      <c r="D367" s="188" t="s">
        <v>463</v>
      </c>
      <c r="E367" s="213" t="s">
        <v>731</v>
      </c>
      <c r="F367" s="99" t="s">
        <v>48</v>
      </c>
      <c r="G367" s="82">
        <v>8</v>
      </c>
      <c r="H367" s="96" t="s">
        <v>49</v>
      </c>
      <c r="I367" s="96" t="s">
        <v>889</v>
      </c>
      <c r="J367" s="171" t="s">
        <v>465</v>
      </c>
      <c r="K367" s="180" t="s">
        <v>1717</v>
      </c>
      <c r="L367" s="99" t="s">
        <v>706</v>
      </c>
      <c r="M367" s="307" t="s">
        <v>49</v>
      </c>
    </row>
    <row r="368" spans="1:13" ht="31.5" hidden="1" customHeight="1" x14ac:dyDescent="0.2">
      <c r="A368" s="81">
        <f t="shared" si="5"/>
        <v>367</v>
      </c>
      <c r="B368" s="215" t="s">
        <v>143</v>
      </c>
      <c r="C368" s="170" t="s">
        <v>732</v>
      </c>
      <c r="D368" s="216" t="s">
        <v>733</v>
      </c>
      <c r="E368" s="294" t="s">
        <v>734</v>
      </c>
      <c r="F368" s="99" t="s">
        <v>48</v>
      </c>
      <c r="G368" s="82">
        <v>8</v>
      </c>
      <c r="H368" s="96" t="s">
        <v>49</v>
      </c>
      <c r="I368" s="96" t="s">
        <v>2</v>
      </c>
      <c r="J368" s="171" t="s">
        <v>734</v>
      </c>
      <c r="K368" s="217" t="s">
        <v>1711</v>
      </c>
      <c r="L368" s="99" t="s">
        <v>706</v>
      </c>
      <c r="M368" s="307" t="s">
        <v>49</v>
      </c>
    </row>
    <row r="369" spans="1:13" ht="31.5" hidden="1" customHeight="1" x14ac:dyDescent="0.2">
      <c r="A369" s="81">
        <f t="shared" si="5"/>
        <v>368</v>
      </c>
      <c r="B369" s="215" t="s">
        <v>143</v>
      </c>
      <c r="C369" s="170" t="s">
        <v>732</v>
      </c>
      <c r="D369" s="213" t="s">
        <v>735</v>
      </c>
      <c r="E369" s="213" t="s">
        <v>736</v>
      </c>
      <c r="F369" s="99" t="s">
        <v>48</v>
      </c>
      <c r="G369" s="82">
        <v>8</v>
      </c>
      <c r="H369" s="96" t="s">
        <v>49</v>
      </c>
      <c r="I369" s="96" t="s">
        <v>2</v>
      </c>
      <c r="J369" s="171" t="s">
        <v>737</v>
      </c>
      <c r="K369" s="217" t="s">
        <v>1711</v>
      </c>
      <c r="L369" s="99" t="s">
        <v>706</v>
      </c>
      <c r="M369" s="307" t="s">
        <v>49</v>
      </c>
    </row>
    <row r="370" spans="1:13" ht="31.5" hidden="1" customHeight="1" x14ac:dyDescent="0.2">
      <c r="A370" s="81">
        <f t="shared" si="5"/>
        <v>369</v>
      </c>
      <c r="B370" s="215" t="s">
        <v>143</v>
      </c>
      <c r="C370" s="170" t="s">
        <v>732</v>
      </c>
      <c r="D370" s="213" t="s">
        <v>735</v>
      </c>
      <c r="E370" s="213" t="s">
        <v>738</v>
      </c>
      <c r="F370" s="99" t="s">
        <v>48</v>
      </c>
      <c r="G370" s="82">
        <v>8</v>
      </c>
      <c r="H370" s="96" t="s">
        <v>49</v>
      </c>
      <c r="I370" s="96" t="s">
        <v>2</v>
      </c>
      <c r="J370" s="171" t="s">
        <v>737</v>
      </c>
      <c r="K370" s="217" t="s">
        <v>1711</v>
      </c>
      <c r="L370" s="99" t="s">
        <v>706</v>
      </c>
      <c r="M370" s="307" t="s">
        <v>49</v>
      </c>
    </row>
    <row r="371" spans="1:13" ht="31.5" hidden="1" customHeight="1" x14ac:dyDescent="0.2">
      <c r="A371" s="81">
        <f t="shared" si="5"/>
        <v>370</v>
      </c>
      <c r="B371" s="96" t="s">
        <v>625</v>
      </c>
      <c r="C371" s="170" t="s">
        <v>1000</v>
      </c>
      <c r="D371" s="211" t="s">
        <v>1318</v>
      </c>
      <c r="E371" s="213" t="s">
        <v>905</v>
      </c>
      <c r="F371" s="99" t="s">
        <v>48</v>
      </c>
      <c r="G371" s="82">
        <v>10</v>
      </c>
      <c r="H371" s="96" t="s">
        <v>49</v>
      </c>
      <c r="I371" s="96" t="s">
        <v>2</v>
      </c>
      <c r="J371" s="84" t="s">
        <v>1520</v>
      </c>
      <c r="K371" s="84"/>
      <c r="L371" s="84"/>
      <c r="M371" s="307" t="s">
        <v>49</v>
      </c>
    </row>
    <row r="372" spans="1:13" ht="31.5" hidden="1" customHeight="1" x14ac:dyDescent="0.2">
      <c r="A372" s="81">
        <f t="shared" si="5"/>
        <v>371</v>
      </c>
      <c r="B372" s="96" t="s">
        <v>625</v>
      </c>
      <c r="C372" s="170" t="s">
        <v>1001</v>
      </c>
      <c r="D372" s="211" t="s">
        <v>906</v>
      </c>
      <c r="E372" s="213" t="s">
        <v>906</v>
      </c>
      <c r="F372" s="99" t="s">
        <v>48</v>
      </c>
      <c r="G372" s="82">
        <v>10</v>
      </c>
      <c r="H372" s="96" t="s">
        <v>49</v>
      </c>
      <c r="I372" s="96" t="s">
        <v>2</v>
      </c>
      <c r="J372" s="84" t="s">
        <v>906</v>
      </c>
      <c r="K372" s="84"/>
      <c r="L372" s="84"/>
      <c r="M372" s="307" t="s">
        <v>49</v>
      </c>
    </row>
    <row r="373" spans="1:13" ht="31.5" hidden="1" customHeight="1" x14ac:dyDescent="0.2">
      <c r="A373" s="81">
        <f t="shared" si="5"/>
        <v>372</v>
      </c>
      <c r="B373" s="96" t="s">
        <v>625</v>
      </c>
      <c r="C373" s="170" t="s">
        <v>1002</v>
      </c>
      <c r="D373" s="211" t="s">
        <v>907</v>
      </c>
      <c r="E373" s="213" t="s">
        <v>907</v>
      </c>
      <c r="F373" s="99" t="s">
        <v>48</v>
      </c>
      <c r="G373" s="82">
        <v>10</v>
      </c>
      <c r="H373" s="96" t="s">
        <v>49</v>
      </c>
      <c r="I373" s="96" t="s">
        <v>2</v>
      </c>
      <c r="J373" s="84" t="s">
        <v>907</v>
      </c>
      <c r="K373" s="84"/>
      <c r="L373" s="84"/>
      <c r="M373" s="307" t="s">
        <v>49</v>
      </c>
    </row>
    <row r="374" spans="1:13" ht="31.5" hidden="1" customHeight="1" x14ac:dyDescent="0.2">
      <c r="A374" s="81">
        <f t="shared" si="5"/>
        <v>373</v>
      </c>
      <c r="B374" s="96" t="s">
        <v>625</v>
      </c>
      <c r="C374" s="170" t="s">
        <v>1003</v>
      </c>
      <c r="D374" s="211" t="s">
        <v>1080</v>
      </c>
      <c r="E374" s="213" t="s">
        <v>908</v>
      </c>
      <c r="F374" s="99" t="s">
        <v>48</v>
      </c>
      <c r="G374" s="82">
        <v>10</v>
      </c>
      <c r="H374" s="96" t="s">
        <v>49</v>
      </c>
      <c r="I374" s="96" t="s">
        <v>2</v>
      </c>
      <c r="J374" s="84" t="s">
        <v>1076</v>
      </c>
      <c r="K374" s="84"/>
      <c r="L374" s="84"/>
      <c r="M374" s="307" t="s">
        <v>49</v>
      </c>
    </row>
    <row r="375" spans="1:13" ht="31.5" hidden="1" customHeight="1" x14ac:dyDescent="0.2">
      <c r="A375" s="81">
        <f t="shared" si="5"/>
        <v>374</v>
      </c>
      <c r="B375" s="96" t="s">
        <v>625</v>
      </c>
      <c r="C375" s="170" t="s">
        <v>1003</v>
      </c>
      <c r="D375" s="211" t="s">
        <v>1080</v>
      </c>
      <c r="E375" s="213" t="s">
        <v>909</v>
      </c>
      <c r="F375" s="99" t="s">
        <v>48</v>
      </c>
      <c r="G375" s="82">
        <v>10</v>
      </c>
      <c r="H375" s="96" t="s">
        <v>49</v>
      </c>
      <c r="I375" s="96" t="s">
        <v>2</v>
      </c>
      <c r="J375" s="84" t="s">
        <v>1076</v>
      </c>
      <c r="K375" s="84"/>
      <c r="L375" s="84"/>
      <c r="M375" s="307" t="s">
        <v>49</v>
      </c>
    </row>
    <row r="376" spans="1:13" ht="31.5" hidden="1" customHeight="1" x14ac:dyDescent="0.2">
      <c r="A376" s="81">
        <f t="shared" si="5"/>
        <v>375</v>
      </c>
      <c r="B376" s="96" t="s">
        <v>625</v>
      </c>
      <c r="C376" s="170" t="s">
        <v>1003</v>
      </c>
      <c r="D376" s="211" t="s">
        <v>1079</v>
      </c>
      <c r="E376" s="213" t="s">
        <v>910</v>
      </c>
      <c r="F376" s="99" t="s">
        <v>48</v>
      </c>
      <c r="G376" s="82">
        <v>10</v>
      </c>
      <c r="H376" s="96" t="s">
        <v>49</v>
      </c>
      <c r="I376" s="96" t="s">
        <v>2</v>
      </c>
      <c r="J376" s="84" t="s">
        <v>1077</v>
      </c>
      <c r="K376" s="84"/>
      <c r="L376" s="84"/>
      <c r="M376" s="307" t="s">
        <v>49</v>
      </c>
    </row>
    <row r="377" spans="1:13" ht="31.5" hidden="1" customHeight="1" x14ac:dyDescent="0.2">
      <c r="A377" s="81">
        <f t="shared" si="5"/>
        <v>376</v>
      </c>
      <c r="B377" s="96" t="s">
        <v>625</v>
      </c>
      <c r="C377" s="170" t="s">
        <v>1003</v>
      </c>
      <c r="D377" s="211" t="s">
        <v>1079</v>
      </c>
      <c r="E377" s="213" t="s">
        <v>911</v>
      </c>
      <c r="F377" s="99" t="s">
        <v>48</v>
      </c>
      <c r="G377" s="82">
        <v>10</v>
      </c>
      <c r="H377" s="96" t="s">
        <v>49</v>
      </c>
      <c r="I377" s="96" t="s">
        <v>2</v>
      </c>
      <c r="J377" s="84" t="s">
        <v>1077</v>
      </c>
      <c r="K377" s="84"/>
      <c r="L377" s="84"/>
      <c r="M377" s="307" t="s">
        <v>49</v>
      </c>
    </row>
    <row r="378" spans="1:13" ht="31.5" hidden="1" customHeight="1" x14ac:dyDescent="0.2">
      <c r="A378" s="81">
        <f t="shared" si="5"/>
        <v>377</v>
      </c>
      <c r="B378" s="96" t="s">
        <v>625</v>
      </c>
      <c r="C378" s="170" t="s">
        <v>1004</v>
      </c>
      <c r="D378" s="211" t="s">
        <v>1046</v>
      </c>
      <c r="E378" s="213" t="s">
        <v>912</v>
      </c>
      <c r="F378" s="99" t="s">
        <v>48</v>
      </c>
      <c r="G378" s="82">
        <v>10</v>
      </c>
      <c r="H378" s="96" t="s">
        <v>49</v>
      </c>
      <c r="I378" s="96" t="s">
        <v>2</v>
      </c>
      <c r="J378" s="84" t="s">
        <v>1065</v>
      </c>
      <c r="K378" s="84"/>
      <c r="L378" s="84"/>
      <c r="M378" s="307" t="s">
        <v>49</v>
      </c>
    </row>
    <row r="379" spans="1:13" ht="31.5" hidden="1" customHeight="1" x14ac:dyDescent="0.2">
      <c r="A379" s="81">
        <f t="shared" si="5"/>
        <v>378</v>
      </c>
      <c r="B379" s="96" t="s">
        <v>625</v>
      </c>
      <c r="C379" s="170" t="s">
        <v>1004</v>
      </c>
      <c r="D379" s="211" t="s">
        <v>1046</v>
      </c>
      <c r="E379" s="213" t="s">
        <v>913</v>
      </c>
      <c r="F379" s="99" t="s">
        <v>48</v>
      </c>
      <c r="G379" s="82">
        <v>10</v>
      </c>
      <c r="H379" s="96" t="s">
        <v>49</v>
      </c>
      <c r="I379" s="96" t="s">
        <v>2</v>
      </c>
      <c r="J379" s="84" t="s">
        <v>1065</v>
      </c>
      <c r="K379" s="84"/>
      <c r="L379" s="84"/>
      <c r="M379" s="307" t="s">
        <v>49</v>
      </c>
    </row>
    <row r="380" spans="1:13" ht="31.5" hidden="1" customHeight="1" x14ac:dyDescent="0.2">
      <c r="A380" s="81">
        <f t="shared" si="5"/>
        <v>379</v>
      </c>
      <c r="B380" s="96" t="s">
        <v>625</v>
      </c>
      <c r="C380" s="170" t="s">
        <v>1004</v>
      </c>
      <c r="D380" s="211" t="s">
        <v>1046</v>
      </c>
      <c r="E380" s="213" t="s">
        <v>914</v>
      </c>
      <c r="F380" s="99" t="s">
        <v>48</v>
      </c>
      <c r="G380" s="82">
        <v>10</v>
      </c>
      <c r="H380" s="96" t="s">
        <v>49</v>
      </c>
      <c r="I380" s="96" t="s">
        <v>2</v>
      </c>
      <c r="J380" s="84" t="s">
        <v>1065</v>
      </c>
      <c r="K380" s="84"/>
      <c r="L380" s="84"/>
      <c r="M380" s="307" t="s">
        <v>49</v>
      </c>
    </row>
    <row r="381" spans="1:13" ht="31.5" hidden="1" customHeight="1" x14ac:dyDescent="0.2">
      <c r="A381" s="81">
        <f t="shared" si="5"/>
        <v>380</v>
      </c>
      <c r="B381" s="96" t="s">
        <v>625</v>
      </c>
      <c r="C381" s="170" t="s">
        <v>1004</v>
      </c>
      <c r="D381" s="211" t="s">
        <v>1046</v>
      </c>
      <c r="E381" s="213" t="s">
        <v>915</v>
      </c>
      <c r="F381" s="99" t="s">
        <v>48</v>
      </c>
      <c r="G381" s="82">
        <v>10</v>
      </c>
      <c r="H381" s="96" t="s">
        <v>49</v>
      </c>
      <c r="I381" s="96" t="s">
        <v>2</v>
      </c>
      <c r="J381" s="84" t="s">
        <v>1065</v>
      </c>
      <c r="K381" s="84"/>
      <c r="L381" s="84"/>
      <c r="M381" s="307" t="s">
        <v>49</v>
      </c>
    </row>
    <row r="382" spans="1:13" ht="31.5" hidden="1" customHeight="1" x14ac:dyDescent="0.2">
      <c r="A382" s="81">
        <f t="shared" si="5"/>
        <v>381</v>
      </c>
      <c r="B382" s="96" t="s">
        <v>625</v>
      </c>
      <c r="C382" s="170" t="s">
        <v>1004</v>
      </c>
      <c r="D382" s="211" t="s">
        <v>1046</v>
      </c>
      <c r="E382" s="213" t="s">
        <v>916</v>
      </c>
      <c r="F382" s="99" t="s">
        <v>48</v>
      </c>
      <c r="G382" s="82">
        <v>10</v>
      </c>
      <c r="H382" s="96" t="s">
        <v>49</v>
      </c>
      <c r="I382" s="96" t="s">
        <v>2</v>
      </c>
      <c r="J382" s="84" t="s">
        <v>1065</v>
      </c>
      <c r="K382" s="84"/>
      <c r="L382" s="84"/>
      <c r="M382" s="307" t="s">
        <v>49</v>
      </c>
    </row>
    <row r="383" spans="1:13" ht="31.5" hidden="1" customHeight="1" x14ac:dyDescent="0.2">
      <c r="A383" s="81">
        <f t="shared" si="5"/>
        <v>382</v>
      </c>
      <c r="B383" s="96" t="s">
        <v>625</v>
      </c>
      <c r="C383" s="170" t="s">
        <v>1004</v>
      </c>
      <c r="D383" s="211" t="s">
        <v>1046</v>
      </c>
      <c r="E383" s="213" t="s">
        <v>917</v>
      </c>
      <c r="F383" s="99" t="s">
        <v>48</v>
      </c>
      <c r="G383" s="82">
        <v>10</v>
      </c>
      <c r="H383" s="96" t="s">
        <v>49</v>
      </c>
      <c r="I383" s="96" t="s">
        <v>2</v>
      </c>
      <c r="J383" s="84" t="s">
        <v>1065</v>
      </c>
      <c r="K383" s="84"/>
      <c r="L383" s="84"/>
      <c r="M383" s="307" t="s">
        <v>49</v>
      </c>
    </row>
    <row r="384" spans="1:13" ht="31.5" hidden="1" customHeight="1" x14ac:dyDescent="0.2">
      <c r="A384" s="81">
        <f t="shared" si="5"/>
        <v>383</v>
      </c>
      <c r="B384" s="82" t="s">
        <v>42</v>
      </c>
      <c r="C384" s="170" t="s">
        <v>1005</v>
      </c>
      <c r="D384" s="211" t="s">
        <v>1320</v>
      </c>
      <c r="E384" s="213" t="s">
        <v>918</v>
      </c>
      <c r="F384" s="99" t="s">
        <v>48</v>
      </c>
      <c r="G384" s="82">
        <v>10</v>
      </c>
      <c r="H384" s="96" t="s">
        <v>49</v>
      </c>
      <c r="I384" s="96" t="s">
        <v>2</v>
      </c>
      <c r="J384" s="84" t="s">
        <v>1074</v>
      </c>
      <c r="K384" s="84"/>
      <c r="L384" s="84"/>
      <c r="M384" s="307" t="s">
        <v>49</v>
      </c>
    </row>
    <row r="385" spans="1:13" ht="31.5" hidden="1" customHeight="1" x14ac:dyDescent="0.2">
      <c r="A385" s="81">
        <f t="shared" si="5"/>
        <v>384</v>
      </c>
      <c r="B385" s="82" t="s">
        <v>42</v>
      </c>
      <c r="C385" s="170" t="s">
        <v>1005</v>
      </c>
      <c r="D385" s="211" t="s">
        <v>1320</v>
      </c>
      <c r="E385" s="213" t="s">
        <v>919</v>
      </c>
      <c r="F385" s="99" t="s">
        <v>48</v>
      </c>
      <c r="G385" s="82">
        <v>10</v>
      </c>
      <c r="H385" s="96" t="s">
        <v>49</v>
      </c>
      <c r="I385" s="96" t="s">
        <v>2</v>
      </c>
      <c r="J385" s="84" t="s">
        <v>1074</v>
      </c>
      <c r="K385" s="84"/>
      <c r="L385" s="84"/>
      <c r="M385" s="307" t="s">
        <v>49</v>
      </c>
    </row>
    <row r="386" spans="1:13" ht="31.5" hidden="1" customHeight="1" x14ac:dyDescent="0.2">
      <c r="A386" s="81">
        <f t="shared" si="5"/>
        <v>385</v>
      </c>
      <c r="B386" s="82" t="s">
        <v>42</v>
      </c>
      <c r="C386" s="170" t="s">
        <v>1005</v>
      </c>
      <c r="D386" s="211" t="s">
        <v>1320</v>
      </c>
      <c r="E386" s="213" t="s">
        <v>920</v>
      </c>
      <c r="F386" s="99" t="s">
        <v>48</v>
      </c>
      <c r="G386" s="82">
        <v>10</v>
      </c>
      <c r="H386" s="96" t="s">
        <v>49</v>
      </c>
      <c r="I386" s="96" t="s">
        <v>2</v>
      </c>
      <c r="J386" s="84" t="s">
        <v>1074</v>
      </c>
      <c r="K386" s="84"/>
      <c r="L386" s="84"/>
      <c r="M386" s="307" t="s">
        <v>49</v>
      </c>
    </row>
    <row r="387" spans="1:13" ht="31.5" hidden="1" customHeight="1" x14ac:dyDescent="0.2">
      <c r="A387" s="81">
        <f t="shared" ref="A387:A450" si="6">A386+1</f>
        <v>386</v>
      </c>
      <c r="B387" s="82" t="s">
        <v>42</v>
      </c>
      <c r="C387" s="170" t="s">
        <v>1005</v>
      </c>
      <c r="D387" s="211" t="s">
        <v>1321</v>
      </c>
      <c r="E387" s="213" t="s">
        <v>921</v>
      </c>
      <c r="F387" s="99" t="s">
        <v>48</v>
      </c>
      <c r="G387" s="82">
        <v>10</v>
      </c>
      <c r="H387" s="96" t="s">
        <v>49</v>
      </c>
      <c r="I387" s="96" t="s">
        <v>2</v>
      </c>
      <c r="J387" s="84" t="s">
        <v>1056</v>
      </c>
      <c r="K387" s="84"/>
      <c r="L387" s="84"/>
      <c r="M387" s="307"/>
    </row>
    <row r="388" spans="1:13" ht="31.5" hidden="1" customHeight="1" x14ac:dyDescent="0.2">
      <c r="A388" s="81">
        <f t="shared" si="6"/>
        <v>387</v>
      </c>
      <c r="B388" s="82" t="s">
        <v>42</v>
      </c>
      <c r="C388" s="170" t="s">
        <v>1005</v>
      </c>
      <c r="D388" s="211" t="s">
        <v>1321</v>
      </c>
      <c r="E388" s="213" t="s">
        <v>922</v>
      </c>
      <c r="F388" s="99" t="s">
        <v>48</v>
      </c>
      <c r="G388" s="82">
        <v>10</v>
      </c>
      <c r="H388" s="96" t="s">
        <v>49</v>
      </c>
      <c r="I388" s="96" t="s">
        <v>2</v>
      </c>
      <c r="J388" s="84" t="s">
        <v>1056</v>
      </c>
      <c r="K388" s="84"/>
      <c r="L388" s="84"/>
      <c r="M388" s="307"/>
    </row>
    <row r="389" spans="1:13" ht="31.5" hidden="1" customHeight="1" x14ac:dyDescent="0.2">
      <c r="A389" s="81">
        <f t="shared" si="6"/>
        <v>388</v>
      </c>
      <c r="B389" s="82" t="s">
        <v>42</v>
      </c>
      <c r="C389" s="170" t="s">
        <v>1005</v>
      </c>
      <c r="D389" s="211" t="s">
        <v>1321</v>
      </c>
      <c r="E389" s="213" t="s">
        <v>923</v>
      </c>
      <c r="F389" s="99" t="s">
        <v>48</v>
      </c>
      <c r="G389" s="82">
        <v>10</v>
      </c>
      <c r="H389" s="96" t="s">
        <v>49</v>
      </c>
      <c r="I389" s="96" t="s">
        <v>2</v>
      </c>
      <c r="J389" s="84" t="s">
        <v>1056</v>
      </c>
      <c r="K389" s="84"/>
      <c r="L389" s="84"/>
      <c r="M389" s="307"/>
    </row>
    <row r="390" spans="1:13" ht="31.5" hidden="1" customHeight="1" x14ac:dyDescent="0.2">
      <c r="A390" s="81">
        <f t="shared" si="6"/>
        <v>389</v>
      </c>
      <c r="B390" s="82" t="s">
        <v>42</v>
      </c>
      <c r="C390" s="170" t="s">
        <v>1006</v>
      </c>
      <c r="D390" s="211" t="s">
        <v>1320</v>
      </c>
      <c r="E390" s="213" t="s">
        <v>924</v>
      </c>
      <c r="F390" s="99" t="s">
        <v>48</v>
      </c>
      <c r="G390" s="82">
        <v>10</v>
      </c>
      <c r="H390" s="96" t="s">
        <v>49</v>
      </c>
      <c r="I390" s="96" t="s">
        <v>2</v>
      </c>
      <c r="J390" s="84" t="s">
        <v>1074</v>
      </c>
      <c r="K390" s="84"/>
      <c r="L390" s="84"/>
      <c r="M390" s="307" t="s">
        <v>49</v>
      </c>
    </row>
    <row r="391" spans="1:13" ht="31.5" hidden="1" customHeight="1" x14ac:dyDescent="0.2">
      <c r="A391" s="81">
        <f t="shared" si="6"/>
        <v>390</v>
      </c>
      <c r="B391" s="82" t="s">
        <v>42</v>
      </c>
      <c r="C391" s="170" t="s">
        <v>1006</v>
      </c>
      <c r="D391" s="211" t="s">
        <v>1320</v>
      </c>
      <c r="E391" s="213" t="s">
        <v>925</v>
      </c>
      <c r="F391" s="99" t="s">
        <v>48</v>
      </c>
      <c r="G391" s="82">
        <v>10</v>
      </c>
      <c r="H391" s="96" t="s">
        <v>49</v>
      </c>
      <c r="I391" s="96" t="s">
        <v>2</v>
      </c>
      <c r="J391" s="84" t="s">
        <v>1074</v>
      </c>
      <c r="K391" s="84"/>
      <c r="L391" s="84"/>
      <c r="M391" s="307" t="s">
        <v>49</v>
      </c>
    </row>
    <row r="392" spans="1:13" ht="31.5" hidden="1" customHeight="1" x14ac:dyDescent="0.2">
      <c r="A392" s="81">
        <f t="shared" si="6"/>
        <v>391</v>
      </c>
      <c r="B392" s="82" t="s">
        <v>42</v>
      </c>
      <c r="C392" s="170" t="s">
        <v>1006</v>
      </c>
      <c r="D392" s="211" t="s">
        <v>1321</v>
      </c>
      <c r="E392" s="213" t="s">
        <v>926</v>
      </c>
      <c r="F392" s="99" t="s">
        <v>48</v>
      </c>
      <c r="G392" s="82">
        <v>10</v>
      </c>
      <c r="H392" s="96" t="s">
        <v>49</v>
      </c>
      <c r="I392" s="96" t="s">
        <v>2</v>
      </c>
      <c r="J392" s="84" t="s">
        <v>1056</v>
      </c>
      <c r="K392" s="84"/>
      <c r="L392" s="84"/>
      <c r="M392" s="307"/>
    </row>
    <row r="393" spans="1:13" ht="31.5" hidden="1" customHeight="1" x14ac:dyDescent="0.2">
      <c r="A393" s="81">
        <f t="shared" si="6"/>
        <v>392</v>
      </c>
      <c r="B393" s="82" t="s">
        <v>42</v>
      </c>
      <c r="C393" s="170" t="s">
        <v>1006</v>
      </c>
      <c r="D393" s="211" t="s">
        <v>1321</v>
      </c>
      <c r="E393" s="213" t="s">
        <v>927</v>
      </c>
      <c r="F393" s="99" t="s">
        <v>48</v>
      </c>
      <c r="G393" s="82">
        <v>10</v>
      </c>
      <c r="H393" s="96" t="s">
        <v>49</v>
      </c>
      <c r="I393" s="96" t="s">
        <v>2</v>
      </c>
      <c r="J393" s="84" t="s">
        <v>1056</v>
      </c>
      <c r="K393" s="84"/>
      <c r="L393" s="84"/>
      <c r="M393" s="307"/>
    </row>
    <row r="394" spans="1:13" ht="31.5" hidden="1" customHeight="1" x14ac:dyDescent="0.2">
      <c r="A394" s="81">
        <f t="shared" si="6"/>
        <v>393</v>
      </c>
      <c r="B394" s="82" t="s">
        <v>42</v>
      </c>
      <c r="C394" s="170" t="s">
        <v>1007</v>
      </c>
      <c r="D394" s="211" t="s">
        <v>893</v>
      </c>
      <c r="E394" s="213" t="s">
        <v>928</v>
      </c>
      <c r="F394" s="99" t="s">
        <v>48</v>
      </c>
      <c r="G394" s="82">
        <v>10</v>
      </c>
      <c r="H394" s="96" t="s">
        <v>49</v>
      </c>
      <c r="I394" s="96" t="s">
        <v>2</v>
      </c>
      <c r="J394" s="84" t="s">
        <v>1057</v>
      </c>
      <c r="K394" s="84"/>
      <c r="L394" s="84"/>
      <c r="M394" s="307" t="s">
        <v>49</v>
      </c>
    </row>
    <row r="395" spans="1:13" ht="31.5" hidden="1" customHeight="1" x14ac:dyDescent="0.2">
      <c r="A395" s="81">
        <f t="shared" si="6"/>
        <v>394</v>
      </c>
      <c r="B395" s="82" t="s">
        <v>42</v>
      </c>
      <c r="C395" s="170" t="s">
        <v>1007</v>
      </c>
      <c r="D395" s="211" t="s">
        <v>893</v>
      </c>
      <c r="E395" s="213" t="s">
        <v>929</v>
      </c>
      <c r="F395" s="99" t="s">
        <v>48</v>
      </c>
      <c r="G395" s="82">
        <v>10</v>
      </c>
      <c r="H395" s="96" t="s">
        <v>49</v>
      </c>
      <c r="I395" s="96" t="s">
        <v>2</v>
      </c>
      <c r="J395" s="84" t="s">
        <v>1057</v>
      </c>
      <c r="K395" s="84"/>
      <c r="L395" s="84"/>
      <c r="M395" s="307" t="s">
        <v>49</v>
      </c>
    </row>
    <row r="396" spans="1:13" ht="31.5" customHeight="1" x14ac:dyDescent="0.2">
      <c r="A396" s="81">
        <f t="shared" si="6"/>
        <v>395</v>
      </c>
      <c r="B396" s="82" t="s">
        <v>42</v>
      </c>
      <c r="C396" s="170" t="s">
        <v>1007</v>
      </c>
      <c r="D396" s="213" t="s">
        <v>894</v>
      </c>
      <c r="E396" s="213" t="s">
        <v>930</v>
      </c>
      <c r="F396" s="99" t="s">
        <v>48</v>
      </c>
      <c r="G396" s="82">
        <v>10</v>
      </c>
      <c r="H396" s="96" t="s">
        <v>61</v>
      </c>
      <c r="I396" s="96" t="s">
        <v>2</v>
      </c>
      <c r="J396" s="84" t="s">
        <v>1058</v>
      </c>
      <c r="K396" s="84"/>
      <c r="L396" s="84"/>
      <c r="M396" s="307" t="s">
        <v>61</v>
      </c>
    </row>
    <row r="397" spans="1:13" ht="31.5" customHeight="1" x14ac:dyDescent="0.2">
      <c r="A397" s="81">
        <f t="shared" si="6"/>
        <v>396</v>
      </c>
      <c r="B397" s="82" t="s">
        <v>42</v>
      </c>
      <c r="C397" s="170" t="s">
        <v>1007</v>
      </c>
      <c r="D397" s="213" t="s">
        <v>894</v>
      </c>
      <c r="E397" s="213" t="s">
        <v>931</v>
      </c>
      <c r="F397" s="99" t="s">
        <v>48</v>
      </c>
      <c r="G397" s="82">
        <v>10</v>
      </c>
      <c r="H397" s="96" t="s">
        <v>61</v>
      </c>
      <c r="I397" s="96" t="s">
        <v>2</v>
      </c>
      <c r="J397" s="84" t="s">
        <v>1058</v>
      </c>
      <c r="K397" s="84"/>
      <c r="L397" s="84"/>
      <c r="M397" s="307" t="s">
        <v>61</v>
      </c>
    </row>
    <row r="398" spans="1:13" ht="31.5" customHeight="1" x14ac:dyDescent="0.2">
      <c r="A398" s="81">
        <f t="shared" si="6"/>
        <v>397</v>
      </c>
      <c r="B398" s="82" t="s">
        <v>42</v>
      </c>
      <c r="C398" s="170" t="s">
        <v>1007</v>
      </c>
      <c r="D398" s="213" t="s">
        <v>894</v>
      </c>
      <c r="E398" s="213" t="s">
        <v>932</v>
      </c>
      <c r="F398" s="99" t="s">
        <v>48</v>
      </c>
      <c r="G398" s="82">
        <v>10</v>
      </c>
      <c r="H398" s="96" t="s">
        <v>61</v>
      </c>
      <c r="I398" s="96" t="s">
        <v>2</v>
      </c>
      <c r="J398" s="84" t="s">
        <v>1058</v>
      </c>
      <c r="K398" s="84"/>
      <c r="L398" s="84"/>
      <c r="M398" s="307" t="s">
        <v>61</v>
      </c>
    </row>
    <row r="399" spans="1:13" ht="31.5" customHeight="1" x14ac:dyDescent="0.2">
      <c r="A399" s="81">
        <f t="shared" si="6"/>
        <v>398</v>
      </c>
      <c r="B399" s="82" t="s">
        <v>42</v>
      </c>
      <c r="C399" s="170" t="s">
        <v>1007</v>
      </c>
      <c r="D399" s="213" t="s">
        <v>894</v>
      </c>
      <c r="E399" s="213" t="s">
        <v>933</v>
      </c>
      <c r="F399" s="99" t="s">
        <v>48</v>
      </c>
      <c r="G399" s="82">
        <v>10</v>
      </c>
      <c r="H399" s="96" t="s">
        <v>61</v>
      </c>
      <c r="I399" s="96" t="s">
        <v>2</v>
      </c>
      <c r="J399" s="84" t="s">
        <v>1058</v>
      </c>
      <c r="K399" s="84"/>
      <c r="L399" s="84"/>
      <c r="M399" s="307" t="s">
        <v>61</v>
      </c>
    </row>
    <row r="400" spans="1:13" ht="31.5" customHeight="1" x14ac:dyDescent="0.2">
      <c r="A400" s="81">
        <f t="shared" si="6"/>
        <v>399</v>
      </c>
      <c r="B400" s="82" t="s">
        <v>42</v>
      </c>
      <c r="C400" s="170" t="s">
        <v>1029</v>
      </c>
      <c r="D400" s="211" t="s">
        <v>1682</v>
      </c>
      <c r="E400" s="213" t="s">
        <v>934</v>
      </c>
      <c r="F400" s="99" t="s">
        <v>48</v>
      </c>
      <c r="G400" s="82">
        <v>10</v>
      </c>
      <c r="H400" s="96" t="s">
        <v>61</v>
      </c>
      <c r="I400" s="96" t="s">
        <v>2</v>
      </c>
      <c r="J400" s="84" t="s">
        <v>1698</v>
      </c>
      <c r="K400" s="84"/>
      <c r="L400" s="84"/>
      <c r="M400" s="307" t="s">
        <v>61</v>
      </c>
    </row>
    <row r="401" spans="1:13" ht="31.5" customHeight="1" x14ac:dyDescent="0.2">
      <c r="A401" s="81">
        <f t="shared" si="6"/>
        <v>400</v>
      </c>
      <c r="B401" s="82" t="s">
        <v>42</v>
      </c>
      <c r="C401" s="170" t="s">
        <v>1029</v>
      </c>
      <c r="D401" s="211" t="s">
        <v>1682</v>
      </c>
      <c r="E401" s="213" t="s">
        <v>935</v>
      </c>
      <c r="F401" s="99" t="s">
        <v>48</v>
      </c>
      <c r="G401" s="82">
        <v>10</v>
      </c>
      <c r="H401" s="96" t="s">
        <v>61</v>
      </c>
      <c r="I401" s="96" t="s">
        <v>2</v>
      </c>
      <c r="J401" s="84" t="s">
        <v>1698</v>
      </c>
      <c r="K401" s="84"/>
      <c r="L401" s="84"/>
      <c r="M401" s="307" t="s">
        <v>61</v>
      </c>
    </row>
    <row r="402" spans="1:13" ht="31.5" customHeight="1" x14ac:dyDescent="0.2">
      <c r="A402" s="81">
        <f t="shared" si="6"/>
        <v>401</v>
      </c>
      <c r="B402" s="82" t="s">
        <v>42</v>
      </c>
      <c r="C402" s="170" t="s">
        <v>1030</v>
      </c>
      <c r="D402" s="211" t="s">
        <v>1681</v>
      </c>
      <c r="E402" s="213" t="s">
        <v>936</v>
      </c>
      <c r="F402" s="99" t="s">
        <v>48</v>
      </c>
      <c r="G402" s="82">
        <v>10</v>
      </c>
      <c r="H402" s="96" t="s">
        <v>61</v>
      </c>
      <c r="I402" s="96" t="s">
        <v>2</v>
      </c>
      <c r="J402" s="84" t="s">
        <v>1697</v>
      </c>
      <c r="K402" s="84" t="s">
        <v>1699</v>
      </c>
      <c r="L402" s="84"/>
      <c r="M402" s="307" t="s">
        <v>61</v>
      </c>
    </row>
    <row r="403" spans="1:13" ht="31.5" customHeight="1" x14ac:dyDescent="0.2">
      <c r="A403" s="81">
        <f t="shared" si="6"/>
        <v>402</v>
      </c>
      <c r="B403" s="82" t="s">
        <v>42</v>
      </c>
      <c r="C403" s="170" t="s">
        <v>1030</v>
      </c>
      <c r="D403" s="211" t="s">
        <v>1681</v>
      </c>
      <c r="E403" s="213" t="s">
        <v>937</v>
      </c>
      <c r="F403" s="99" t="s">
        <v>48</v>
      </c>
      <c r="G403" s="82">
        <v>10</v>
      </c>
      <c r="H403" s="96" t="s">
        <v>61</v>
      </c>
      <c r="I403" s="96" t="s">
        <v>2</v>
      </c>
      <c r="J403" s="84" t="s">
        <v>1697</v>
      </c>
      <c r="K403" s="84" t="s">
        <v>1699</v>
      </c>
      <c r="L403" s="84"/>
      <c r="M403" s="307" t="s">
        <v>61</v>
      </c>
    </row>
    <row r="404" spans="1:13" ht="31.5" customHeight="1" x14ac:dyDescent="0.2">
      <c r="A404" s="81">
        <f t="shared" si="6"/>
        <v>403</v>
      </c>
      <c r="B404" s="82" t="s">
        <v>42</v>
      </c>
      <c r="C404" s="170" t="s">
        <v>1030</v>
      </c>
      <c r="D404" s="211" t="s">
        <v>1681</v>
      </c>
      <c r="E404" s="213" t="s">
        <v>938</v>
      </c>
      <c r="F404" s="99" t="s">
        <v>48</v>
      </c>
      <c r="G404" s="82">
        <v>10</v>
      </c>
      <c r="H404" s="96" t="s">
        <v>61</v>
      </c>
      <c r="I404" s="96" t="s">
        <v>2</v>
      </c>
      <c r="J404" s="84" t="s">
        <v>1697</v>
      </c>
      <c r="K404" s="84" t="s">
        <v>1699</v>
      </c>
      <c r="L404" s="84"/>
      <c r="M404" s="307" t="s">
        <v>61</v>
      </c>
    </row>
    <row r="405" spans="1:13" ht="31.5" customHeight="1" x14ac:dyDescent="0.2">
      <c r="A405" s="81">
        <f t="shared" si="6"/>
        <v>404</v>
      </c>
      <c r="B405" s="82" t="s">
        <v>42</v>
      </c>
      <c r="C405" s="170" t="s">
        <v>1030</v>
      </c>
      <c r="D405" s="211" t="s">
        <v>1681</v>
      </c>
      <c r="E405" s="213" t="s">
        <v>939</v>
      </c>
      <c r="F405" s="99" t="s">
        <v>48</v>
      </c>
      <c r="G405" s="82">
        <v>10</v>
      </c>
      <c r="H405" s="96" t="s">
        <v>61</v>
      </c>
      <c r="I405" s="96" t="s">
        <v>2</v>
      </c>
      <c r="J405" s="84" t="s">
        <v>1697</v>
      </c>
      <c r="K405" s="84" t="s">
        <v>1699</v>
      </c>
      <c r="L405" s="84"/>
      <c r="M405" s="307" t="s">
        <v>61</v>
      </c>
    </row>
    <row r="406" spans="1:13" ht="31.5" hidden="1" customHeight="1" x14ac:dyDescent="0.2">
      <c r="A406" s="81">
        <f t="shared" si="6"/>
        <v>405</v>
      </c>
      <c r="B406" s="211" t="s">
        <v>625</v>
      </c>
      <c r="C406" s="218" t="s">
        <v>1008</v>
      </c>
      <c r="D406" s="212" t="s">
        <v>1707</v>
      </c>
      <c r="E406" s="213" t="s">
        <v>940</v>
      </c>
      <c r="F406" s="99" t="s">
        <v>48</v>
      </c>
      <c r="G406" s="82">
        <v>10</v>
      </c>
      <c r="H406" s="96" t="s">
        <v>49</v>
      </c>
      <c r="I406" s="96" t="s">
        <v>2</v>
      </c>
      <c r="J406" s="84" t="s">
        <v>1708</v>
      </c>
      <c r="K406" s="84"/>
      <c r="L406" s="84"/>
      <c r="M406" s="307" t="s">
        <v>49</v>
      </c>
    </row>
    <row r="407" spans="1:13" ht="31.5" hidden="1" customHeight="1" x14ac:dyDescent="0.2">
      <c r="A407" s="81">
        <f t="shared" si="6"/>
        <v>406</v>
      </c>
      <c r="B407" s="219" t="s">
        <v>42</v>
      </c>
      <c r="C407" s="170" t="s">
        <v>1009</v>
      </c>
      <c r="D407" s="90" t="s">
        <v>941</v>
      </c>
      <c r="E407" s="89" t="s">
        <v>941</v>
      </c>
      <c r="F407" s="99" t="s">
        <v>48</v>
      </c>
      <c r="G407" s="82">
        <v>10</v>
      </c>
      <c r="H407" s="96" t="s">
        <v>49</v>
      </c>
      <c r="I407" s="96" t="s">
        <v>2</v>
      </c>
      <c r="J407" s="84" t="s">
        <v>941</v>
      </c>
      <c r="K407" s="84"/>
      <c r="L407" s="84"/>
      <c r="M407" s="307" t="s">
        <v>49</v>
      </c>
    </row>
    <row r="408" spans="1:13" ht="31.5" hidden="1" customHeight="1" x14ac:dyDescent="0.2">
      <c r="A408" s="81">
        <f t="shared" si="6"/>
        <v>407</v>
      </c>
      <c r="B408" s="219" t="s">
        <v>42</v>
      </c>
      <c r="C408" s="170" t="s">
        <v>1031</v>
      </c>
      <c r="D408" s="220" t="s">
        <v>895</v>
      </c>
      <c r="E408" s="89" t="s">
        <v>942</v>
      </c>
      <c r="F408" s="99" t="s">
        <v>48</v>
      </c>
      <c r="G408" s="82">
        <v>10</v>
      </c>
      <c r="H408" s="96" t="s">
        <v>49</v>
      </c>
      <c r="I408" s="96" t="s">
        <v>2</v>
      </c>
      <c r="J408" s="84" t="s">
        <v>1060</v>
      </c>
      <c r="K408" s="84"/>
      <c r="L408" s="84"/>
      <c r="M408" s="307" t="s">
        <v>49</v>
      </c>
    </row>
    <row r="409" spans="1:13" ht="31.5" hidden="1" customHeight="1" x14ac:dyDescent="0.2">
      <c r="A409" s="81">
        <f t="shared" si="6"/>
        <v>408</v>
      </c>
      <c r="B409" s="219" t="s">
        <v>42</v>
      </c>
      <c r="C409" s="170" t="s">
        <v>1031</v>
      </c>
      <c r="D409" s="220" t="s">
        <v>896</v>
      </c>
      <c r="E409" s="89" t="s">
        <v>943</v>
      </c>
      <c r="F409" s="99" t="s">
        <v>48</v>
      </c>
      <c r="G409" s="82">
        <v>10</v>
      </c>
      <c r="H409" s="96" t="s">
        <v>49</v>
      </c>
      <c r="I409" s="96" t="s">
        <v>2</v>
      </c>
      <c r="J409" s="84" t="s">
        <v>1061</v>
      </c>
      <c r="K409" s="84"/>
      <c r="L409" s="84"/>
      <c r="M409" s="307" t="s">
        <v>49</v>
      </c>
    </row>
    <row r="410" spans="1:13" ht="31.5" hidden="1" customHeight="1" x14ac:dyDescent="0.2">
      <c r="A410" s="81">
        <f t="shared" si="6"/>
        <v>409</v>
      </c>
      <c r="B410" s="219" t="s">
        <v>42</v>
      </c>
      <c r="C410" s="170" t="s">
        <v>1032</v>
      </c>
      <c r="D410" s="122" t="s">
        <v>1319</v>
      </c>
      <c r="E410" s="89" t="s">
        <v>944</v>
      </c>
      <c r="F410" s="99" t="s">
        <v>48</v>
      </c>
      <c r="G410" s="82">
        <v>10</v>
      </c>
      <c r="H410" s="96" t="s">
        <v>49</v>
      </c>
      <c r="I410" s="96" t="s">
        <v>2</v>
      </c>
      <c r="J410" s="84" t="s">
        <v>1518</v>
      </c>
      <c r="K410" s="84"/>
      <c r="L410" s="84"/>
      <c r="M410" s="307" t="s">
        <v>49</v>
      </c>
    </row>
    <row r="411" spans="1:13" ht="31.5" hidden="1" customHeight="1" x14ac:dyDescent="0.2">
      <c r="A411" s="81">
        <f t="shared" si="6"/>
        <v>410</v>
      </c>
      <c r="B411" s="219" t="s">
        <v>42</v>
      </c>
      <c r="C411" s="170" t="s">
        <v>1032</v>
      </c>
      <c r="D411" s="122" t="s">
        <v>1319</v>
      </c>
      <c r="E411" s="89" t="s">
        <v>945</v>
      </c>
      <c r="F411" s="99" t="s">
        <v>48</v>
      </c>
      <c r="G411" s="82">
        <v>10</v>
      </c>
      <c r="H411" s="96" t="s">
        <v>49</v>
      </c>
      <c r="I411" s="96" t="s">
        <v>2</v>
      </c>
      <c r="J411" s="84" t="s">
        <v>1518</v>
      </c>
      <c r="K411" s="84"/>
      <c r="L411" s="84"/>
      <c r="M411" s="307" t="s">
        <v>49</v>
      </c>
    </row>
    <row r="412" spans="1:13" ht="31.5" hidden="1" customHeight="1" x14ac:dyDescent="0.2">
      <c r="A412" s="81">
        <f t="shared" si="6"/>
        <v>411</v>
      </c>
      <c r="B412" s="219" t="s">
        <v>42</v>
      </c>
      <c r="C412" s="170" t="s">
        <v>1032</v>
      </c>
      <c r="D412" s="122" t="s">
        <v>1319</v>
      </c>
      <c r="E412" s="89" t="s">
        <v>946</v>
      </c>
      <c r="F412" s="99" t="s">
        <v>48</v>
      </c>
      <c r="G412" s="82">
        <v>10</v>
      </c>
      <c r="H412" s="96" t="s">
        <v>49</v>
      </c>
      <c r="I412" s="96" t="s">
        <v>2</v>
      </c>
      <c r="J412" s="84" t="s">
        <v>1518</v>
      </c>
      <c r="K412" s="84"/>
      <c r="L412" s="84"/>
      <c r="M412" s="307" t="s">
        <v>49</v>
      </c>
    </row>
    <row r="413" spans="1:13" ht="31.5" hidden="1" customHeight="1" x14ac:dyDescent="0.2">
      <c r="A413" s="81">
        <f t="shared" si="6"/>
        <v>412</v>
      </c>
      <c r="B413" s="219" t="s">
        <v>42</v>
      </c>
      <c r="C413" s="170" t="s">
        <v>1032</v>
      </c>
      <c r="D413" s="122" t="s">
        <v>1319</v>
      </c>
      <c r="E413" s="89" t="s">
        <v>947</v>
      </c>
      <c r="F413" s="99" t="s">
        <v>48</v>
      </c>
      <c r="G413" s="82">
        <v>10</v>
      </c>
      <c r="H413" s="96" t="s">
        <v>49</v>
      </c>
      <c r="I413" s="96" t="s">
        <v>2</v>
      </c>
      <c r="J413" s="84" t="s">
        <v>1518</v>
      </c>
      <c r="K413" s="84"/>
      <c r="L413" s="84"/>
      <c r="M413" s="307" t="s">
        <v>49</v>
      </c>
    </row>
    <row r="414" spans="1:13" ht="31.5" hidden="1" customHeight="1" x14ac:dyDescent="0.2">
      <c r="A414" s="81">
        <f t="shared" si="6"/>
        <v>413</v>
      </c>
      <c r="B414" s="219" t="s">
        <v>42</v>
      </c>
      <c r="C414" s="170" t="s">
        <v>1045</v>
      </c>
      <c r="D414" s="220" t="s">
        <v>1325</v>
      </c>
      <c r="E414" s="89" t="s">
        <v>948</v>
      </c>
      <c r="F414" s="99" t="s">
        <v>48</v>
      </c>
      <c r="G414" s="82">
        <v>10</v>
      </c>
      <c r="H414" s="96" t="s">
        <v>49</v>
      </c>
      <c r="I414" s="96" t="s">
        <v>2</v>
      </c>
      <c r="J414" s="84" t="s">
        <v>1075</v>
      </c>
      <c r="K414" s="84"/>
      <c r="L414" s="84"/>
      <c r="M414" s="307" t="s">
        <v>49</v>
      </c>
    </row>
    <row r="415" spans="1:13" ht="31.5" hidden="1" customHeight="1" x14ac:dyDescent="0.2">
      <c r="A415" s="81">
        <f t="shared" si="6"/>
        <v>414</v>
      </c>
      <c r="B415" s="219" t="s">
        <v>42</v>
      </c>
      <c r="C415" s="170" t="s">
        <v>1045</v>
      </c>
      <c r="D415" s="220" t="s">
        <v>1325</v>
      </c>
      <c r="E415" s="89" t="s">
        <v>949</v>
      </c>
      <c r="F415" s="99" t="s">
        <v>48</v>
      </c>
      <c r="G415" s="82">
        <v>10</v>
      </c>
      <c r="H415" s="96" t="s">
        <v>49</v>
      </c>
      <c r="I415" s="96" t="s">
        <v>2</v>
      </c>
      <c r="J415" s="84" t="s">
        <v>1075</v>
      </c>
      <c r="K415" s="84"/>
      <c r="L415" s="84"/>
      <c r="M415" s="307" t="s">
        <v>49</v>
      </c>
    </row>
    <row r="416" spans="1:13" ht="31.5" hidden="1" customHeight="1" x14ac:dyDescent="0.2">
      <c r="A416" s="81">
        <f t="shared" si="6"/>
        <v>415</v>
      </c>
      <c r="B416" s="219" t="s">
        <v>42</v>
      </c>
      <c r="C416" s="170" t="s">
        <v>1045</v>
      </c>
      <c r="D416" s="221" t="s">
        <v>1320</v>
      </c>
      <c r="E416" s="89" t="s">
        <v>950</v>
      </c>
      <c r="F416" s="99" t="s">
        <v>48</v>
      </c>
      <c r="G416" s="82">
        <v>10</v>
      </c>
      <c r="H416" s="96" t="s">
        <v>49</v>
      </c>
      <c r="I416" s="96" t="s">
        <v>2</v>
      </c>
      <c r="J416" s="84" t="s">
        <v>1074</v>
      </c>
      <c r="K416" s="84"/>
      <c r="L416" s="84"/>
      <c r="M416" s="307" t="s">
        <v>49</v>
      </c>
    </row>
    <row r="417" spans="1:13" ht="31.5" customHeight="1" x14ac:dyDescent="0.2">
      <c r="A417" s="81">
        <f t="shared" si="6"/>
        <v>416</v>
      </c>
      <c r="B417" s="219" t="s">
        <v>42</v>
      </c>
      <c r="C417" s="170" t="s">
        <v>1044</v>
      </c>
      <c r="D417" s="220" t="s">
        <v>897</v>
      </c>
      <c r="E417" s="89" t="s">
        <v>951</v>
      </c>
      <c r="F417" s="99" t="s">
        <v>48</v>
      </c>
      <c r="G417" s="82">
        <v>10</v>
      </c>
      <c r="H417" s="96" t="s">
        <v>61</v>
      </c>
      <c r="I417" s="96" t="s">
        <v>2</v>
      </c>
      <c r="J417" s="84" t="s">
        <v>1063</v>
      </c>
      <c r="K417" s="84"/>
      <c r="L417" s="84"/>
      <c r="M417" s="307" t="s">
        <v>61</v>
      </c>
    </row>
    <row r="418" spans="1:13" ht="31.5" hidden="1" customHeight="1" x14ac:dyDescent="0.2">
      <c r="A418" s="81">
        <f t="shared" si="6"/>
        <v>417</v>
      </c>
      <c r="B418" s="219" t="s">
        <v>625</v>
      </c>
      <c r="C418" s="170" t="s">
        <v>1010</v>
      </c>
      <c r="D418" s="220" t="s">
        <v>952</v>
      </c>
      <c r="E418" s="89" t="s">
        <v>952</v>
      </c>
      <c r="F418" s="99" t="s">
        <v>48</v>
      </c>
      <c r="G418" s="82">
        <v>10</v>
      </c>
      <c r="H418" s="96" t="s">
        <v>49</v>
      </c>
      <c r="I418" s="96" t="s">
        <v>2</v>
      </c>
      <c r="J418" s="84" t="s">
        <v>952</v>
      </c>
      <c r="K418" s="84"/>
      <c r="L418" s="84"/>
      <c r="M418" s="307" t="s">
        <v>49</v>
      </c>
    </row>
    <row r="419" spans="1:13" ht="31.5" customHeight="1" x14ac:dyDescent="0.2">
      <c r="A419" s="81">
        <f t="shared" si="6"/>
        <v>418</v>
      </c>
      <c r="B419" s="219" t="s">
        <v>42</v>
      </c>
      <c r="C419" s="170" t="s">
        <v>1043</v>
      </c>
      <c r="D419" s="222" t="s">
        <v>898</v>
      </c>
      <c r="E419" s="89" t="s">
        <v>953</v>
      </c>
      <c r="F419" s="99" t="s">
        <v>48</v>
      </c>
      <c r="G419" s="82">
        <v>10</v>
      </c>
      <c r="H419" s="96" t="s">
        <v>61</v>
      </c>
      <c r="I419" s="96" t="s">
        <v>2</v>
      </c>
      <c r="J419" s="84" t="s">
        <v>1064</v>
      </c>
      <c r="K419" s="84"/>
      <c r="L419" s="84"/>
      <c r="M419" s="307" t="s">
        <v>61</v>
      </c>
    </row>
    <row r="420" spans="1:13" ht="31.5" hidden="1" customHeight="1" x14ac:dyDescent="0.2">
      <c r="A420" s="81">
        <f t="shared" si="6"/>
        <v>419</v>
      </c>
      <c r="B420" s="219" t="s">
        <v>42</v>
      </c>
      <c r="C420" s="170" t="s">
        <v>1042</v>
      </c>
      <c r="D420" s="223" t="s">
        <v>1325</v>
      </c>
      <c r="E420" s="89" t="s">
        <v>954</v>
      </c>
      <c r="F420" s="99" t="s">
        <v>48</v>
      </c>
      <c r="G420" s="82">
        <v>10</v>
      </c>
      <c r="H420" s="96" t="s">
        <v>49</v>
      </c>
      <c r="I420" s="96" t="s">
        <v>2</v>
      </c>
      <c r="J420" s="84" t="s">
        <v>1075</v>
      </c>
      <c r="K420" s="84"/>
      <c r="L420" s="84"/>
      <c r="M420" s="307" t="s">
        <v>49</v>
      </c>
    </row>
    <row r="421" spans="1:13" ht="31.5" customHeight="1" x14ac:dyDescent="0.2">
      <c r="A421" s="81">
        <f t="shared" si="6"/>
        <v>420</v>
      </c>
      <c r="B421" s="219" t="s">
        <v>42</v>
      </c>
      <c r="C421" s="170" t="s">
        <v>1042</v>
      </c>
      <c r="D421" s="222" t="s">
        <v>1307</v>
      </c>
      <c r="E421" s="89" t="s">
        <v>955</v>
      </c>
      <c r="F421" s="99" t="s">
        <v>48</v>
      </c>
      <c r="G421" s="82">
        <v>10</v>
      </c>
      <c r="H421" s="96" t="s">
        <v>61</v>
      </c>
      <c r="I421" s="96" t="s">
        <v>2</v>
      </c>
      <c r="J421" s="84" t="s">
        <v>1062</v>
      </c>
      <c r="K421" s="84"/>
      <c r="L421" s="84"/>
      <c r="M421" s="307" t="s">
        <v>61</v>
      </c>
    </row>
    <row r="422" spans="1:13" ht="31.5" hidden="1" customHeight="1" x14ac:dyDescent="0.2">
      <c r="A422" s="81">
        <f t="shared" si="6"/>
        <v>421</v>
      </c>
      <c r="B422" s="219" t="s">
        <v>42</v>
      </c>
      <c r="C422" s="170" t="s">
        <v>1011</v>
      </c>
      <c r="D422" s="221" t="s">
        <v>1320</v>
      </c>
      <c r="E422" s="89" t="s">
        <v>956</v>
      </c>
      <c r="F422" s="99" t="s">
        <v>48</v>
      </c>
      <c r="G422" s="82">
        <v>10</v>
      </c>
      <c r="H422" s="96" t="s">
        <v>49</v>
      </c>
      <c r="I422" s="96" t="s">
        <v>2</v>
      </c>
      <c r="J422" s="84" t="s">
        <v>1074</v>
      </c>
      <c r="K422" s="84"/>
      <c r="L422" s="84"/>
      <c r="M422" s="307" t="s">
        <v>49</v>
      </c>
    </row>
    <row r="423" spans="1:13" ht="31.5" hidden="1" customHeight="1" x14ac:dyDescent="0.2">
      <c r="A423" s="81">
        <f t="shared" si="6"/>
        <v>422</v>
      </c>
      <c r="B423" s="219" t="s">
        <v>42</v>
      </c>
      <c r="C423" s="170" t="s">
        <v>1011</v>
      </c>
      <c r="D423" s="224" t="s">
        <v>1321</v>
      </c>
      <c r="E423" s="89" t="s">
        <v>957</v>
      </c>
      <c r="F423" s="99" t="s">
        <v>48</v>
      </c>
      <c r="G423" s="82">
        <v>10</v>
      </c>
      <c r="H423" s="96" t="s">
        <v>49</v>
      </c>
      <c r="I423" s="96" t="s">
        <v>2</v>
      </c>
      <c r="J423" s="84" t="s">
        <v>1056</v>
      </c>
      <c r="K423" s="84"/>
      <c r="L423" s="84"/>
      <c r="M423" s="307"/>
    </row>
    <row r="424" spans="1:13" ht="31.5" customHeight="1" x14ac:dyDescent="0.2">
      <c r="A424" s="81">
        <f t="shared" si="6"/>
        <v>423</v>
      </c>
      <c r="B424" s="219" t="s">
        <v>42</v>
      </c>
      <c r="C424" s="170" t="s">
        <v>1041</v>
      </c>
      <c r="D424" s="224" t="s">
        <v>1307</v>
      </c>
      <c r="E424" s="89" t="s">
        <v>958</v>
      </c>
      <c r="F424" s="99" t="s">
        <v>48</v>
      </c>
      <c r="G424" s="82">
        <v>10</v>
      </c>
      <c r="H424" s="96" t="s">
        <v>61</v>
      </c>
      <c r="I424" s="96" t="s">
        <v>2</v>
      </c>
      <c r="J424" s="84" t="s">
        <v>1062</v>
      </c>
      <c r="K424" s="84"/>
      <c r="L424" s="84"/>
      <c r="M424" s="307" t="s">
        <v>61</v>
      </c>
    </row>
    <row r="425" spans="1:13" ht="31.5" customHeight="1" x14ac:dyDescent="0.2">
      <c r="A425" s="81">
        <f t="shared" si="6"/>
        <v>424</v>
      </c>
      <c r="B425" s="219" t="s">
        <v>42</v>
      </c>
      <c r="C425" s="170" t="s">
        <v>1041</v>
      </c>
      <c r="D425" s="192" t="s">
        <v>1682</v>
      </c>
      <c r="E425" s="89" t="s">
        <v>959</v>
      </c>
      <c r="F425" s="99" t="s">
        <v>48</v>
      </c>
      <c r="G425" s="82">
        <v>10</v>
      </c>
      <c r="H425" s="96" t="s">
        <v>61</v>
      </c>
      <c r="I425" s="96" t="s">
        <v>2</v>
      </c>
      <c r="J425" s="84" t="s">
        <v>1698</v>
      </c>
      <c r="K425" s="84"/>
      <c r="L425" s="84"/>
      <c r="M425" s="307" t="s">
        <v>61</v>
      </c>
    </row>
    <row r="426" spans="1:13" ht="31.5" customHeight="1" x14ac:dyDescent="0.2">
      <c r="A426" s="81">
        <f t="shared" si="6"/>
        <v>425</v>
      </c>
      <c r="B426" s="219" t="s">
        <v>42</v>
      </c>
      <c r="C426" s="170" t="s">
        <v>1040</v>
      </c>
      <c r="D426" s="192" t="s">
        <v>1681</v>
      </c>
      <c r="E426" s="89" t="s">
        <v>960</v>
      </c>
      <c r="F426" s="99" t="s">
        <v>48</v>
      </c>
      <c r="G426" s="82">
        <v>10</v>
      </c>
      <c r="H426" s="96" t="s">
        <v>61</v>
      </c>
      <c r="I426" s="96" t="s">
        <v>2</v>
      </c>
      <c r="J426" s="84" t="s">
        <v>1697</v>
      </c>
      <c r="K426" s="84" t="s">
        <v>1699</v>
      </c>
      <c r="L426" s="84"/>
      <c r="M426" s="307" t="s">
        <v>61</v>
      </c>
    </row>
    <row r="427" spans="1:13" ht="31.5" customHeight="1" x14ac:dyDescent="0.2">
      <c r="A427" s="81">
        <f t="shared" si="6"/>
        <v>426</v>
      </c>
      <c r="B427" s="219" t="s">
        <v>42</v>
      </c>
      <c r="C427" s="170" t="s">
        <v>1012</v>
      </c>
      <c r="D427" s="220" t="s">
        <v>891</v>
      </c>
      <c r="E427" s="89" t="s">
        <v>961</v>
      </c>
      <c r="F427" s="99" t="s">
        <v>48</v>
      </c>
      <c r="G427" s="82">
        <v>10</v>
      </c>
      <c r="H427" s="96" t="s">
        <v>61</v>
      </c>
      <c r="I427" s="96" t="s">
        <v>2</v>
      </c>
      <c r="J427" s="84" t="s">
        <v>1055</v>
      </c>
      <c r="K427" s="193" t="s">
        <v>1699</v>
      </c>
      <c r="L427" s="84"/>
      <c r="M427" s="307" t="s">
        <v>61</v>
      </c>
    </row>
    <row r="428" spans="1:13" ht="31.5" customHeight="1" x14ac:dyDescent="0.2">
      <c r="A428" s="81">
        <f t="shared" si="6"/>
        <v>427</v>
      </c>
      <c r="B428" s="219" t="s">
        <v>42</v>
      </c>
      <c r="C428" s="170" t="s">
        <v>1012</v>
      </c>
      <c r="D428" s="220" t="s">
        <v>891</v>
      </c>
      <c r="E428" s="89" t="s">
        <v>962</v>
      </c>
      <c r="F428" s="99" t="s">
        <v>48</v>
      </c>
      <c r="G428" s="82">
        <v>10</v>
      </c>
      <c r="H428" s="96" t="s">
        <v>61</v>
      </c>
      <c r="I428" s="96" t="s">
        <v>2</v>
      </c>
      <c r="J428" s="84" t="s">
        <v>1055</v>
      </c>
      <c r="K428" s="193" t="s">
        <v>1699</v>
      </c>
      <c r="L428" s="84"/>
      <c r="M428" s="307" t="s">
        <v>61</v>
      </c>
    </row>
    <row r="429" spans="1:13" ht="31.5" hidden="1" customHeight="1" x14ac:dyDescent="0.2">
      <c r="A429" s="81">
        <f t="shared" si="6"/>
        <v>428</v>
      </c>
      <c r="B429" s="219" t="s">
        <v>42</v>
      </c>
      <c r="C429" s="170" t="s">
        <v>1013</v>
      </c>
      <c r="D429" s="220" t="s">
        <v>892</v>
      </c>
      <c r="E429" s="89" t="s">
        <v>963</v>
      </c>
      <c r="F429" s="99" t="s">
        <v>48</v>
      </c>
      <c r="G429" s="82">
        <v>10</v>
      </c>
      <c r="H429" s="96" t="s">
        <v>49</v>
      </c>
      <c r="I429" s="96" t="s">
        <v>2</v>
      </c>
      <c r="J429" s="84" t="s">
        <v>1059</v>
      </c>
      <c r="K429" s="84"/>
      <c r="L429" s="84"/>
      <c r="M429" s="307" t="s">
        <v>49</v>
      </c>
    </row>
    <row r="430" spans="1:13" ht="31.5" hidden="1" customHeight="1" x14ac:dyDescent="0.2">
      <c r="A430" s="81">
        <f t="shared" si="6"/>
        <v>429</v>
      </c>
      <c r="B430" s="219" t="s">
        <v>42</v>
      </c>
      <c r="C430" s="170" t="s">
        <v>1014</v>
      </c>
      <c r="D430" s="220" t="s">
        <v>892</v>
      </c>
      <c r="E430" s="89" t="s">
        <v>964</v>
      </c>
      <c r="F430" s="99" t="s">
        <v>48</v>
      </c>
      <c r="G430" s="82">
        <v>10</v>
      </c>
      <c r="H430" s="96" t="s">
        <v>49</v>
      </c>
      <c r="I430" s="96" t="s">
        <v>2</v>
      </c>
      <c r="J430" s="84" t="s">
        <v>1059</v>
      </c>
      <c r="K430" s="84"/>
      <c r="L430" s="84"/>
      <c r="M430" s="307" t="s">
        <v>49</v>
      </c>
    </row>
    <row r="431" spans="1:13" ht="31.5" hidden="1" customHeight="1" x14ac:dyDescent="0.2">
      <c r="A431" s="81">
        <f t="shared" si="6"/>
        <v>430</v>
      </c>
      <c r="B431" s="219" t="s">
        <v>42</v>
      </c>
      <c r="C431" s="170" t="s">
        <v>1014</v>
      </c>
      <c r="D431" s="220" t="s">
        <v>892</v>
      </c>
      <c r="E431" s="89" t="s">
        <v>965</v>
      </c>
      <c r="F431" s="99" t="s">
        <v>48</v>
      </c>
      <c r="G431" s="82">
        <v>10</v>
      </c>
      <c r="H431" s="96" t="s">
        <v>49</v>
      </c>
      <c r="I431" s="96" t="s">
        <v>2</v>
      </c>
      <c r="J431" s="84" t="s">
        <v>1059</v>
      </c>
      <c r="K431" s="84"/>
      <c r="L431" s="84"/>
      <c r="M431" s="307" t="s">
        <v>49</v>
      </c>
    </row>
    <row r="432" spans="1:13" ht="31.5" hidden="1" customHeight="1" x14ac:dyDescent="0.2">
      <c r="A432" s="81">
        <f t="shared" si="6"/>
        <v>431</v>
      </c>
      <c r="B432" s="219" t="s">
        <v>625</v>
      </c>
      <c r="C432" s="170" t="s">
        <v>1015</v>
      </c>
      <c r="D432" s="153" t="s">
        <v>1318</v>
      </c>
      <c r="E432" s="89" t="s">
        <v>966</v>
      </c>
      <c r="F432" s="99" t="s">
        <v>48</v>
      </c>
      <c r="G432" s="82">
        <v>10</v>
      </c>
      <c r="H432" s="96" t="s">
        <v>49</v>
      </c>
      <c r="I432" s="96" t="s">
        <v>2</v>
      </c>
      <c r="J432" s="84" t="s">
        <v>1520</v>
      </c>
      <c r="K432" s="84"/>
      <c r="L432" s="84"/>
      <c r="M432" s="307" t="s">
        <v>49</v>
      </c>
    </row>
    <row r="433" spans="1:13" ht="31.5" hidden="1" customHeight="1" x14ac:dyDescent="0.2">
      <c r="A433" s="81">
        <f t="shared" si="6"/>
        <v>432</v>
      </c>
      <c r="B433" s="225" t="s">
        <v>625</v>
      </c>
      <c r="C433" s="226" t="s">
        <v>1016</v>
      </c>
      <c r="D433" s="120" t="s">
        <v>1078</v>
      </c>
      <c r="E433" s="89" t="s">
        <v>967</v>
      </c>
      <c r="F433" s="99" t="s">
        <v>48</v>
      </c>
      <c r="G433" s="82">
        <v>10</v>
      </c>
      <c r="H433" s="96" t="s">
        <v>49</v>
      </c>
      <c r="I433" s="96" t="s">
        <v>2</v>
      </c>
      <c r="J433" s="84" t="s">
        <v>1066</v>
      </c>
      <c r="K433" s="84"/>
      <c r="L433" s="84"/>
      <c r="M433" s="307" t="s">
        <v>49</v>
      </c>
    </row>
    <row r="434" spans="1:13" ht="31.5" hidden="1" customHeight="1" x14ac:dyDescent="0.2">
      <c r="A434" s="81">
        <f t="shared" si="6"/>
        <v>433</v>
      </c>
      <c r="B434" s="225" t="s">
        <v>625</v>
      </c>
      <c r="C434" s="226" t="s">
        <v>1016</v>
      </c>
      <c r="D434" s="120" t="s">
        <v>1078</v>
      </c>
      <c r="E434" s="89" t="s">
        <v>968</v>
      </c>
      <c r="F434" s="99" t="s">
        <v>48</v>
      </c>
      <c r="G434" s="82">
        <v>10</v>
      </c>
      <c r="H434" s="96" t="s">
        <v>49</v>
      </c>
      <c r="I434" s="96" t="s">
        <v>2</v>
      </c>
      <c r="J434" s="84" t="s">
        <v>1066</v>
      </c>
      <c r="K434" s="84"/>
      <c r="L434" s="84"/>
      <c r="M434" s="307" t="s">
        <v>49</v>
      </c>
    </row>
    <row r="435" spans="1:13" ht="31.5" customHeight="1" x14ac:dyDescent="0.2">
      <c r="A435" s="81">
        <f t="shared" si="6"/>
        <v>434</v>
      </c>
      <c r="B435" s="225" t="s">
        <v>42</v>
      </c>
      <c r="C435" s="226" t="s">
        <v>1017</v>
      </c>
      <c r="D435" s="227" t="s">
        <v>1049</v>
      </c>
      <c r="E435" s="89" t="s">
        <v>969</v>
      </c>
      <c r="F435" s="99" t="s">
        <v>48</v>
      </c>
      <c r="G435" s="82">
        <v>10</v>
      </c>
      <c r="H435" s="96" t="s">
        <v>61</v>
      </c>
      <c r="I435" s="96" t="s">
        <v>2</v>
      </c>
      <c r="J435" s="84" t="s">
        <v>1067</v>
      </c>
      <c r="K435" s="84"/>
      <c r="L435" s="84"/>
      <c r="M435" s="307" t="s">
        <v>61</v>
      </c>
    </row>
    <row r="436" spans="1:13" ht="31.5" customHeight="1" x14ac:dyDescent="0.2">
      <c r="A436" s="81">
        <f t="shared" si="6"/>
        <v>435</v>
      </c>
      <c r="B436" s="225" t="s">
        <v>42</v>
      </c>
      <c r="C436" s="226" t="s">
        <v>1017</v>
      </c>
      <c r="D436" s="227" t="s">
        <v>1049</v>
      </c>
      <c r="E436" s="89" t="s">
        <v>970</v>
      </c>
      <c r="F436" s="99" t="s">
        <v>48</v>
      </c>
      <c r="G436" s="82">
        <v>10</v>
      </c>
      <c r="H436" s="96" t="s">
        <v>61</v>
      </c>
      <c r="I436" s="96" t="s">
        <v>2</v>
      </c>
      <c r="J436" s="84" t="s">
        <v>1067</v>
      </c>
      <c r="K436" s="84"/>
      <c r="L436" s="84"/>
      <c r="M436" s="307" t="s">
        <v>61</v>
      </c>
    </row>
    <row r="437" spans="1:13" ht="31.5" hidden="1" customHeight="1" x14ac:dyDescent="0.2">
      <c r="A437" s="81">
        <f t="shared" si="6"/>
        <v>436</v>
      </c>
      <c r="B437" s="225" t="s">
        <v>625</v>
      </c>
      <c r="C437" s="226" t="s">
        <v>1018</v>
      </c>
      <c r="D437" s="119" t="s">
        <v>1047</v>
      </c>
      <c r="E437" s="89" t="s">
        <v>971</v>
      </c>
      <c r="F437" s="99" t="s">
        <v>48</v>
      </c>
      <c r="G437" s="82">
        <v>10</v>
      </c>
      <c r="H437" s="96" t="s">
        <v>49</v>
      </c>
      <c r="I437" s="96" t="s">
        <v>2</v>
      </c>
      <c r="J437" s="84" t="s">
        <v>1068</v>
      </c>
      <c r="K437" s="228" t="s">
        <v>1322</v>
      </c>
      <c r="L437" s="84"/>
      <c r="M437" s="307" t="s">
        <v>49</v>
      </c>
    </row>
    <row r="438" spans="1:13" ht="31.5" hidden="1" customHeight="1" x14ac:dyDescent="0.2">
      <c r="A438" s="81">
        <f t="shared" si="6"/>
        <v>437</v>
      </c>
      <c r="B438" s="225" t="s">
        <v>625</v>
      </c>
      <c r="C438" s="226" t="s">
        <v>1018</v>
      </c>
      <c r="D438" s="119" t="s">
        <v>1047</v>
      </c>
      <c r="E438" s="89" t="s">
        <v>972</v>
      </c>
      <c r="F438" s="99" t="s">
        <v>48</v>
      </c>
      <c r="G438" s="82">
        <v>10</v>
      </c>
      <c r="H438" s="309" t="s">
        <v>49</v>
      </c>
      <c r="I438" s="96" t="s">
        <v>2</v>
      </c>
      <c r="J438" s="84" t="s">
        <v>1068</v>
      </c>
      <c r="K438" s="228" t="s">
        <v>1322</v>
      </c>
      <c r="L438" s="84"/>
      <c r="M438" s="307" t="s">
        <v>49</v>
      </c>
    </row>
    <row r="439" spans="1:13" ht="31.5" hidden="1" customHeight="1" x14ac:dyDescent="0.2">
      <c r="A439" s="81">
        <f t="shared" si="6"/>
        <v>438</v>
      </c>
      <c r="B439" s="225" t="s">
        <v>625</v>
      </c>
      <c r="C439" s="226" t="s">
        <v>1018</v>
      </c>
      <c r="D439" s="119" t="s">
        <v>1047</v>
      </c>
      <c r="E439" s="153" t="s">
        <v>973</v>
      </c>
      <c r="F439" s="99" t="s">
        <v>48</v>
      </c>
      <c r="G439" s="82">
        <v>10</v>
      </c>
      <c r="H439" s="309" t="s">
        <v>49</v>
      </c>
      <c r="I439" s="96" t="s">
        <v>2</v>
      </c>
      <c r="J439" s="84" t="s">
        <v>1068</v>
      </c>
      <c r="K439" s="228" t="s">
        <v>1322</v>
      </c>
      <c r="L439" s="84"/>
      <c r="M439" s="307" t="s">
        <v>49</v>
      </c>
    </row>
    <row r="440" spans="1:13" ht="31.5" hidden="1" customHeight="1" x14ac:dyDescent="0.2">
      <c r="A440" s="81">
        <f t="shared" si="6"/>
        <v>439</v>
      </c>
      <c r="B440" s="229" t="s">
        <v>64</v>
      </c>
      <c r="C440" s="226" t="s">
        <v>1036</v>
      </c>
      <c r="D440" s="119" t="s">
        <v>974</v>
      </c>
      <c r="E440" s="89" t="s">
        <v>974</v>
      </c>
      <c r="F440" s="99" t="s">
        <v>48</v>
      </c>
      <c r="G440" s="82">
        <v>10</v>
      </c>
      <c r="H440" s="96" t="s">
        <v>49</v>
      </c>
      <c r="I440" s="96" t="s">
        <v>2</v>
      </c>
      <c r="J440" s="84" t="s">
        <v>974</v>
      </c>
      <c r="K440" s="84"/>
      <c r="L440" s="84"/>
      <c r="M440" s="307" t="s">
        <v>49</v>
      </c>
    </row>
    <row r="441" spans="1:13" ht="31.5" hidden="1" customHeight="1" x14ac:dyDescent="0.2">
      <c r="A441" s="81">
        <f t="shared" si="6"/>
        <v>440</v>
      </c>
      <c r="B441" s="225" t="s">
        <v>625</v>
      </c>
      <c r="C441" s="226" t="s">
        <v>1035</v>
      </c>
      <c r="D441" s="119" t="s">
        <v>975</v>
      </c>
      <c r="E441" s="89" t="s">
        <v>975</v>
      </c>
      <c r="F441" s="99" t="s">
        <v>48</v>
      </c>
      <c r="G441" s="82">
        <v>10</v>
      </c>
      <c r="H441" s="96" t="s">
        <v>49</v>
      </c>
      <c r="I441" s="96" t="s">
        <v>2</v>
      </c>
      <c r="J441" s="84" t="s">
        <v>975</v>
      </c>
      <c r="K441" s="84"/>
      <c r="L441" s="84"/>
      <c r="M441" s="307" t="s">
        <v>49</v>
      </c>
    </row>
    <row r="442" spans="1:13" ht="31.5" hidden="1" customHeight="1" x14ac:dyDescent="0.2">
      <c r="A442" s="81">
        <f t="shared" si="6"/>
        <v>441</v>
      </c>
      <c r="B442" s="225" t="s">
        <v>625</v>
      </c>
      <c r="C442" s="226" t="s">
        <v>1039</v>
      </c>
      <c r="D442" s="119" t="s">
        <v>1048</v>
      </c>
      <c r="E442" s="89" t="s">
        <v>976</v>
      </c>
      <c r="F442" s="99" t="s">
        <v>48</v>
      </c>
      <c r="G442" s="82">
        <v>10</v>
      </c>
      <c r="H442" s="96" t="s">
        <v>49</v>
      </c>
      <c r="I442" s="96" t="s">
        <v>2</v>
      </c>
      <c r="J442" s="84" t="s">
        <v>976</v>
      </c>
      <c r="K442" s="84"/>
      <c r="L442" s="84"/>
      <c r="M442" s="307" t="s">
        <v>49</v>
      </c>
    </row>
    <row r="443" spans="1:13" ht="31.5" hidden="1" customHeight="1" x14ac:dyDescent="0.2">
      <c r="A443" s="81">
        <f t="shared" si="6"/>
        <v>442</v>
      </c>
      <c r="B443" s="225" t="s">
        <v>625</v>
      </c>
      <c r="C443" s="226" t="s">
        <v>1038</v>
      </c>
      <c r="D443" s="119" t="s">
        <v>1311</v>
      </c>
      <c r="E443" s="153" t="s">
        <v>977</v>
      </c>
      <c r="F443" s="99" t="s">
        <v>48</v>
      </c>
      <c r="G443" s="82">
        <v>10</v>
      </c>
      <c r="H443" s="96" t="s">
        <v>49</v>
      </c>
      <c r="I443" s="96" t="s">
        <v>2</v>
      </c>
      <c r="J443" s="84" t="s">
        <v>1521</v>
      </c>
      <c r="K443" s="84"/>
      <c r="L443" s="84"/>
      <c r="M443" s="307" t="s">
        <v>49</v>
      </c>
    </row>
    <row r="444" spans="1:13" ht="31.5" hidden="1" customHeight="1" x14ac:dyDescent="0.2">
      <c r="A444" s="81">
        <f t="shared" si="6"/>
        <v>443</v>
      </c>
      <c r="B444" s="225" t="s">
        <v>625</v>
      </c>
      <c r="C444" s="226" t="s">
        <v>1037</v>
      </c>
      <c r="D444" s="230" t="s">
        <v>978</v>
      </c>
      <c r="E444" s="89" t="s">
        <v>978</v>
      </c>
      <c r="F444" s="99" t="s">
        <v>48</v>
      </c>
      <c r="G444" s="82">
        <v>10</v>
      </c>
      <c r="H444" s="96" t="s">
        <v>49</v>
      </c>
      <c r="I444" s="96" t="s">
        <v>2</v>
      </c>
      <c r="J444" s="84" t="s">
        <v>978</v>
      </c>
      <c r="K444" s="84"/>
      <c r="L444" s="84"/>
      <c r="M444" s="307" t="s">
        <v>49</v>
      </c>
    </row>
    <row r="445" spans="1:13" ht="31.5" hidden="1" customHeight="1" x14ac:dyDescent="0.2">
      <c r="A445" s="81">
        <f t="shared" si="6"/>
        <v>444</v>
      </c>
      <c r="B445" s="225" t="s">
        <v>625</v>
      </c>
      <c r="C445" s="226" t="s">
        <v>1034</v>
      </c>
      <c r="D445" s="231" t="s">
        <v>1317</v>
      </c>
      <c r="E445" s="89" t="s">
        <v>979</v>
      </c>
      <c r="F445" s="99" t="s">
        <v>48</v>
      </c>
      <c r="G445" s="82">
        <v>10</v>
      </c>
      <c r="H445" s="96" t="s">
        <v>49</v>
      </c>
      <c r="I445" s="96" t="s">
        <v>2</v>
      </c>
      <c r="J445" s="84" t="s">
        <v>1522</v>
      </c>
      <c r="K445" s="84"/>
      <c r="L445" s="84"/>
      <c r="M445" s="307" t="s">
        <v>49</v>
      </c>
    </row>
    <row r="446" spans="1:13" ht="31.5" hidden="1" customHeight="1" x14ac:dyDescent="0.2">
      <c r="A446" s="81">
        <f t="shared" si="6"/>
        <v>445</v>
      </c>
      <c r="B446" s="225" t="s">
        <v>625</v>
      </c>
      <c r="C446" s="226" t="s">
        <v>1019</v>
      </c>
      <c r="D446" s="227" t="s">
        <v>1050</v>
      </c>
      <c r="E446" s="89" t="s">
        <v>980</v>
      </c>
      <c r="F446" s="99" t="s">
        <v>48</v>
      </c>
      <c r="G446" s="82">
        <v>10</v>
      </c>
      <c r="H446" s="96" t="s">
        <v>49</v>
      </c>
      <c r="I446" s="96" t="s">
        <v>2</v>
      </c>
      <c r="J446" s="84" t="s">
        <v>1069</v>
      </c>
      <c r="K446" s="84"/>
      <c r="L446" s="84"/>
      <c r="M446" s="307" t="s">
        <v>49</v>
      </c>
    </row>
    <row r="447" spans="1:13" ht="31.5" hidden="1" customHeight="1" x14ac:dyDescent="0.2">
      <c r="A447" s="81">
        <f t="shared" si="6"/>
        <v>446</v>
      </c>
      <c r="B447" s="225" t="s">
        <v>625</v>
      </c>
      <c r="C447" s="226" t="s">
        <v>1019</v>
      </c>
      <c r="D447" s="227" t="s">
        <v>1050</v>
      </c>
      <c r="E447" s="89" t="s">
        <v>981</v>
      </c>
      <c r="F447" s="99" t="s">
        <v>48</v>
      </c>
      <c r="G447" s="82">
        <v>10</v>
      </c>
      <c r="H447" s="96" t="s">
        <v>49</v>
      </c>
      <c r="I447" s="96" t="s">
        <v>2</v>
      </c>
      <c r="J447" s="84" t="s">
        <v>1069</v>
      </c>
      <c r="K447" s="84"/>
      <c r="L447" s="84"/>
      <c r="M447" s="307" t="s">
        <v>49</v>
      </c>
    </row>
    <row r="448" spans="1:13" ht="31.5" hidden="1" customHeight="1" x14ac:dyDescent="0.2">
      <c r="A448" s="81">
        <f t="shared" si="6"/>
        <v>447</v>
      </c>
      <c r="B448" s="225" t="s">
        <v>625</v>
      </c>
      <c r="C448" s="226" t="s">
        <v>1020</v>
      </c>
      <c r="D448" s="119" t="s">
        <v>1051</v>
      </c>
      <c r="E448" s="89" t="s">
        <v>982</v>
      </c>
      <c r="F448" s="99" t="s">
        <v>48</v>
      </c>
      <c r="G448" s="82">
        <v>10</v>
      </c>
      <c r="H448" s="96" t="s">
        <v>49</v>
      </c>
      <c r="I448" s="96" t="s">
        <v>2</v>
      </c>
      <c r="J448" s="84" t="s">
        <v>1070</v>
      </c>
      <c r="K448" s="84"/>
      <c r="L448" s="84"/>
      <c r="M448" s="307" t="s">
        <v>49</v>
      </c>
    </row>
    <row r="449" spans="1:13" ht="31.5" hidden="1" customHeight="1" x14ac:dyDescent="0.2">
      <c r="A449" s="81">
        <f t="shared" si="6"/>
        <v>448</v>
      </c>
      <c r="B449" s="225" t="s">
        <v>625</v>
      </c>
      <c r="C449" s="226" t="s">
        <v>1020</v>
      </c>
      <c r="D449" s="119" t="s">
        <v>1051</v>
      </c>
      <c r="E449" s="89" t="s">
        <v>983</v>
      </c>
      <c r="F449" s="99" t="s">
        <v>48</v>
      </c>
      <c r="G449" s="82">
        <v>10</v>
      </c>
      <c r="H449" s="96" t="s">
        <v>49</v>
      </c>
      <c r="I449" s="96" t="s">
        <v>2</v>
      </c>
      <c r="J449" s="84" t="s">
        <v>1070</v>
      </c>
      <c r="K449" s="84"/>
      <c r="L449" s="84"/>
      <c r="M449" s="307" t="s">
        <v>49</v>
      </c>
    </row>
    <row r="450" spans="1:13" ht="31.5" hidden="1" customHeight="1" x14ac:dyDescent="0.2">
      <c r="A450" s="81">
        <f t="shared" si="6"/>
        <v>449</v>
      </c>
      <c r="B450" s="225" t="s">
        <v>625</v>
      </c>
      <c r="C450" s="226" t="s">
        <v>1020</v>
      </c>
      <c r="D450" s="119" t="s">
        <v>1051</v>
      </c>
      <c r="E450" s="89" t="s">
        <v>984</v>
      </c>
      <c r="F450" s="99" t="s">
        <v>48</v>
      </c>
      <c r="G450" s="82">
        <v>10</v>
      </c>
      <c r="H450" s="96" t="s">
        <v>49</v>
      </c>
      <c r="I450" s="96" t="s">
        <v>2</v>
      </c>
      <c r="J450" s="84" t="s">
        <v>1070</v>
      </c>
      <c r="K450" s="84"/>
      <c r="L450" s="84"/>
      <c r="M450" s="307" t="s">
        <v>49</v>
      </c>
    </row>
    <row r="451" spans="1:13" ht="31.5" hidden="1" customHeight="1" x14ac:dyDescent="0.2">
      <c r="A451" s="81">
        <f t="shared" ref="A451:A514" si="7">A450+1</f>
        <v>450</v>
      </c>
      <c r="B451" s="225" t="s">
        <v>625</v>
      </c>
      <c r="C451" s="226" t="s">
        <v>1021</v>
      </c>
      <c r="D451" s="232" t="s">
        <v>985</v>
      </c>
      <c r="E451" s="89" t="s">
        <v>985</v>
      </c>
      <c r="F451" s="99" t="s">
        <v>48</v>
      </c>
      <c r="G451" s="82">
        <v>10</v>
      </c>
      <c r="H451" s="96" t="s">
        <v>49</v>
      </c>
      <c r="I451" s="96" t="s">
        <v>2</v>
      </c>
      <c r="J451" s="84" t="s">
        <v>985</v>
      </c>
      <c r="K451" s="84"/>
      <c r="L451" s="84"/>
      <c r="M451" s="307" t="s">
        <v>49</v>
      </c>
    </row>
    <row r="452" spans="1:13" ht="31.5" hidden="1" customHeight="1" x14ac:dyDescent="0.2">
      <c r="A452" s="81">
        <f t="shared" si="7"/>
        <v>451</v>
      </c>
      <c r="B452" s="225" t="s">
        <v>625</v>
      </c>
      <c r="C452" s="226" t="s">
        <v>1022</v>
      </c>
      <c r="D452" s="232" t="s">
        <v>986</v>
      </c>
      <c r="E452" s="89" t="s">
        <v>986</v>
      </c>
      <c r="F452" s="99" t="s">
        <v>48</v>
      </c>
      <c r="G452" s="82">
        <v>10</v>
      </c>
      <c r="H452" s="96" t="s">
        <v>49</v>
      </c>
      <c r="I452" s="96" t="s">
        <v>2</v>
      </c>
      <c r="J452" s="84" t="s">
        <v>986</v>
      </c>
      <c r="K452" s="84"/>
      <c r="L452" s="84"/>
      <c r="M452" s="307" t="s">
        <v>49</v>
      </c>
    </row>
    <row r="453" spans="1:13" ht="31.5" hidden="1" customHeight="1" x14ac:dyDescent="0.2">
      <c r="A453" s="81">
        <f t="shared" si="7"/>
        <v>452</v>
      </c>
      <c r="B453" s="225" t="s">
        <v>42</v>
      </c>
      <c r="C453" s="226" t="s">
        <v>1033</v>
      </c>
      <c r="D453" s="232" t="s">
        <v>987</v>
      </c>
      <c r="E453" s="89" t="s">
        <v>987</v>
      </c>
      <c r="F453" s="99" t="s">
        <v>48</v>
      </c>
      <c r="G453" s="82">
        <v>10</v>
      </c>
      <c r="H453" s="96" t="s">
        <v>49</v>
      </c>
      <c r="I453" s="96" t="s">
        <v>2</v>
      </c>
      <c r="J453" s="84" t="s">
        <v>987</v>
      </c>
      <c r="K453" s="84"/>
      <c r="L453" s="84"/>
      <c r="M453" s="307" t="s">
        <v>49</v>
      </c>
    </row>
    <row r="454" spans="1:13" ht="31.5" customHeight="1" x14ac:dyDescent="0.2">
      <c r="A454" s="81">
        <f t="shared" si="7"/>
        <v>453</v>
      </c>
      <c r="B454" s="225" t="s">
        <v>42</v>
      </c>
      <c r="C454" s="226" t="s">
        <v>1033</v>
      </c>
      <c r="D454" s="232" t="s">
        <v>988</v>
      </c>
      <c r="E454" s="89" t="s">
        <v>988</v>
      </c>
      <c r="F454" s="99" t="s">
        <v>48</v>
      </c>
      <c r="G454" s="82">
        <v>10</v>
      </c>
      <c r="H454" s="96" t="s">
        <v>61</v>
      </c>
      <c r="I454" s="96" t="s">
        <v>2</v>
      </c>
      <c r="J454" s="84" t="s">
        <v>988</v>
      </c>
      <c r="K454" s="84"/>
      <c r="L454" s="84"/>
      <c r="M454" s="307" t="s">
        <v>61</v>
      </c>
    </row>
    <row r="455" spans="1:13" ht="31.5" hidden="1" customHeight="1" x14ac:dyDescent="0.2">
      <c r="A455" s="81">
        <f t="shared" si="7"/>
        <v>454</v>
      </c>
      <c r="B455" s="225" t="s">
        <v>625</v>
      </c>
      <c r="C455" s="226" t="s">
        <v>1023</v>
      </c>
      <c r="D455" s="232" t="s">
        <v>989</v>
      </c>
      <c r="E455" s="89" t="s">
        <v>989</v>
      </c>
      <c r="F455" s="99" t="s">
        <v>48</v>
      </c>
      <c r="G455" s="82">
        <v>10</v>
      </c>
      <c r="H455" s="96" t="s">
        <v>49</v>
      </c>
      <c r="I455" s="96" t="s">
        <v>2</v>
      </c>
      <c r="J455" s="84" t="s">
        <v>989</v>
      </c>
      <c r="K455" s="84"/>
      <c r="L455" s="84"/>
      <c r="M455" s="307" t="s">
        <v>49</v>
      </c>
    </row>
    <row r="456" spans="1:13" ht="31.5" hidden="1" customHeight="1" x14ac:dyDescent="0.2">
      <c r="A456" s="81">
        <f t="shared" si="7"/>
        <v>455</v>
      </c>
      <c r="B456" s="225" t="s">
        <v>625</v>
      </c>
      <c r="C456" s="226" t="s">
        <v>1024</v>
      </c>
      <c r="D456" s="232" t="s">
        <v>990</v>
      </c>
      <c r="E456" s="89" t="s">
        <v>990</v>
      </c>
      <c r="F456" s="99" t="s">
        <v>48</v>
      </c>
      <c r="G456" s="82">
        <v>10</v>
      </c>
      <c r="H456" s="96" t="s">
        <v>49</v>
      </c>
      <c r="I456" s="96" t="s">
        <v>2</v>
      </c>
      <c r="J456" s="84" t="s">
        <v>990</v>
      </c>
      <c r="K456" s="84"/>
      <c r="L456" s="84"/>
      <c r="M456" s="307" t="s">
        <v>49</v>
      </c>
    </row>
    <row r="457" spans="1:13" ht="31.5" hidden="1" customHeight="1" x14ac:dyDescent="0.2">
      <c r="A457" s="81">
        <f t="shared" si="7"/>
        <v>456</v>
      </c>
      <c r="B457" s="225" t="s">
        <v>625</v>
      </c>
      <c r="C457" s="226" t="s">
        <v>1025</v>
      </c>
      <c r="D457" s="232" t="s">
        <v>1052</v>
      </c>
      <c r="E457" s="89" t="s">
        <v>991</v>
      </c>
      <c r="F457" s="99" t="s">
        <v>48</v>
      </c>
      <c r="G457" s="82">
        <v>10</v>
      </c>
      <c r="H457" s="96" t="s">
        <v>49</v>
      </c>
      <c r="I457" s="96" t="s">
        <v>2</v>
      </c>
      <c r="J457" s="84" t="s">
        <v>1071</v>
      </c>
      <c r="K457" s="84"/>
      <c r="L457" s="84"/>
      <c r="M457" s="307" t="s">
        <v>49</v>
      </c>
    </row>
    <row r="458" spans="1:13" ht="31.5" hidden="1" customHeight="1" x14ac:dyDescent="0.2">
      <c r="A458" s="81">
        <f t="shared" si="7"/>
        <v>457</v>
      </c>
      <c r="B458" s="225" t="s">
        <v>625</v>
      </c>
      <c r="C458" s="226" t="s">
        <v>1025</v>
      </c>
      <c r="D458" s="232" t="s">
        <v>1052</v>
      </c>
      <c r="E458" s="89" t="s">
        <v>992</v>
      </c>
      <c r="F458" s="99" t="s">
        <v>48</v>
      </c>
      <c r="G458" s="82">
        <v>10</v>
      </c>
      <c r="H458" s="96" t="s">
        <v>49</v>
      </c>
      <c r="I458" s="96" t="s">
        <v>2</v>
      </c>
      <c r="J458" s="84" t="s">
        <v>1071</v>
      </c>
      <c r="K458" s="84"/>
      <c r="L458" s="84"/>
      <c r="M458" s="307" t="s">
        <v>49</v>
      </c>
    </row>
    <row r="459" spans="1:13" ht="31.5" hidden="1" customHeight="1" x14ac:dyDescent="0.2">
      <c r="A459" s="81">
        <f t="shared" si="7"/>
        <v>458</v>
      </c>
      <c r="B459" s="225" t="s">
        <v>625</v>
      </c>
      <c r="C459" s="226" t="s">
        <v>1026</v>
      </c>
      <c r="D459" s="232" t="s">
        <v>1053</v>
      </c>
      <c r="E459" s="89" t="s">
        <v>993</v>
      </c>
      <c r="F459" s="99" t="s">
        <v>48</v>
      </c>
      <c r="G459" s="82">
        <v>10</v>
      </c>
      <c r="H459" s="96" t="s">
        <v>49</v>
      </c>
      <c r="I459" s="96" t="s">
        <v>2</v>
      </c>
      <c r="J459" s="84" t="s">
        <v>1072</v>
      </c>
      <c r="K459" s="84"/>
      <c r="L459" s="84"/>
      <c r="M459" s="307" t="s">
        <v>49</v>
      </c>
    </row>
    <row r="460" spans="1:13" ht="31.5" hidden="1" customHeight="1" x14ac:dyDescent="0.2">
      <c r="A460" s="81">
        <f t="shared" si="7"/>
        <v>459</v>
      </c>
      <c r="B460" s="225" t="s">
        <v>625</v>
      </c>
      <c r="C460" s="226" t="s">
        <v>1026</v>
      </c>
      <c r="D460" s="233" t="s">
        <v>1053</v>
      </c>
      <c r="E460" s="89" t="s">
        <v>994</v>
      </c>
      <c r="F460" s="99" t="s">
        <v>48</v>
      </c>
      <c r="G460" s="82">
        <v>10</v>
      </c>
      <c r="H460" s="96" t="s">
        <v>49</v>
      </c>
      <c r="I460" s="96" t="s">
        <v>2</v>
      </c>
      <c r="J460" s="84" t="s">
        <v>1072</v>
      </c>
      <c r="K460" s="84"/>
      <c r="L460" s="84"/>
      <c r="M460" s="307" t="s">
        <v>49</v>
      </c>
    </row>
    <row r="461" spans="1:13" ht="31.5" hidden="1" customHeight="1" x14ac:dyDescent="0.2">
      <c r="A461" s="81">
        <f t="shared" si="7"/>
        <v>460</v>
      </c>
      <c r="B461" s="225" t="s">
        <v>625</v>
      </c>
      <c r="C461" s="226" t="s">
        <v>1027</v>
      </c>
      <c r="D461" s="232" t="s">
        <v>1054</v>
      </c>
      <c r="E461" s="89" t="s">
        <v>995</v>
      </c>
      <c r="F461" s="99" t="s">
        <v>48</v>
      </c>
      <c r="G461" s="82">
        <v>10</v>
      </c>
      <c r="H461" s="96" t="s">
        <v>49</v>
      </c>
      <c r="I461" s="96" t="s">
        <v>2</v>
      </c>
      <c r="J461" s="84" t="s">
        <v>1073</v>
      </c>
      <c r="K461" s="84"/>
      <c r="L461" s="84"/>
      <c r="M461" s="307" t="s">
        <v>49</v>
      </c>
    </row>
    <row r="462" spans="1:13" ht="31.5" hidden="1" customHeight="1" x14ac:dyDescent="0.2">
      <c r="A462" s="81">
        <f t="shared" si="7"/>
        <v>461</v>
      </c>
      <c r="B462" s="225" t="s">
        <v>625</v>
      </c>
      <c r="C462" s="226" t="s">
        <v>1027</v>
      </c>
      <c r="D462" s="232" t="s">
        <v>1054</v>
      </c>
      <c r="E462" s="89" t="s">
        <v>996</v>
      </c>
      <c r="F462" s="99" t="s">
        <v>48</v>
      </c>
      <c r="G462" s="82">
        <v>10</v>
      </c>
      <c r="H462" s="96" t="s">
        <v>49</v>
      </c>
      <c r="I462" s="96" t="s">
        <v>2</v>
      </c>
      <c r="J462" s="84" t="s">
        <v>1073</v>
      </c>
      <c r="K462" s="84"/>
      <c r="L462" s="84"/>
      <c r="M462" s="307" t="s">
        <v>49</v>
      </c>
    </row>
    <row r="463" spans="1:13" ht="31.5" customHeight="1" x14ac:dyDescent="0.2">
      <c r="A463" s="81">
        <f t="shared" si="7"/>
        <v>462</v>
      </c>
      <c r="B463" s="225" t="s">
        <v>42</v>
      </c>
      <c r="C463" s="226" t="s">
        <v>1028</v>
      </c>
      <c r="D463" s="227" t="s">
        <v>1049</v>
      </c>
      <c r="E463" s="89" t="s">
        <v>997</v>
      </c>
      <c r="F463" s="99" t="s">
        <v>48</v>
      </c>
      <c r="G463" s="82">
        <v>10</v>
      </c>
      <c r="H463" s="96" t="s">
        <v>61</v>
      </c>
      <c r="I463" s="96" t="s">
        <v>2</v>
      </c>
      <c r="J463" s="84" t="s">
        <v>1067</v>
      </c>
      <c r="K463" s="84"/>
      <c r="L463" s="84"/>
      <c r="M463" s="307" t="s">
        <v>61</v>
      </c>
    </row>
    <row r="464" spans="1:13" ht="31.5" customHeight="1" x14ac:dyDescent="0.2">
      <c r="A464" s="81">
        <f t="shared" si="7"/>
        <v>463</v>
      </c>
      <c r="B464" s="225" t="s">
        <v>42</v>
      </c>
      <c r="C464" s="226" t="s">
        <v>1028</v>
      </c>
      <c r="D464" s="227" t="s">
        <v>1049</v>
      </c>
      <c r="E464" s="89" t="s">
        <v>998</v>
      </c>
      <c r="F464" s="99" t="s">
        <v>48</v>
      </c>
      <c r="G464" s="82">
        <v>10</v>
      </c>
      <c r="H464" s="96" t="s">
        <v>61</v>
      </c>
      <c r="I464" s="96" t="s">
        <v>2</v>
      </c>
      <c r="J464" s="84" t="s">
        <v>1067</v>
      </c>
      <c r="K464" s="84"/>
      <c r="L464" s="84"/>
      <c r="M464" s="307" t="s">
        <v>61</v>
      </c>
    </row>
    <row r="465" spans="1:13" ht="31.5" customHeight="1" x14ac:dyDescent="0.2">
      <c r="A465" s="81">
        <f t="shared" si="7"/>
        <v>464</v>
      </c>
      <c r="B465" s="225" t="s">
        <v>42</v>
      </c>
      <c r="C465" s="226" t="s">
        <v>1028</v>
      </c>
      <c r="D465" s="227" t="s">
        <v>1049</v>
      </c>
      <c r="E465" s="89" t="s">
        <v>999</v>
      </c>
      <c r="F465" s="99" t="s">
        <v>48</v>
      </c>
      <c r="G465" s="82">
        <v>10</v>
      </c>
      <c r="H465" s="96" t="s">
        <v>61</v>
      </c>
      <c r="I465" s="96" t="s">
        <v>2</v>
      </c>
      <c r="J465" s="84" t="s">
        <v>1067</v>
      </c>
      <c r="K465" s="84"/>
      <c r="L465" s="84"/>
      <c r="M465" s="307" t="s">
        <v>61</v>
      </c>
    </row>
    <row r="466" spans="1:13" ht="31.5" hidden="1" customHeight="1" x14ac:dyDescent="0.2">
      <c r="A466" s="81">
        <f t="shared" si="7"/>
        <v>465</v>
      </c>
      <c r="B466" s="234" t="s">
        <v>625</v>
      </c>
      <c r="C466" s="234" t="s">
        <v>1214</v>
      </c>
      <c r="D466" s="235" t="s">
        <v>1119</v>
      </c>
      <c r="E466" s="153" t="s">
        <v>1119</v>
      </c>
      <c r="F466" s="99" t="s">
        <v>48</v>
      </c>
      <c r="G466" s="82">
        <v>11</v>
      </c>
      <c r="H466" s="96" t="s">
        <v>49</v>
      </c>
      <c r="I466" s="96" t="s">
        <v>2</v>
      </c>
      <c r="J466" s="84" t="s">
        <v>1119</v>
      </c>
      <c r="K466" s="84"/>
      <c r="L466" s="84"/>
      <c r="M466" s="307" t="s">
        <v>49</v>
      </c>
    </row>
    <row r="467" spans="1:13" ht="31.5" hidden="1" customHeight="1" x14ac:dyDescent="0.2">
      <c r="A467" s="81">
        <f t="shared" si="7"/>
        <v>466</v>
      </c>
      <c r="B467" s="234" t="s">
        <v>625</v>
      </c>
      <c r="C467" s="204" t="s">
        <v>1215</v>
      </c>
      <c r="D467" s="235" t="s">
        <v>1256</v>
      </c>
      <c r="E467" s="153" t="s">
        <v>1120</v>
      </c>
      <c r="F467" s="99" t="s">
        <v>48</v>
      </c>
      <c r="G467" s="82">
        <v>11</v>
      </c>
      <c r="H467" s="96" t="s">
        <v>49</v>
      </c>
      <c r="I467" s="96" t="s">
        <v>2</v>
      </c>
      <c r="J467" s="84" t="s">
        <v>1283</v>
      </c>
      <c r="K467" s="84"/>
      <c r="L467" s="84"/>
      <c r="M467" s="307" t="s">
        <v>49</v>
      </c>
    </row>
    <row r="468" spans="1:13" ht="31.5" hidden="1" customHeight="1" x14ac:dyDescent="0.2">
      <c r="A468" s="81">
        <f t="shared" si="7"/>
        <v>467</v>
      </c>
      <c r="B468" s="234" t="s">
        <v>625</v>
      </c>
      <c r="C468" s="204" t="s">
        <v>1215</v>
      </c>
      <c r="D468" s="235" t="s">
        <v>1256</v>
      </c>
      <c r="E468" s="89" t="s">
        <v>1121</v>
      </c>
      <c r="F468" s="99" t="s">
        <v>48</v>
      </c>
      <c r="G468" s="82">
        <v>11</v>
      </c>
      <c r="H468" s="96" t="s">
        <v>49</v>
      </c>
      <c r="I468" s="96" t="s">
        <v>2</v>
      </c>
      <c r="J468" s="84" t="s">
        <v>1283</v>
      </c>
      <c r="K468" s="84"/>
      <c r="L468" s="84"/>
      <c r="M468" s="307" t="s">
        <v>49</v>
      </c>
    </row>
    <row r="469" spans="1:13" ht="31.5" hidden="1" customHeight="1" x14ac:dyDescent="0.2">
      <c r="A469" s="81">
        <f t="shared" si="7"/>
        <v>468</v>
      </c>
      <c r="B469" s="234" t="s">
        <v>625</v>
      </c>
      <c r="C469" s="204" t="s">
        <v>1216</v>
      </c>
      <c r="D469" s="89" t="s">
        <v>1257</v>
      </c>
      <c r="E469" s="89" t="s">
        <v>1122</v>
      </c>
      <c r="F469" s="99" t="s">
        <v>48</v>
      </c>
      <c r="G469" s="82">
        <v>11</v>
      </c>
      <c r="H469" s="96" t="s">
        <v>49</v>
      </c>
      <c r="I469" s="96" t="s">
        <v>2</v>
      </c>
      <c r="J469" s="84" t="s">
        <v>1284</v>
      </c>
      <c r="K469" s="84"/>
      <c r="L469" s="84"/>
      <c r="M469" s="307" t="s">
        <v>49</v>
      </c>
    </row>
    <row r="470" spans="1:13" ht="31.5" hidden="1" customHeight="1" x14ac:dyDescent="0.2">
      <c r="A470" s="81">
        <f t="shared" si="7"/>
        <v>469</v>
      </c>
      <c r="B470" s="234" t="s">
        <v>625</v>
      </c>
      <c r="C470" s="204" t="s">
        <v>1216</v>
      </c>
      <c r="D470" s="89" t="s">
        <v>1257</v>
      </c>
      <c r="E470" s="89" t="s">
        <v>1123</v>
      </c>
      <c r="F470" s="99" t="s">
        <v>48</v>
      </c>
      <c r="G470" s="82">
        <v>11</v>
      </c>
      <c r="H470" s="96" t="s">
        <v>49</v>
      </c>
      <c r="I470" s="96" t="s">
        <v>2</v>
      </c>
      <c r="J470" s="84" t="s">
        <v>1284</v>
      </c>
      <c r="K470" s="84"/>
      <c r="L470" s="84"/>
      <c r="M470" s="307" t="s">
        <v>49</v>
      </c>
    </row>
    <row r="471" spans="1:13" ht="31.5" hidden="1" customHeight="1" x14ac:dyDescent="0.2">
      <c r="A471" s="81">
        <f t="shared" si="7"/>
        <v>470</v>
      </c>
      <c r="B471" s="234" t="s">
        <v>625</v>
      </c>
      <c r="C471" s="204" t="s">
        <v>1217</v>
      </c>
      <c r="D471" s="89" t="s">
        <v>1124</v>
      </c>
      <c r="E471" s="89" t="s">
        <v>1124</v>
      </c>
      <c r="F471" s="99" t="s">
        <v>48</v>
      </c>
      <c r="G471" s="82">
        <v>11</v>
      </c>
      <c r="H471" s="96" t="s">
        <v>49</v>
      </c>
      <c r="I471" s="96" t="s">
        <v>2</v>
      </c>
      <c r="J471" s="84" t="s">
        <v>1124</v>
      </c>
      <c r="K471" s="84"/>
      <c r="L471" s="84"/>
      <c r="M471" s="307" t="s">
        <v>49</v>
      </c>
    </row>
    <row r="472" spans="1:13" ht="31.5" hidden="1" customHeight="1" x14ac:dyDescent="0.2">
      <c r="A472" s="81">
        <f t="shared" si="7"/>
        <v>471</v>
      </c>
      <c r="B472" s="234" t="s">
        <v>625</v>
      </c>
      <c r="C472" s="204" t="s">
        <v>1218</v>
      </c>
      <c r="D472" s="89" t="s">
        <v>1258</v>
      </c>
      <c r="E472" s="89" t="s">
        <v>1125</v>
      </c>
      <c r="F472" s="99" t="s">
        <v>48</v>
      </c>
      <c r="G472" s="82">
        <v>11</v>
      </c>
      <c r="H472" s="96" t="s">
        <v>49</v>
      </c>
      <c r="I472" s="96" t="s">
        <v>2</v>
      </c>
      <c r="J472" s="84" t="s">
        <v>1285</v>
      </c>
      <c r="K472" s="84"/>
      <c r="L472" s="84"/>
      <c r="M472" s="307" t="s">
        <v>49</v>
      </c>
    </row>
    <row r="473" spans="1:13" ht="31.5" hidden="1" customHeight="1" x14ac:dyDescent="0.2">
      <c r="A473" s="81">
        <f t="shared" si="7"/>
        <v>472</v>
      </c>
      <c r="B473" s="234" t="s">
        <v>625</v>
      </c>
      <c r="C473" s="204" t="s">
        <v>1218</v>
      </c>
      <c r="D473" s="89" t="s">
        <v>1258</v>
      </c>
      <c r="E473" s="89" t="s">
        <v>1126</v>
      </c>
      <c r="F473" s="99" t="s">
        <v>48</v>
      </c>
      <c r="G473" s="82">
        <v>11</v>
      </c>
      <c r="H473" s="96" t="s">
        <v>49</v>
      </c>
      <c r="I473" s="96" t="s">
        <v>2</v>
      </c>
      <c r="J473" s="84" t="s">
        <v>1285</v>
      </c>
      <c r="K473" s="84"/>
      <c r="L473" s="84"/>
      <c r="M473" s="307" t="s">
        <v>49</v>
      </c>
    </row>
    <row r="474" spans="1:13" ht="31.5" hidden="1" customHeight="1" x14ac:dyDescent="0.2">
      <c r="A474" s="81">
        <f t="shared" si="7"/>
        <v>473</v>
      </c>
      <c r="B474" s="234" t="s">
        <v>625</v>
      </c>
      <c r="C474" s="204" t="s">
        <v>1218</v>
      </c>
      <c r="D474" s="236" t="s">
        <v>1259</v>
      </c>
      <c r="E474" s="89" t="s">
        <v>1127</v>
      </c>
      <c r="F474" s="99" t="s">
        <v>48</v>
      </c>
      <c r="G474" s="82">
        <v>11</v>
      </c>
      <c r="H474" s="96" t="s">
        <v>49</v>
      </c>
      <c r="I474" s="96" t="s">
        <v>2</v>
      </c>
      <c r="J474" s="84" t="s">
        <v>1286</v>
      </c>
      <c r="K474" s="84"/>
      <c r="L474" s="84"/>
      <c r="M474" s="307" t="s">
        <v>49</v>
      </c>
    </row>
    <row r="475" spans="1:13" ht="31.5" hidden="1" customHeight="1" x14ac:dyDescent="0.2">
      <c r="A475" s="81">
        <f t="shared" si="7"/>
        <v>474</v>
      </c>
      <c r="B475" s="234" t="s">
        <v>625</v>
      </c>
      <c r="C475" s="204" t="s">
        <v>1218</v>
      </c>
      <c r="D475" s="236" t="s">
        <v>1259</v>
      </c>
      <c r="E475" s="89" t="s">
        <v>1128</v>
      </c>
      <c r="F475" s="99" t="s">
        <v>48</v>
      </c>
      <c r="G475" s="82">
        <v>11</v>
      </c>
      <c r="H475" s="96" t="s">
        <v>49</v>
      </c>
      <c r="I475" s="96" t="s">
        <v>2</v>
      </c>
      <c r="J475" s="84" t="s">
        <v>1286</v>
      </c>
      <c r="K475" s="84"/>
      <c r="L475" s="84"/>
      <c r="M475" s="307" t="s">
        <v>49</v>
      </c>
    </row>
    <row r="476" spans="1:13" ht="31.5" hidden="1" customHeight="1" x14ac:dyDescent="0.2">
      <c r="A476" s="81">
        <f t="shared" si="7"/>
        <v>475</v>
      </c>
      <c r="B476" s="234" t="s">
        <v>625</v>
      </c>
      <c r="C476" s="204" t="s">
        <v>1219</v>
      </c>
      <c r="D476" s="89" t="s">
        <v>1260</v>
      </c>
      <c r="E476" s="153" t="s">
        <v>1129</v>
      </c>
      <c r="F476" s="99" t="s">
        <v>48</v>
      </c>
      <c r="G476" s="82">
        <v>11</v>
      </c>
      <c r="H476" s="96" t="s">
        <v>49</v>
      </c>
      <c r="I476" s="96" t="s">
        <v>2</v>
      </c>
      <c r="J476" s="84" t="s">
        <v>1287</v>
      </c>
      <c r="K476" s="84"/>
      <c r="L476" s="84"/>
      <c r="M476" s="307" t="s">
        <v>49</v>
      </c>
    </row>
    <row r="477" spans="1:13" ht="31.5" hidden="1" customHeight="1" x14ac:dyDescent="0.2">
      <c r="A477" s="81">
        <f t="shared" si="7"/>
        <v>476</v>
      </c>
      <c r="B477" s="234" t="s">
        <v>625</v>
      </c>
      <c r="C477" s="204" t="s">
        <v>1219</v>
      </c>
      <c r="D477" s="89" t="s">
        <v>1260</v>
      </c>
      <c r="E477" s="89" t="s">
        <v>1130</v>
      </c>
      <c r="F477" s="99" t="s">
        <v>48</v>
      </c>
      <c r="G477" s="82">
        <v>11</v>
      </c>
      <c r="H477" s="96" t="s">
        <v>49</v>
      </c>
      <c r="I477" s="96" t="s">
        <v>2</v>
      </c>
      <c r="J477" s="84" t="s">
        <v>1287</v>
      </c>
      <c r="K477" s="84"/>
      <c r="L477" s="84"/>
      <c r="M477" s="307" t="s">
        <v>49</v>
      </c>
    </row>
    <row r="478" spans="1:13" ht="31.5" hidden="1" customHeight="1" x14ac:dyDescent="0.2">
      <c r="A478" s="81">
        <f t="shared" si="7"/>
        <v>477</v>
      </c>
      <c r="B478" s="234" t="s">
        <v>625</v>
      </c>
      <c r="C478" s="204" t="s">
        <v>1220</v>
      </c>
      <c r="D478" s="89" t="s">
        <v>1261</v>
      </c>
      <c r="E478" s="89" t="s">
        <v>1131</v>
      </c>
      <c r="F478" s="99" t="s">
        <v>48</v>
      </c>
      <c r="G478" s="82">
        <v>11</v>
      </c>
      <c r="H478" s="96" t="s">
        <v>49</v>
      </c>
      <c r="I478" s="96" t="s">
        <v>2</v>
      </c>
      <c r="J478" s="84" t="s">
        <v>1288</v>
      </c>
      <c r="K478" s="84"/>
      <c r="L478" s="84"/>
      <c r="M478" s="307" t="s">
        <v>49</v>
      </c>
    </row>
    <row r="479" spans="1:13" ht="31.5" hidden="1" customHeight="1" x14ac:dyDescent="0.2">
      <c r="A479" s="81">
        <f t="shared" si="7"/>
        <v>478</v>
      </c>
      <c r="B479" s="234" t="s">
        <v>625</v>
      </c>
      <c r="C479" s="204" t="s">
        <v>1220</v>
      </c>
      <c r="D479" s="89" t="s">
        <v>1261</v>
      </c>
      <c r="E479" s="89" t="s">
        <v>1132</v>
      </c>
      <c r="F479" s="99" t="s">
        <v>48</v>
      </c>
      <c r="G479" s="82">
        <v>11</v>
      </c>
      <c r="H479" s="96" t="s">
        <v>49</v>
      </c>
      <c r="I479" s="96" t="s">
        <v>2</v>
      </c>
      <c r="J479" s="84" t="s">
        <v>1288</v>
      </c>
      <c r="K479" s="84"/>
      <c r="L479" s="84"/>
      <c r="M479" s="307" t="s">
        <v>49</v>
      </c>
    </row>
    <row r="480" spans="1:13" ht="31.5" hidden="1" customHeight="1" x14ac:dyDescent="0.2">
      <c r="A480" s="81">
        <f t="shared" si="7"/>
        <v>479</v>
      </c>
      <c r="B480" s="234" t="s">
        <v>625</v>
      </c>
      <c r="C480" s="204" t="s">
        <v>1220</v>
      </c>
      <c r="D480" s="89" t="s">
        <v>1261</v>
      </c>
      <c r="E480" s="89" t="s">
        <v>1133</v>
      </c>
      <c r="F480" s="99" t="s">
        <v>48</v>
      </c>
      <c r="G480" s="82">
        <v>11</v>
      </c>
      <c r="H480" s="96" t="s">
        <v>49</v>
      </c>
      <c r="I480" s="96" t="s">
        <v>2</v>
      </c>
      <c r="J480" s="84" t="s">
        <v>1288</v>
      </c>
      <c r="K480" s="84"/>
      <c r="L480" s="84"/>
      <c r="M480" s="307" t="s">
        <v>49</v>
      </c>
    </row>
    <row r="481" spans="1:13" ht="31.5" hidden="1" customHeight="1" x14ac:dyDescent="0.2">
      <c r="A481" s="81">
        <f t="shared" si="7"/>
        <v>480</v>
      </c>
      <c r="B481" s="234" t="s">
        <v>625</v>
      </c>
      <c r="C481" s="204" t="s">
        <v>1220</v>
      </c>
      <c r="D481" s="89" t="s">
        <v>1261</v>
      </c>
      <c r="E481" s="89" t="s">
        <v>1134</v>
      </c>
      <c r="F481" s="99" t="s">
        <v>48</v>
      </c>
      <c r="G481" s="82">
        <v>11</v>
      </c>
      <c r="H481" s="96" t="s">
        <v>49</v>
      </c>
      <c r="I481" s="96" t="s">
        <v>2</v>
      </c>
      <c r="J481" s="84" t="s">
        <v>1288</v>
      </c>
      <c r="K481" s="84"/>
      <c r="L481" s="84"/>
      <c r="M481" s="307" t="s">
        <v>49</v>
      </c>
    </row>
    <row r="482" spans="1:13" ht="31.5" hidden="1" customHeight="1" x14ac:dyDescent="0.2">
      <c r="A482" s="81">
        <f t="shared" si="7"/>
        <v>481</v>
      </c>
      <c r="B482" s="234" t="s">
        <v>625</v>
      </c>
      <c r="C482" s="204" t="s">
        <v>1221</v>
      </c>
      <c r="D482" s="89" t="s">
        <v>1135</v>
      </c>
      <c r="E482" s="153" t="s">
        <v>1135</v>
      </c>
      <c r="F482" s="99" t="s">
        <v>48</v>
      </c>
      <c r="G482" s="82">
        <v>11</v>
      </c>
      <c r="H482" s="96" t="s">
        <v>49</v>
      </c>
      <c r="I482" s="96" t="s">
        <v>2</v>
      </c>
      <c r="J482" s="84" t="s">
        <v>1135</v>
      </c>
      <c r="K482" s="84"/>
      <c r="L482" s="84"/>
      <c r="M482" s="307" t="s">
        <v>49</v>
      </c>
    </row>
    <row r="483" spans="1:13" ht="31.5" hidden="1" customHeight="1" x14ac:dyDescent="0.2">
      <c r="A483" s="81">
        <f t="shared" si="7"/>
        <v>482</v>
      </c>
      <c r="B483" s="234" t="s">
        <v>625</v>
      </c>
      <c r="C483" s="204" t="s">
        <v>1222</v>
      </c>
      <c r="D483" s="89" t="s">
        <v>1136</v>
      </c>
      <c r="E483" s="153" t="s">
        <v>1136</v>
      </c>
      <c r="F483" s="99" t="s">
        <v>48</v>
      </c>
      <c r="G483" s="82">
        <v>11</v>
      </c>
      <c r="H483" s="96" t="s">
        <v>49</v>
      </c>
      <c r="I483" s="96" t="s">
        <v>2</v>
      </c>
      <c r="J483" s="84" t="s">
        <v>1136</v>
      </c>
      <c r="K483" s="84"/>
      <c r="L483" s="84"/>
      <c r="M483" s="307" t="s">
        <v>49</v>
      </c>
    </row>
    <row r="484" spans="1:13" ht="31.5" hidden="1" customHeight="1" x14ac:dyDescent="0.2">
      <c r="A484" s="81">
        <f t="shared" si="7"/>
        <v>483</v>
      </c>
      <c r="B484" s="234" t="s">
        <v>625</v>
      </c>
      <c r="C484" s="204" t="s">
        <v>1223</v>
      </c>
      <c r="D484" s="89" t="s">
        <v>1137</v>
      </c>
      <c r="E484" s="153" t="s">
        <v>1137</v>
      </c>
      <c r="F484" s="99" t="s">
        <v>48</v>
      </c>
      <c r="G484" s="82">
        <v>11</v>
      </c>
      <c r="H484" s="96" t="s">
        <v>49</v>
      </c>
      <c r="I484" s="96" t="s">
        <v>2</v>
      </c>
      <c r="J484" s="84" t="s">
        <v>1137</v>
      </c>
      <c r="K484" s="84"/>
      <c r="L484" s="84"/>
      <c r="M484" s="307" t="s">
        <v>49</v>
      </c>
    </row>
    <row r="485" spans="1:13" ht="31.5" hidden="1" customHeight="1" x14ac:dyDescent="0.2">
      <c r="A485" s="81">
        <f t="shared" si="7"/>
        <v>484</v>
      </c>
      <c r="B485" s="234" t="s">
        <v>625</v>
      </c>
      <c r="C485" s="204" t="s">
        <v>1224</v>
      </c>
      <c r="D485" s="89" t="s">
        <v>1262</v>
      </c>
      <c r="E485" s="153" t="s">
        <v>1138</v>
      </c>
      <c r="F485" s="99" t="s">
        <v>48</v>
      </c>
      <c r="G485" s="82">
        <v>11</v>
      </c>
      <c r="H485" s="96" t="s">
        <v>49</v>
      </c>
      <c r="I485" s="96" t="s">
        <v>2</v>
      </c>
      <c r="J485" s="84" t="s">
        <v>1289</v>
      </c>
      <c r="K485" s="84"/>
      <c r="L485" s="84"/>
      <c r="M485" s="307" t="s">
        <v>49</v>
      </c>
    </row>
    <row r="486" spans="1:13" ht="31.5" hidden="1" customHeight="1" x14ac:dyDescent="0.2">
      <c r="A486" s="81">
        <f t="shared" si="7"/>
        <v>485</v>
      </c>
      <c r="B486" s="234" t="s">
        <v>625</v>
      </c>
      <c r="C486" s="204" t="s">
        <v>1224</v>
      </c>
      <c r="D486" s="89" t="s">
        <v>1262</v>
      </c>
      <c r="E486" s="89" t="s">
        <v>1139</v>
      </c>
      <c r="F486" s="99" t="s">
        <v>48</v>
      </c>
      <c r="G486" s="82">
        <v>11</v>
      </c>
      <c r="H486" s="96" t="s">
        <v>49</v>
      </c>
      <c r="I486" s="96" t="s">
        <v>2</v>
      </c>
      <c r="J486" s="84" t="s">
        <v>1289</v>
      </c>
      <c r="K486" s="84"/>
      <c r="L486" s="84"/>
      <c r="M486" s="307" t="s">
        <v>49</v>
      </c>
    </row>
    <row r="487" spans="1:13" ht="31.5" hidden="1" customHeight="1" x14ac:dyDescent="0.2">
      <c r="A487" s="81">
        <f t="shared" si="7"/>
        <v>486</v>
      </c>
      <c r="B487" s="234" t="s">
        <v>625</v>
      </c>
      <c r="C487" s="204" t="s">
        <v>1224</v>
      </c>
      <c r="D487" s="89" t="s">
        <v>1262</v>
      </c>
      <c r="E487" s="89" t="s">
        <v>1140</v>
      </c>
      <c r="F487" s="99" t="s">
        <v>48</v>
      </c>
      <c r="G487" s="82">
        <v>11</v>
      </c>
      <c r="H487" s="96" t="s">
        <v>49</v>
      </c>
      <c r="I487" s="96" t="s">
        <v>2</v>
      </c>
      <c r="J487" s="84" t="s">
        <v>1289</v>
      </c>
      <c r="K487" s="84"/>
      <c r="L487" s="84"/>
      <c r="M487" s="307" t="s">
        <v>49</v>
      </c>
    </row>
    <row r="488" spans="1:13" ht="31.5" hidden="1" customHeight="1" x14ac:dyDescent="0.2">
      <c r="A488" s="81">
        <f t="shared" si="7"/>
        <v>487</v>
      </c>
      <c r="B488" s="234" t="s">
        <v>625</v>
      </c>
      <c r="C488" s="204" t="s">
        <v>1225</v>
      </c>
      <c r="D488" s="89" t="s">
        <v>1263</v>
      </c>
      <c r="E488" s="153" t="s">
        <v>1141</v>
      </c>
      <c r="F488" s="99" t="s">
        <v>48</v>
      </c>
      <c r="G488" s="82">
        <v>11</v>
      </c>
      <c r="H488" s="96" t="s">
        <v>49</v>
      </c>
      <c r="I488" s="96" t="s">
        <v>2</v>
      </c>
      <c r="J488" s="84" t="s">
        <v>1290</v>
      </c>
      <c r="K488" s="84"/>
      <c r="L488" s="84"/>
      <c r="M488" s="307" t="s">
        <v>49</v>
      </c>
    </row>
    <row r="489" spans="1:13" ht="31.5" hidden="1" customHeight="1" x14ac:dyDescent="0.2">
      <c r="A489" s="81">
        <f t="shared" si="7"/>
        <v>488</v>
      </c>
      <c r="B489" s="234" t="s">
        <v>625</v>
      </c>
      <c r="C489" s="204" t="s">
        <v>1225</v>
      </c>
      <c r="D489" s="89" t="s">
        <v>1263</v>
      </c>
      <c r="E489" s="89" t="s">
        <v>1142</v>
      </c>
      <c r="F489" s="99" t="s">
        <v>48</v>
      </c>
      <c r="G489" s="82">
        <v>11</v>
      </c>
      <c r="H489" s="96" t="s">
        <v>49</v>
      </c>
      <c r="I489" s="96" t="s">
        <v>2</v>
      </c>
      <c r="J489" s="84" t="s">
        <v>1290</v>
      </c>
      <c r="K489" s="84"/>
      <c r="L489" s="84"/>
      <c r="M489" s="307" t="s">
        <v>49</v>
      </c>
    </row>
    <row r="490" spans="1:13" ht="31.5" hidden="1" customHeight="1" x14ac:dyDescent="0.2">
      <c r="A490" s="81">
        <f t="shared" si="7"/>
        <v>489</v>
      </c>
      <c r="B490" s="234" t="s">
        <v>625</v>
      </c>
      <c r="C490" s="204" t="s">
        <v>1225</v>
      </c>
      <c r="D490" s="89" t="s">
        <v>1263</v>
      </c>
      <c r="E490" s="89" t="s">
        <v>1143</v>
      </c>
      <c r="F490" s="99" t="s">
        <v>48</v>
      </c>
      <c r="G490" s="82">
        <v>11</v>
      </c>
      <c r="H490" s="96" t="s">
        <v>49</v>
      </c>
      <c r="I490" s="96" t="s">
        <v>2</v>
      </c>
      <c r="J490" s="84" t="s">
        <v>1290</v>
      </c>
      <c r="K490" s="84"/>
      <c r="L490" s="84"/>
      <c r="M490" s="307" t="s">
        <v>49</v>
      </c>
    </row>
    <row r="491" spans="1:13" ht="31.5" hidden="1" customHeight="1" x14ac:dyDescent="0.2">
      <c r="A491" s="81">
        <f t="shared" si="7"/>
        <v>490</v>
      </c>
      <c r="B491" s="234" t="s">
        <v>625</v>
      </c>
      <c r="C491" s="204" t="s">
        <v>1226</v>
      </c>
      <c r="D491" s="90" t="s">
        <v>1264</v>
      </c>
      <c r="E491" s="153" t="s">
        <v>1144</v>
      </c>
      <c r="F491" s="99" t="s">
        <v>48</v>
      </c>
      <c r="G491" s="82">
        <v>11</v>
      </c>
      <c r="H491" s="96" t="s">
        <v>49</v>
      </c>
      <c r="I491" s="96" t="s">
        <v>2</v>
      </c>
      <c r="J491" s="84" t="s">
        <v>1291</v>
      </c>
      <c r="K491" s="84"/>
      <c r="L491" s="84"/>
      <c r="M491" s="307" t="s">
        <v>49</v>
      </c>
    </row>
    <row r="492" spans="1:13" ht="31.5" hidden="1" customHeight="1" x14ac:dyDescent="0.2">
      <c r="A492" s="81">
        <f t="shared" si="7"/>
        <v>491</v>
      </c>
      <c r="B492" s="234" t="s">
        <v>625</v>
      </c>
      <c r="C492" s="204" t="s">
        <v>1226</v>
      </c>
      <c r="D492" s="90" t="s">
        <v>1264</v>
      </c>
      <c r="E492" s="89" t="s">
        <v>1145</v>
      </c>
      <c r="F492" s="99" t="s">
        <v>48</v>
      </c>
      <c r="G492" s="82">
        <v>11</v>
      </c>
      <c r="H492" s="96" t="s">
        <v>49</v>
      </c>
      <c r="I492" s="96" t="s">
        <v>2</v>
      </c>
      <c r="J492" s="84" t="s">
        <v>1291</v>
      </c>
      <c r="K492" s="84"/>
      <c r="L492" s="84"/>
      <c r="M492" s="307" t="s">
        <v>49</v>
      </c>
    </row>
    <row r="493" spans="1:13" ht="31.5" hidden="1" customHeight="1" x14ac:dyDescent="0.2">
      <c r="A493" s="81">
        <f t="shared" si="7"/>
        <v>492</v>
      </c>
      <c r="B493" s="234" t="s">
        <v>625</v>
      </c>
      <c r="C493" s="204" t="s">
        <v>1226</v>
      </c>
      <c r="D493" s="90" t="s">
        <v>1264</v>
      </c>
      <c r="E493" s="89" t="s">
        <v>1146</v>
      </c>
      <c r="F493" s="99" t="s">
        <v>48</v>
      </c>
      <c r="G493" s="82">
        <v>11</v>
      </c>
      <c r="H493" s="96" t="s">
        <v>49</v>
      </c>
      <c r="I493" s="96" t="s">
        <v>2</v>
      </c>
      <c r="J493" s="84" t="s">
        <v>1291</v>
      </c>
      <c r="K493" s="84"/>
      <c r="L493" s="84"/>
      <c r="M493" s="307" t="s">
        <v>49</v>
      </c>
    </row>
    <row r="494" spans="1:13" ht="31.5" hidden="1" customHeight="1" x14ac:dyDescent="0.2">
      <c r="A494" s="81">
        <f t="shared" si="7"/>
        <v>493</v>
      </c>
      <c r="B494" s="234" t="s">
        <v>625</v>
      </c>
      <c r="C494" s="204" t="s">
        <v>1227</v>
      </c>
      <c r="D494" s="90" t="s">
        <v>1147</v>
      </c>
      <c r="E494" s="153" t="s">
        <v>1147</v>
      </c>
      <c r="F494" s="99" t="s">
        <v>48</v>
      </c>
      <c r="G494" s="82">
        <v>11</v>
      </c>
      <c r="H494" s="96" t="s">
        <v>49</v>
      </c>
      <c r="I494" s="96" t="s">
        <v>2</v>
      </c>
      <c r="J494" s="84" t="s">
        <v>1147</v>
      </c>
      <c r="K494" s="84"/>
      <c r="L494" s="84"/>
      <c r="M494" s="307" t="s">
        <v>49</v>
      </c>
    </row>
    <row r="495" spans="1:13" ht="31.5" hidden="1" customHeight="1" x14ac:dyDescent="0.2">
      <c r="A495" s="81">
        <f t="shared" si="7"/>
        <v>494</v>
      </c>
      <c r="B495" s="234" t="s">
        <v>625</v>
      </c>
      <c r="C495" s="204" t="s">
        <v>1228</v>
      </c>
      <c r="D495" s="89" t="s">
        <v>1148</v>
      </c>
      <c r="E495" s="153" t="s">
        <v>1148</v>
      </c>
      <c r="F495" s="99" t="s">
        <v>48</v>
      </c>
      <c r="G495" s="82">
        <v>11</v>
      </c>
      <c r="H495" s="96" t="s">
        <v>49</v>
      </c>
      <c r="I495" s="96" t="s">
        <v>2</v>
      </c>
      <c r="J495" s="84" t="s">
        <v>1148</v>
      </c>
      <c r="K495" s="84"/>
      <c r="L495" s="84"/>
      <c r="M495" s="307" t="s">
        <v>49</v>
      </c>
    </row>
    <row r="496" spans="1:13" ht="31.5" hidden="1" customHeight="1" x14ac:dyDescent="0.2">
      <c r="A496" s="81">
        <f t="shared" si="7"/>
        <v>495</v>
      </c>
      <c r="B496" s="234" t="s">
        <v>625</v>
      </c>
      <c r="C496" s="204" t="s">
        <v>1228</v>
      </c>
      <c r="D496" s="89" t="s">
        <v>1149</v>
      </c>
      <c r="E496" s="89" t="s">
        <v>1149</v>
      </c>
      <c r="F496" s="99" t="s">
        <v>48</v>
      </c>
      <c r="G496" s="82">
        <v>11</v>
      </c>
      <c r="H496" s="96" t="s">
        <v>49</v>
      </c>
      <c r="I496" s="96" t="s">
        <v>2</v>
      </c>
      <c r="J496" s="84" t="s">
        <v>1149</v>
      </c>
      <c r="K496" s="84"/>
      <c r="L496" s="84"/>
      <c r="M496" s="307" t="s">
        <v>49</v>
      </c>
    </row>
    <row r="497" spans="1:13" ht="31.5" hidden="1" customHeight="1" x14ac:dyDescent="0.2">
      <c r="A497" s="81">
        <f t="shared" si="7"/>
        <v>496</v>
      </c>
      <c r="B497" s="234" t="s">
        <v>625</v>
      </c>
      <c r="C497" s="204" t="s">
        <v>1229</v>
      </c>
      <c r="D497" s="89" t="s">
        <v>1265</v>
      </c>
      <c r="E497" s="153" t="s">
        <v>1150</v>
      </c>
      <c r="F497" s="99" t="s">
        <v>48</v>
      </c>
      <c r="G497" s="82">
        <v>11</v>
      </c>
      <c r="H497" s="96" t="s">
        <v>49</v>
      </c>
      <c r="I497" s="96" t="s">
        <v>2</v>
      </c>
      <c r="J497" s="84" t="s">
        <v>1292</v>
      </c>
      <c r="K497" s="84"/>
      <c r="L497" s="84"/>
      <c r="M497" s="307" t="s">
        <v>49</v>
      </c>
    </row>
    <row r="498" spans="1:13" ht="31.5" hidden="1" customHeight="1" x14ac:dyDescent="0.2">
      <c r="A498" s="81">
        <f t="shared" si="7"/>
        <v>497</v>
      </c>
      <c r="B498" s="234" t="s">
        <v>625</v>
      </c>
      <c r="C498" s="204" t="s">
        <v>1229</v>
      </c>
      <c r="D498" s="89" t="s">
        <v>1265</v>
      </c>
      <c r="E498" s="89" t="s">
        <v>1151</v>
      </c>
      <c r="F498" s="99" t="s">
        <v>48</v>
      </c>
      <c r="G498" s="82">
        <v>11</v>
      </c>
      <c r="H498" s="96" t="s">
        <v>49</v>
      </c>
      <c r="I498" s="96" t="s">
        <v>2</v>
      </c>
      <c r="J498" s="84" t="s">
        <v>1292</v>
      </c>
      <c r="K498" s="84"/>
      <c r="L498" s="84"/>
      <c r="M498" s="307" t="s">
        <v>49</v>
      </c>
    </row>
    <row r="499" spans="1:13" ht="31.5" hidden="1" customHeight="1" x14ac:dyDescent="0.2">
      <c r="A499" s="81">
        <f t="shared" si="7"/>
        <v>498</v>
      </c>
      <c r="B499" s="234" t="s">
        <v>625</v>
      </c>
      <c r="C499" s="204" t="s">
        <v>1229</v>
      </c>
      <c r="D499" s="89" t="s">
        <v>1265</v>
      </c>
      <c r="E499" s="89" t="s">
        <v>1152</v>
      </c>
      <c r="F499" s="99" t="s">
        <v>48</v>
      </c>
      <c r="G499" s="82">
        <v>11</v>
      </c>
      <c r="H499" s="96" t="s">
        <v>49</v>
      </c>
      <c r="I499" s="96" t="s">
        <v>2</v>
      </c>
      <c r="J499" s="84" t="s">
        <v>1292</v>
      </c>
      <c r="K499" s="84"/>
      <c r="L499" s="84"/>
      <c r="M499" s="307" t="s">
        <v>49</v>
      </c>
    </row>
    <row r="500" spans="1:13" ht="31.5" hidden="1" customHeight="1" x14ac:dyDescent="0.2">
      <c r="A500" s="81">
        <f t="shared" si="7"/>
        <v>499</v>
      </c>
      <c r="B500" s="234" t="s">
        <v>625</v>
      </c>
      <c r="C500" s="204" t="s">
        <v>1230</v>
      </c>
      <c r="D500" s="89" t="s">
        <v>1266</v>
      </c>
      <c r="E500" s="153" t="s">
        <v>1153</v>
      </c>
      <c r="F500" s="99" t="s">
        <v>48</v>
      </c>
      <c r="G500" s="82">
        <v>11</v>
      </c>
      <c r="H500" s="96" t="s">
        <v>49</v>
      </c>
      <c r="I500" s="96" t="s">
        <v>2</v>
      </c>
      <c r="J500" s="84" t="s">
        <v>1293</v>
      </c>
      <c r="K500" s="84"/>
      <c r="L500" s="84"/>
      <c r="M500" s="307" t="s">
        <v>49</v>
      </c>
    </row>
    <row r="501" spans="1:13" ht="31.5" hidden="1" customHeight="1" x14ac:dyDescent="0.2">
      <c r="A501" s="81">
        <f t="shared" si="7"/>
        <v>500</v>
      </c>
      <c r="B501" s="234" t="s">
        <v>625</v>
      </c>
      <c r="C501" s="204" t="s">
        <v>1230</v>
      </c>
      <c r="D501" s="89" t="s">
        <v>1266</v>
      </c>
      <c r="E501" s="89" t="s">
        <v>1154</v>
      </c>
      <c r="F501" s="99" t="s">
        <v>48</v>
      </c>
      <c r="G501" s="82">
        <v>11</v>
      </c>
      <c r="H501" s="96" t="s">
        <v>49</v>
      </c>
      <c r="I501" s="96" t="s">
        <v>2</v>
      </c>
      <c r="J501" s="84" t="s">
        <v>1293</v>
      </c>
      <c r="K501" s="84"/>
      <c r="L501" s="84"/>
      <c r="M501" s="307" t="s">
        <v>49</v>
      </c>
    </row>
    <row r="502" spans="1:13" ht="31.5" hidden="1" customHeight="1" x14ac:dyDescent="0.2">
      <c r="A502" s="81">
        <f t="shared" si="7"/>
        <v>501</v>
      </c>
      <c r="B502" s="234" t="s">
        <v>625</v>
      </c>
      <c r="C502" s="204" t="s">
        <v>1231</v>
      </c>
      <c r="D502" s="89" t="s">
        <v>1267</v>
      </c>
      <c r="E502" s="153" t="s">
        <v>1155</v>
      </c>
      <c r="F502" s="99" t="s">
        <v>48</v>
      </c>
      <c r="G502" s="82">
        <v>11</v>
      </c>
      <c r="H502" s="96" t="s">
        <v>49</v>
      </c>
      <c r="I502" s="96" t="s">
        <v>2</v>
      </c>
      <c r="J502" s="84" t="s">
        <v>1155</v>
      </c>
      <c r="K502" s="84"/>
      <c r="L502" s="84"/>
      <c r="M502" s="307" t="s">
        <v>49</v>
      </c>
    </row>
    <row r="503" spans="1:13" ht="31.5" hidden="1" customHeight="1" x14ac:dyDescent="0.2">
      <c r="A503" s="81">
        <f t="shared" si="7"/>
        <v>502</v>
      </c>
      <c r="B503" s="234" t="s">
        <v>625</v>
      </c>
      <c r="C503" s="204" t="s">
        <v>1232</v>
      </c>
      <c r="D503" s="89" t="s">
        <v>1156</v>
      </c>
      <c r="E503" s="153" t="s">
        <v>1156</v>
      </c>
      <c r="F503" s="99" t="s">
        <v>48</v>
      </c>
      <c r="G503" s="82">
        <v>11</v>
      </c>
      <c r="H503" s="96" t="s">
        <v>49</v>
      </c>
      <c r="I503" s="96" t="s">
        <v>2</v>
      </c>
      <c r="J503" s="84" t="s">
        <v>1156</v>
      </c>
      <c r="K503" s="84"/>
      <c r="L503" s="84"/>
      <c r="M503" s="307" t="s">
        <v>49</v>
      </c>
    </row>
    <row r="504" spans="1:13" ht="31.5" hidden="1" customHeight="1" x14ac:dyDescent="0.2">
      <c r="A504" s="81">
        <f t="shared" si="7"/>
        <v>503</v>
      </c>
      <c r="B504" s="234" t="s">
        <v>625</v>
      </c>
      <c r="C504" s="204" t="s">
        <v>1233</v>
      </c>
      <c r="D504" s="89" t="s">
        <v>1157</v>
      </c>
      <c r="E504" s="153" t="s">
        <v>1157</v>
      </c>
      <c r="F504" s="99" t="s">
        <v>48</v>
      </c>
      <c r="G504" s="82">
        <v>11</v>
      </c>
      <c r="H504" s="96" t="s">
        <v>49</v>
      </c>
      <c r="I504" s="96" t="s">
        <v>2</v>
      </c>
      <c r="J504" s="84" t="s">
        <v>1157</v>
      </c>
      <c r="K504" s="84"/>
      <c r="L504" s="84"/>
      <c r="M504" s="307" t="s">
        <v>49</v>
      </c>
    </row>
    <row r="505" spans="1:13" ht="31.5" hidden="1" customHeight="1" x14ac:dyDescent="0.2">
      <c r="A505" s="81">
        <f t="shared" si="7"/>
        <v>504</v>
      </c>
      <c r="B505" s="234" t="s">
        <v>625</v>
      </c>
      <c r="C505" s="204" t="s">
        <v>1234</v>
      </c>
      <c r="D505" s="89" t="s">
        <v>1268</v>
      </c>
      <c r="E505" s="153" t="s">
        <v>1158</v>
      </c>
      <c r="F505" s="99" t="s">
        <v>48</v>
      </c>
      <c r="G505" s="82">
        <v>11</v>
      </c>
      <c r="H505" s="96" t="s">
        <v>49</v>
      </c>
      <c r="I505" s="96" t="s">
        <v>2</v>
      </c>
      <c r="J505" s="84" t="s">
        <v>1294</v>
      </c>
      <c r="K505" s="84"/>
      <c r="L505" s="84"/>
      <c r="M505" s="307" t="s">
        <v>49</v>
      </c>
    </row>
    <row r="506" spans="1:13" ht="31.5" hidden="1" customHeight="1" x14ac:dyDescent="0.2">
      <c r="A506" s="81">
        <f t="shared" si="7"/>
        <v>505</v>
      </c>
      <c r="B506" s="234" t="s">
        <v>625</v>
      </c>
      <c r="C506" s="204" t="s">
        <v>1234</v>
      </c>
      <c r="D506" s="150" t="s">
        <v>1268</v>
      </c>
      <c r="E506" s="89" t="s">
        <v>1159</v>
      </c>
      <c r="F506" s="99" t="s">
        <v>48</v>
      </c>
      <c r="G506" s="82">
        <v>11</v>
      </c>
      <c r="H506" s="96" t="s">
        <v>49</v>
      </c>
      <c r="I506" s="96" t="s">
        <v>2</v>
      </c>
      <c r="J506" s="84" t="s">
        <v>1294</v>
      </c>
      <c r="K506" s="84"/>
      <c r="L506" s="84"/>
      <c r="M506" s="307" t="s">
        <v>49</v>
      </c>
    </row>
    <row r="507" spans="1:13" ht="31.5" hidden="1" customHeight="1" x14ac:dyDescent="0.2">
      <c r="A507" s="81">
        <f t="shared" si="7"/>
        <v>506</v>
      </c>
      <c r="B507" s="234" t="s">
        <v>625</v>
      </c>
      <c r="C507" s="204" t="s">
        <v>1235</v>
      </c>
      <c r="D507" s="89" t="s">
        <v>1269</v>
      </c>
      <c r="E507" s="153" t="s">
        <v>1160</v>
      </c>
      <c r="F507" s="99" t="s">
        <v>48</v>
      </c>
      <c r="G507" s="82">
        <v>11</v>
      </c>
      <c r="H507" s="96" t="s">
        <v>49</v>
      </c>
      <c r="I507" s="96" t="s">
        <v>2</v>
      </c>
      <c r="J507" s="84" t="s">
        <v>1295</v>
      </c>
      <c r="K507" s="84"/>
      <c r="L507" s="84"/>
      <c r="M507" s="307" t="s">
        <v>49</v>
      </c>
    </row>
    <row r="508" spans="1:13" ht="31.5" hidden="1" customHeight="1" x14ac:dyDescent="0.2">
      <c r="A508" s="81">
        <f t="shared" si="7"/>
        <v>507</v>
      </c>
      <c r="B508" s="234" t="s">
        <v>625</v>
      </c>
      <c r="C508" s="204" t="s">
        <v>1235</v>
      </c>
      <c r="D508" s="89" t="s">
        <v>1269</v>
      </c>
      <c r="E508" s="89" t="s">
        <v>1161</v>
      </c>
      <c r="F508" s="99" t="s">
        <v>48</v>
      </c>
      <c r="G508" s="82">
        <v>11</v>
      </c>
      <c r="H508" s="96" t="s">
        <v>49</v>
      </c>
      <c r="I508" s="96" t="s">
        <v>2</v>
      </c>
      <c r="J508" s="84" t="s">
        <v>1295</v>
      </c>
      <c r="K508" s="84"/>
      <c r="L508" s="84"/>
      <c r="M508" s="307" t="s">
        <v>49</v>
      </c>
    </row>
    <row r="509" spans="1:13" ht="31.5" hidden="1" customHeight="1" x14ac:dyDescent="0.2">
      <c r="A509" s="81">
        <f t="shared" si="7"/>
        <v>508</v>
      </c>
      <c r="B509" s="234" t="s">
        <v>625</v>
      </c>
      <c r="C509" s="204" t="s">
        <v>1235</v>
      </c>
      <c r="D509" s="89" t="s">
        <v>1269</v>
      </c>
      <c r="E509" s="89" t="s">
        <v>1162</v>
      </c>
      <c r="F509" s="99" t="s">
        <v>48</v>
      </c>
      <c r="G509" s="82">
        <v>11</v>
      </c>
      <c r="H509" s="96" t="s">
        <v>49</v>
      </c>
      <c r="I509" s="96" t="s">
        <v>2</v>
      </c>
      <c r="J509" s="84" t="s">
        <v>1295</v>
      </c>
      <c r="K509" s="84"/>
      <c r="L509" s="84"/>
      <c r="M509" s="307" t="s">
        <v>49</v>
      </c>
    </row>
    <row r="510" spans="1:13" ht="31.5" hidden="1" customHeight="1" x14ac:dyDescent="0.2">
      <c r="A510" s="81">
        <f t="shared" si="7"/>
        <v>509</v>
      </c>
      <c r="B510" s="234" t="s">
        <v>625</v>
      </c>
      <c r="C510" s="204" t="s">
        <v>1236</v>
      </c>
      <c r="D510" s="89" t="s">
        <v>1270</v>
      </c>
      <c r="E510" s="153" t="s">
        <v>1163</v>
      </c>
      <c r="F510" s="99" t="s">
        <v>48</v>
      </c>
      <c r="G510" s="82">
        <v>11</v>
      </c>
      <c r="H510" s="96" t="s">
        <v>49</v>
      </c>
      <c r="I510" s="96" t="s">
        <v>2</v>
      </c>
      <c r="J510" s="84" t="s">
        <v>1296</v>
      </c>
      <c r="K510" s="84"/>
      <c r="L510" s="84"/>
      <c r="M510" s="307" t="s">
        <v>49</v>
      </c>
    </row>
    <row r="511" spans="1:13" ht="31.5" hidden="1" customHeight="1" x14ac:dyDescent="0.2">
      <c r="A511" s="81">
        <f t="shared" si="7"/>
        <v>510</v>
      </c>
      <c r="B511" s="234" t="s">
        <v>625</v>
      </c>
      <c r="C511" s="204" t="s">
        <v>1236</v>
      </c>
      <c r="D511" s="89" t="s">
        <v>1270</v>
      </c>
      <c r="E511" s="89" t="s">
        <v>1164</v>
      </c>
      <c r="F511" s="99" t="s">
        <v>48</v>
      </c>
      <c r="G511" s="82">
        <v>11</v>
      </c>
      <c r="H511" s="96" t="s">
        <v>49</v>
      </c>
      <c r="I511" s="96" t="s">
        <v>2</v>
      </c>
      <c r="J511" s="84" t="s">
        <v>1296</v>
      </c>
      <c r="K511" s="84"/>
      <c r="L511" s="84"/>
      <c r="M511" s="307" t="s">
        <v>49</v>
      </c>
    </row>
    <row r="512" spans="1:13" ht="31.5" hidden="1" customHeight="1" x14ac:dyDescent="0.2">
      <c r="A512" s="81">
        <f t="shared" si="7"/>
        <v>511</v>
      </c>
      <c r="B512" s="234" t="s">
        <v>625</v>
      </c>
      <c r="C512" s="204" t="s">
        <v>1236</v>
      </c>
      <c r="D512" s="89" t="s">
        <v>1270</v>
      </c>
      <c r="E512" s="89" t="s">
        <v>1165</v>
      </c>
      <c r="F512" s="99" t="s">
        <v>48</v>
      </c>
      <c r="G512" s="82">
        <v>11</v>
      </c>
      <c r="H512" s="96" t="s">
        <v>49</v>
      </c>
      <c r="I512" s="96" t="s">
        <v>2</v>
      </c>
      <c r="J512" s="84" t="s">
        <v>1296</v>
      </c>
      <c r="K512" s="84"/>
      <c r="L512" s="84"/>
      <c r="M512" s="307" t="s">
        <v>49</v>
      </c>
    </row>
    <row r="513" spans="1:13" ht="31.5" hidden="1" customHeight="1" x14ac:dyDescent="0.2">
      <c r="A513" s="81">
        <f t="shared" si="7"/>
        <v>512</v>
      </c>
      <c r="B513" s="234" t="s">
        <v>625</v>
      </c>
      <c r="C513" s="204" t="s">
        <v>1236</v>
      </c>
      <c r="D513" s="89" t="s">
        <v>1270</v>
      </c>
      <c r="E513" s="89" t="s">
        <v>1166</v>
      </c>
      <c r="F513" s="99" t="s">
        <v>48</v>
      </c>
      <c r="G513" s="82">
        <v>11</v>
      </c>
      <c r="H513" s="96" t="s">
        <v>49</v>
      </c>
      <c r="I513" s="96" t="s">
        <v>2</v>
      </c>
      <c r="J513" s="84" t="s">
        <v>1296</v>
      </c>
      <c r="K513" s="84"/>
      <c r="L513" s="84"/>
      <c r="M513" s="307" t="s">
        <v>49</v>
      </c>
    </row>
    <row r="514" spans="1:13" ht="31.5" hidden="1" customHeight="1" x14ac:dyDescent="0.2">
      <c r="A514" s="81">
        <f t="shared" si="7"/>
        <v>513</v>
      </c>
      <c r="B514" s="234" t="s">
        <v>625</v>
      </c>
      <c r="C514" s="204" t="s">
        <v>1236</v>
      </c>
      <c r="D514" s="89" t="s">
        <v>1270</v>
      </c>
      <c r="E514" s="89" t="s">
        <v>1167</v>
      </c>
      <c r="F514" s="99" t="s">
        <v>48</v>
      </c>
      <c r="G514" s="82">
        <v>11</v>
      </c>
      <c r="H514" s="96" t="s">
        <v>49</v>
      </c>
      <c r="I514" s="96" t="s">
        <v>2</v>
      </c>
      <c r="J514" s="84" t="s">
        <v>1296</v>
      </c>
      <c r="K514" s="84"/>
      <c r="L514" s="84"/>
      <c r="M514" s="307" t="s">
        <v>49</v>
      </c>
    </row>
    <row r="515" spans="1:13" ht="31.5" hidden="1" customHeight="1" x14ac:dyDescent="0.2">
      <c r="A515" s="81">
        <f t="shared" ref="A515:A560" si="8">A514+1</f>
        <v>514</v>
      </c>
      <c r="B515" s="234" t="s">
        <v>625</v>
      </c>
      <c r="C515" s="204" t="s">
        <v>1237</v>
      </c>
      <c r="D515" s="89" t="s">
        <v>1713</v>
      </c>
      <c r="E515" s="153" t="s">
        <v>1168</v>
      </c>
      <c r="F515" s="99" t="s">
        <v>48</v>
      </c>
      <c r="G515" s="82">
        <v>11</v>
      </c>
      <c r="H515" s="96" t="s">
        <v>49</v>
      </c>
      <c r="I515" s="96" t="s">
        <v>2</v>
      </c>
      <c r="J515" s="84" t="s">
        <v>1827</v>
      </c>
      <c r="K515" s="84"/>
      <c r="L515" s="84"/>
      <c r="M515" s="307" t="s">
        <v>49</v>
      </c>
    </row>
    <row r="516" spans="1:13" ht="31.5" hidden="1" customHeight="1" x14ac:dyDescent="0.2">
      <c r="A516" s="81">
        <f t="shared" si="8"/>
        <v>515</v>
      </c>
      <c r="B516" s="234" t="s">
        <v>625</v>
      </c>
      <c r="C516" s="204" t="s">
        <v>1237</v>
      </c>
      <c r="D516" s="89" t="s">
        <v>1713</v>
      </c>
      <c r="E516" s="89" t="s">
        <v>1169</v>
      </c>
      <c r="F516" s="99" t="s">
        <v>48</v>
      </c>
      <c r="G516" s="82">
        <v>11</v>
      </c>
      <c r="H516" s="96" t="s">
        <v>49</v>
      </c>
      <c r="I516" s="96" t="s">
        <v>2</v>
      </c>
      <c r="J516" s="84" t="s">
        <v>1827</v>
      </c>
      <c r="K516" s="84"/>
      <c r="L516" s="84"/>
      <c r="M516" s="307" t="s">
        <v>49</v>
      </c>
    </row>
    <row r="517" spans="1:13" ht="31.5" hidden="1" customHeight="1" x14ac:dyDescent="0.2">
      <c r="A517" s="81">
        <f t="shared" si="8"/>
        <v>516</v>
      </c>
      <c r="B517" s="234" t="s">
        <v>625</v>
      </c>
      <c r="C517" s="204" t="s">
        <v>1238</v>
      </c>
      <c r="D517" s="89" t="s">
        <v>1271</v>
      </c>
      <c r="E517" s="153" t="s">
        <v>1170</v>
      </c>
      <c r="F517" s="99" t="s">
        <v>48</v>
      </c>
      <c r="G517" s="82">
        <v>11</v>
      </c>
      <c r="H517" s="96" t="s">
        <v>49</v>
      </c>
      <c r="I517" s="96" t="s">
        <v>2</v>
      </c>
      <c r="J517" s="84" t="s">
        <v>1297</v>
      </c>
      <c r="K517" s="84"/>
      <c r="L517" s="84"/>
      <c r="M517" s="307" t="s">
        <v>49</v>
      </c>
    </row>
    <row r="518" spans="1:13" ht="31.5" hidden="1" customHeight="1" x14ac:dyDescent="0.2">
      <c r="A518" s="81">
        <f t="shared" si="8"/>
        <v>517</v>
      </c>
      <c r="B518" s="234" t="s">
        <v>625</v>
      </c>
      <c r="C518" s="204" t="s">
        <v>1238</v>
      </c>
      <c r="D518" s="89" t="s">
        <v>1271</v>
      </c>
      <c r="E518" s="89" t="s">
        <v>1171</v>
      </c>
      <c r="F518" s="99" t="s">
        <v>48</v>
      </c>
      <c r="G518" s="82">
        <v>11</v>
      </c>
      <c r="H518" s="96" t="s">
        <v>49</v>
      </c>
      <c r="I518" s="96" t="s">
        <v>2</v>
      </c>
      <c r="J518" s="84" t="s">
        <v>1297</v>
      </c>
      <c r="K518" s="84"/>
      <c r="L518" s="84"/>
      <c r="M518" s="307" t="s">
        <v>49</v>
      </c>
    </row>
    <row r="519" spans="1:13" ht="31.5" hidden="1" customHeight="1" x14ac:dyDescent="0.2">
      <c r="A519" s="81">
        <f t="shared" si="8"/>
        <v>518</v>
      </c>
      <c r="B519" s="234" t="s">
        <v>625</v>
      </c>
      <c r="C519" s="204" t="s">
        <v>1239</v>
      </c>
      <c r="D519" s="89" t="s">
        <v>1272</v>
      </c>
      <c r="E519" s="153" t="s">
        <v>1172</v>
      </c>
      <c r="F519" s="99" t="s">
        <v>48</v>
      </c>
      <c r="G519" s="82">
        <v>11</v>
      </c>
      <c r="H519" s="96" t="s">
        <v>49</v>
      </c>
      <c r="I519" s="96" t="s">
        <v>2</v>
      </c>
      <c r="J519" s="84" t="s">
        <v>1298</v>
      </c>
      <c r="K519" s="84"/>
      <c r="L519" s="84"/>
      <c r="M519" s="307" t="s">
        <v>49</v>
      </c>
    </row>
    <row r="520" spans="1:13" ht="31.5" hidden="1" customHeight="1" x14ac:dyDescent="0.2">
      <c r="A520" s="81">
        <f t="shared" si="8"/>
        <v>519</v>
      </c>
      <c r="B520" s="234" t="s">
        <v>625</v>
      </c>
      <c r="C520" s="204" t="s">
        <v>1239</v>
      </c>
      <c r="D520" s="89" t="s">
        <v>1272</v>
      </c>
      <c r="E520" s="89" t="s">
        <v>1173</v>
      </c>
      <c r="F520" s="99" t="s">
        <v>48</v>
      </c>
      <c r="G520" s="82">
        <v>11</v>
      </c>
      <c r="H520" s="96" t="s">
        <v>49</v>
      </c>
      <c r="I520" s="96" t="s">
        <v>2</v>
      </c>
      <c r="J520" s="84" t="s">
        <v>1298</v>
      </c>
      <c r="K520" s="84"/>
      <c r="L520" s="84"/>
      <c r="M520" s="307" t="s">
        <v>49</v>
      </c>
    </row>
    <row r="521" spans="1:13" ht="31.5" hidden="1" customHeight="1" x14ac:dyDescent="0.2">
      <c r="A521" s="81">
        <f t="shared" si="8"/>
        <v>520</v>
      </c>
      <c r="B521" s="234" t="s">
        <v>625</v>
      </c>
      <c r="C521" s="204" t="s">
        <v>1240</v>
      </c>
      <c r="D521" s="89" t="s">
        <v>1273</v>
      </c>
      <c r="E521" s="153" t="s">
        <v>1174</v>
      </c>
      <c r="F521" s="99" t="s">
        <v>48</v>
      </c>
      <c r="G521" s="82">
        <v>11</v>
      </c>
      <c r="H521" s="96" t="s">
        <v>49</v>
      </c>
      <c r="I521" s="96" t="s">
        <v>2</v>
      </c>
      <c r="J521" s="84" t="s">
        <v>1299</v>
      </c>
      <c r="K521" s="84"/>
      <c r="L521" s="84"/>
      <c r="M521" s="307" t="s">
        <v>49</v>
      </c>
    </row>
    <row r="522" spans="1:13" ht="31.5" hidden="1" customHeight="1" x14ac:dyDescent="0.2">
      <c r="A522" s="81">
        <f t="shared" si="8"/>
        <v>521</v>
      </c>
      <c r="B522" s="234" t="s">
        <v>625</v>
      </c>
      <c r="C522" s="204" t="s">
        <v>1240</v>
      </c>
      <c r="D522" s="89" t="s">
        <v>1273</v>
      </c>
      <c r="E522" s="89" t="s">
        <v>1175</v>
      </c>
      <c r="F522" s="99" t="s">
        <v>48</v>
      </c>
      <c r="G522" s="82">
        <v>11</v>
      </c>
      <c r="H522" s="96" t="s">
        <v>49</v>
      </c>
      <c r="I522" s="96" t="s">
        <v>2</v>
      </c>
      <c r="J522" s="84" t="s">
        <v>1299</v>
      </c>
      <c r="K522" s="84"/>
      <c r="L522" s="84"/>
      <c r="M522" s="307" t="s">
        <v>49</v>
      </c>
    </row>
    <row r="523" spans="1:13" ht="31.5" hidden="1" customHeight="1" x14ac:dyDescent="0.2">
      <c r="A523" s="81">
        <f t="shared" si="8"/>
        <v>522</v>
      </c>
      <c r="B523" s="234" t="s">
        <v>625</v>
      </c>
      <c r="C523" s="204" t="s">
        <v>1240</v>
      </c>
      <c r="D523" s="89" t="s">
        <v>1273</v>
      </c>
      <c r="E523" s="89" t="s">
        <v>1176</v>
      </c>
      <c r="F523" s="99" t="s">
        <v>48</v>
      </c>
      <c r="G523" s="82">
        <v>11</v>
      </c>
      <c r="H523" s="96" t="s">
        <v>49</v>
      </c>
      <c r="I523" s="96" t="s">
        <v>2</v>
      </c>
      <c r="J523" s="84" t="s">
        <v>1299</v>
      </c>
      <c r="K523" s="84"/>
      <c r="L523" s="84"/>
      <c r="M523" s="307" t="s">
        <v>49</v>
      </c>
    </row>
    <row r="524" spans="1:13" ht="31.5" hidden="1" customHeight="1" x14ac:dyDescent="0.2">
      <c r="A524" s="81">
        <f t="shared" si="8"/>
        <v>523</v>
      </c>
      <c r="B524" s="234" t="s">
        <v>625</v>
      </c>
      <c r="C524" s="204" t="s">
        <v>1241</v>
      </c>
      <c r="D524" s="89" t="s">
        <v>1274</v>
      </c>
      <c r="E524" s="153" t="s">
        <v>1177</v>
      </c>
      <c r="F524" s="99" t="s">
        <v>48</v>
      </c>
      <c r="G524" s="82">
        <v>11</v>
      </c>
      <c r="H524" s="96" t="s">
        <v>49</v>
      </c>
      <c r="I524" s="96" t="s">
        <v>2</v>
      </c>
      <c r="J524" s="84" t="s">
        <v>1300</v>
      </c>
      <c r="K524" s="84"/>
      <c r="L524" s="84"/>
      <c r="M524" s="307" t="s">
        <v>49</v>
      </c>
    </row>
    <row r="525" spans="1:13" ht="31.5" hidden="1" customHeight="1" x14ac:dyDescent="0.2">
      <c r="A525" s="81">
        <f t="shared" si="8"/>
        <v>524</v>
      </c>
      <c r="B525" s="234" t="s">
        <v>625</v>
      </c>
      <c r="C525" s="204" t="s">
        <v>1241</v>
      </c>
      <c r="D525" s="89" t="s">
        <v>1274</v>
      </c>
      <c r="E525" s="89" t="s">
        <v>1178</v>
      </c>
      <c r="F525" s="99" t="s">
        <v>48</v>
      </c>
      <c r="G525" s="82">
        <v>11</v>
      </c>
      <c r="H525" s="96" t="s">
        <v>49</v>
      </c>
      <c r="I525" s="96" t="s">
        <v>2</v>
      </c>
      <c r="J525" s="84" t="s">
        <v>1300</v>
      </c>
      <c r="K525" s="84"/>
      <c r="L525" s="84"/>
      <c r="M525" s="307" t="s">
        <v>49</v>
      </c>
    </row>
    <row r="526" spans="1:13" ht="31.5" hidden="1" customHeight="1" x14ac:dyDescent="0.2">
      <c r="A526" s="81">
        <f t="shared" si="8"/>
        <v>525</v>
      </c>
      <c r="B526" s="234" t="s">
        <v>625</v>
      </c>
      <c r="C526" s="204" t="s">
        <v>1241</v>
      </c>
      <c r="D526" s="89" t="s">
        <v>1274</v>
      </c>
      <c r="E526" s="89" t="s">
        <v>1179</v>
      </c>
      <c r="F526" s="99" t="s">
        <v>48</v>
      </c>
      <c r="G526" s="82">
        <v>11</v>
      </c>
      <c r="H526" s="96" t="s">
        <v>49</v>
      </c>
      <c r="I526" s="96" t="s">
        <v>2</v>
      </c>
      <c r="J526" s="84" t="s">
        <v>1300</v>
      </c>
      <c r="K526" s="84"/>
      <c r="L526" s="84"/>
      <c r="M526" s="307" t="s">
        <v>49</v>
      </c>
    </row>
    <row r="527" spans="1:13" ht="31.5" hidden="1" customHeight="1" x14ac:dyDescent="0.2">
      <c r="A527" s="81">
        <f t="shared" si="8"/>
        <v>526</v>
      </c>
      <c r="B527" s="234" t="s">
        <v>625</v>
      </c>
      <c r="C527" s="204" t="s">
        <v>1241</v>
      </c>
      <c r="D527" s="89" t="s">
        <v>1274</v>
      </c>
      <c r="E527" s="89" t="s">
        <v>1180</v>
      </c>
      <c r="F527" s="99" t="s">
        <v>48</v>
      </c>
      <c r="G527" s="82">
        <v>11</v>
      </c>
      <c r="H527" s="96" t="s">
        <v>49</v>
      </c>
      <c r="I527" s="96" t="s">
        <v>2</v>
      </c>
      <c r="J527" s="84" t="s">
        <v>1300</v>
      </c>
      <c r="K527" s="84"/>
      <c r="L527" s="84"/>
      <c r="M527" s="307" t="s">
        <v>49</v>
      </c>
    </row>
    <row r="528" spans="1:13" ht="31.5" hidden="1" customHeight="1" x14ac:dyDescent="0.2">
      <c r="A528" s="81">
        <f t="shared" si="8"/>
        <v>527</v>
      </c>
      <c r="B528" s="234" t="s">
        <v>300</v>
      </c>
      <c r="C528" s="204" t="s">
        <v>1242</v>
      </c>
      <c r="D528" s="89" t="s">
        <v>1116</v>
      </c>
      <c r="E528" s="153" t="s">
        <v>1181</v>
      </c>
      <c r="F528" s="99" t="s">
        <v>48</v>
      </c>
      <c r="G528" s="82">
        <v>11</v>
      </c>
      <c r="H528" s="96" t="s">
        <v>49</v>
      </c>
      <c r="I528" s="96" t="s">
        <v>2</v>
      </c>
      <c r="J528" s="84" t="s">
        <v>1280</v>
      </c>
      <c r="K528" s="84"/>
      <c r="L528" s="84"/>
      <c r="M528" s="307" t="s">
        <v>49</v>
      </c>
    </row>
    <row r="529" spans="1:13" ht="31.5" hidden="1" customHeight="1" x14ac:dyDescent="0.2">
      <c r="A529" s="81">
        <f t="shared" si="8"/>
        <v>528</v>
      </c>
      <c r="B529" s="234" t="s">
        <v>300</v>
      </c>
      <c r="C529" s="204" t="s">
        <v>1242</v>
      </c>
      <c r="D529" s="89" t="s">
        <v>1118</v>
      </c>
      <c r="E529" s="153" t="s">
        <v>1182</v>
      </c>
      <c r="F529" s="99" t="s">
        <v>48</v>
      </c>
      <c r="G529" s="82">
        <v>11</v>
      </c>
      <c r="H529" s="96" t="s">
        <v>49</v>
      </c>
      <c r="I529" s="96" t="s">
        <v>2</v>
      </c>
      <c r="J529" s="84" t="s">
        <v>1281</v>
      </c>
      <c r="K529" s="84"/>
      <c r="L529" s="84"/>
      <c r="M529" s="307" t="s">
        <v>49</v>
      </c>
    </row>
    <row r="530" spans="1:13" ht="31.5" hidden="1" customHeight="1" x14ac:dyDescent="0.2">
      <c r="A530" s="81">
        <f t="shared" si="8"/>
        <v>529</v>
      </c>
      <c r="B530" s="234" t="s">
        <v>300</v>
      </c>
      <c r="C530" s="204" t="s">
        <v>1242</v>
      </c>
      <c r="D530" s="89" t="s">
        <v>1118</v>
      </c>
      <c r="E530" s="89" t="s">
        <v>1183</v>
      </c>
      <c r="F530" s="99" t="s">
        <v>48</v>
      </c>
      <c r="G530" s="82">
        <v>11</v>
      </c>
      <c r="H530" s="96" t="s">
        <v>49</v>
      </c>
      <c r="I530" s="96" t="s">
        <v>2</v>
      </c>
      <c r="J530" s="84" t="s">
        <v>1281</v>
      </c>
      <c r="K530" s="84"/>
      <c r="L530" s="84"/>
      <c r="M530" s="307" t="s">
        <v>49</v>
      </c>
    </row>
    <row r="531" spans="1:13" ht="31.5" hidden="1" customHeight="1" x14ac:dyDescent="0.2">
      <c r="A531" s="81">
        <f t="shared" si="8"/>
        <v>530</v>
      </c>
      <c r="B531" s="234" t="s">
        <v>300</v>
      </c>
      <c r="C531" s="204" t="s">
        <v>1243</v>
      </c>
      <c r="D531" s="89" t="s">
        <v>1275</v>
      </c>
      <c r="E531" s="153" t="s">
        <v>1184</v>
      </c>
      <c r="F531" s="99" t="s">
        <v>48</v>
      </c>
      <c r="G531" s="82">
        <v>11</v>
      </c>
      <c r="H531" s="96" t="s">
        <v>49</v>
      </c>
      <c r="I531" s="96" t="s">
        <v>2</v>
      </c>
      <c r="J531" s="84" t="s">
        <v>1301</v>
      </c>
      <c r="K531" s="84"/>
      <c r="L531" s="84"/>
      <c r="M531" s="307" t="s">
        <v>49</v>
      </c>
    </row>
    <row r="532" spans="1:13" ht="31.5" hidden="1" customHeight="1" x14ac:dyDescent="0.2">
      <c r="A532" s="81">
        <f t="shared" si="8"/>
        <v>531</v>
      </c>
      <c r="B532" s="234" t="s">
        <v>300</v>
      </c>
      <c r="C532" s="204" t="s">
        <v>1243</v>
      </c>
      <c r="D532" s="89" t="s">
        <v>1275</v>
      </c>
      <c r="E532" s="89" t="s">
        <v>1185</v>
      </c>
      <c r="F532" s="99" t="s">
        <v>48</v>
      </c>
      <c r="G532" s="82">
        <v>11</v>
      </c>
      <c r="H532" s="96" t="s">
        <v>49</v>
      </c>
      <c r="I532" s="96" t="s">
        <v>2</v>
      </c>
      <c r="J532" s="84" t="s">
        <v>1301</v>
      </c>
      <c r="K532" s="84"/>
      <c r="L532" s="84"/>
      <c r="M532" s="307" t="s">
        <v>49</v>
      </c>
    </row>
    <row r="533" spans="1:13" ht="31.5" hidden="1" customHeight="1" x14ac:dyDescent="0.2">
      <c r="A533" s="81">
        <f t="shared" si="8"/>
        <v>532</v>
      </c>
      <c r="B533" s="234" t="s">
        <v>300</v>
      </c>
      <c r="C533" s="204" t="s">
        <v>1244</v>
      </c>
      <c r="D533" s="89" t="s">
        <v>1117</v>
      </c>
      <c r="E533" s="153" t="s">
        <v>1186</v>
      </c>
      <c r="F533" s="99" t="s">
        <v>48</v>
      </c>
      <c r="G533" s="82">
        <v>11</v>
      </c>
      <c r="H533" s="96" t="s">
        <v>49</v>
      </c>
      <c r="I533" s="96" t="s">
        <v>2</v>
      </c>
      <c r="J533" s="84" t="s">
        <v>1282</v>
      </c>
      <c r="K533" s="84"/>
      <c r="L533" s="84"/>
      <c r="M533" s="307" t="s">
        <v>49</v>
      </c>
    </row>
    <row r="534" spans="1:13" ht="31.5" hidden="1" customHeight="1" x14ac:dyDescent="0.2">
      <c r="A534" s="81">
        <f t="shared" si="8"/>
        <v>533</v>
      </c>
      <c r="B534" s="234" t="s">
        <v>300</v>
      </c>
      <c r="C534" s="204" t="s">
        <v>1244</v>
      </c>
      <c r="D534" s="89" t="s">
        <v>1117</v>
      </c>
      <c r="E534" s="89" t="s">
        <v>1187</v>
      </c>
      <c r="F534" s="99" t="s">
        <v>48</v>
      </c>
      <c r="G534" s="82">
        <v>11</v>
      </c>
      <c r="H534" s="96" t="s">
        <v>49</v>
      </c>
      <c r="I534" s="96" t="s">
        <v>2</v>
      </c>
      <c r="J534" s="84" t="s">
        <v>1282</v>
      </c>
      <c r="K534" s="84"/>
      <c r="L534" s="84"/>
      <c r="M534" s="307" t="s">
        <v>49</v>
      </c>
    </row>
    <row r="535" spans="1:13" ht="31.5" hidden="1" customHeight="1" x14ac:dyDescent="0.2">
      <c r="A535" s="81">
        <f t="shared" si="8"/>
        <v>534</v>
      </c>
      <c r="B535" s="234" t="s">
        <v>625</v>
      </c>
      <c r="C535" s="204" t="s">
        <v>1245</v>
      </c>
      <c r="D535" s="89" t="s">
        <v>1276</v>
      </c>
      <c r="E535" s="153" t="s">
        <v>1188</v>
      </c>
      <c r="F535" s="99" t="s">
        <v>48</v>
      </c>
      <c r="G535" s="82">
        <v>11</v>
      </c>
      <c r="H535" s="96" t="s">
        <v>49</v>
      </c>
      <c r="I535" s="96" t="s">
        <v>2</v>
      </c>
      <c r="J535" s="84" t="s">
        <v>1302</v>
      </c>
      <c r="K535" s="84"/>
      <c r="L535" s="84"/>
      <c r="M535" s="307" t="s">
        <v>49</v>
      </c>
    </row>
    <row r="536" spans="1:13" ht="31.5" hidden="1" customHeight="1" x14ac:dyDescent="0.2">
      <c r="A536" s="81">
        <f t="shared" si="8"/>
        <v>535</v>
      </c>
      <c r="B536" s="234" t="s">
        <v>625</v>
      </c>
      <c r="C536" s="204" t="s">
        <v>1245</v>
      </c>
      <c r="D536" s="89" t="s">
        <v>1276</v>
      </c>
      <c r="E536" s="89" t="s">
        <v>1189</v>
      </c>
      <c r="F536" s="99" t="s">
        <v>48</v>
      </c>
      <c r="G536" s="82">
        <v>11</v>
      </c>
      <c r="H536" s="96" t="s">
        <v>49</v>
      </c>
      <c r="I536" s="96" t="s">
        <v>2</v>
      </c>
      <c r="J536" s="84" t="s">
        <v>1302</v>
      </c>
      <c r="K536" s="84"/>
      <c r="L536" s="84"/>
      <c r="M536" s="307" t="s">
        <v>49</v>
      </c>
    </row>
    <row r="537" spans="1:13" ht="31.5" hidden="1" customHeight="1" x14ac:dyDescent="0.2">
      <c r="A537" s="81">
        <f t="shared" si="8"/>
        <v>536</v>
      </c>
      <c r="B537" s="234" t="s">
        <v>625</v>
      </c>
      <c r="C537" s="204" t="s">
        <v>1245</v>
      </c>
      <c r="D537" s="89" t="s">
        <v>1276</v>
      </c>
      <c r="E537" s="89" t="s">
        <v>1190</v>
      </c>
      <c r="F537" s="99" t="s">
        <v>48</v>
      </c>
      <c r="G537" s="82">
        <v>11</v>
      </c>
      <c r="H537" s="96" t="s">
        <v>49</v>
      </c>
      <c r="I537" s="96" t="s">
        <v>2</v>
      </c>
      <c r="J537" s="84" t="s">
        <v>1302</v>
      </c>
      <c r="K537" s="84"/>
      <c r="L537" s="84"/>
      <c r="M537" s="307" t="s">
        <v>49</v>
      </c>
    </row>
    <row r="538" spans="1:13" ht="31.5" hidden="1" customHeight="1" x14ac:dyDescent="0.2">
      <c r="A538" s="81">
        <f t="shared" si="8"/>
        <v>537</v>
      </c>
      <c r="B538" s="234" t="s">
        <v>625</v>
      </c>
      <c r="C538" s="204" t="s">
        <v>1246</v>
      </c>
      <c r="D538" s="89" t="s">
        <v>1277</v>
      </c>
      <c r="E538" s="153" t="s">
        <v>1191</v>
      </c>
      <c r="F538" s="99" t="s">
        <v>48</v>
      </c>
      <c r="G538" s="82">
        <v>11</v>
      </c>
      <c r="H538" s="96" t="s">
        <v>49</v>
      </c>
      <c r="I538" s="96" t="s">
        <v>2</v>
      </c>
      <c r="J538" s="84" t="s">
        <v>1303</v>
      </c>
      <c r="K538" s="84"/>
      <c r="L538" s="84"/>
      <c r="M538" s="307" t="s">
        <v>49</v>
      </c>
    </row>
    <row r="539" spans="1:13" ht="31.5" hidden="1" customHeight="1" x14ac:dyDescent="0.2">
      <c r="A539" s="81">
        <f t="shared" si="8"/>
        <v>538</v>
      </c>
      <c r="B539" s="234" t="s">
        <v>625</v>
      </c>
      <c r="C539" s="204" t="s">
        <v>1246</v>
      </c>
      <c r="D539" s="89" t="s">
        <v>1277</v>
      </c>
      <c r="E539" s="89" t="s">
        <v>1192</v>
      </c>
      <c r="F539" s="99" t="s">
        <v>48</v>
      </c>
      <c r="G539" s="82">
        <v>11</v>
      </c>
      <c r="H539" s="96" t="s">
        <v>49</v>
      </c>
      <c r="I539" s="96" t="s">
        <v>2</v>
      </c>
      <c r="J539" s="84" t="s">
        <v>1303</v>
      </c>
      <c r="K539" s="84"/>
      <c r="L539" s="84"/>
      <c r="M539" s="307" t="s">
        <v>49</v>
      </c>
    </row>
    <row r="540" spans="1:13" ht="31.5" hidden="1" customHeight="1" x14ac:dyDescent="0.2">
      <c r="A540" s="81">
        <f t="shared" si="8"/>
        <v>539</v>
      </c>
      <c r="B540" s="234" t="s">
        <v>625</v>
      </c>
      <c r="C540" s="204" t="s">
        <v>1246</v>
      </c>
      <c r="D540" s="89" t="s">
        <v>1277</v>
      </c>
      <c r="E540" s="89" t="s">
        <v>1193</v>
      </c>
      <c r="F540" s="99" t="s">
        <v>48</v>
      </c>
      <c r="G540" s="82">
        <v>11</v>
      </c>
      <c r="H540" s="96" t="s">
        <v>49</v>
      </c>
      <c r="I540" s="96" t="s">
        <v>2</v>
      </c>
      <c r="J540" s="84" t="s">
        <v>1303</v>
      </c>
      <c r="K540" s="84"/>
      <c r="L540" s="84"/>
      <c r="M540" s="307" t="s">
        <v>49</v>
      </c>
    </row>
    <row r="541" spans="1:13" ht="31.5" hidden="1" customHeight="1" x14ac:dyDescent="0.2">
      <c r="A541" s="81">
        <f t="shared" si="8"/>
        <v>540</v>
      </c>
      <c r="B541" s="234" t="s">
        <v>625</v>
      </c>
      <c r="C541" s="204" t="s">
        <v>1246</v>
      </c>
      <c r="D541" s="89" t="s">
        <v>1277</v>
      </c>
      <c r="E541" s="89" t="s">
        <v>1194</v>
      </c>
      <c r="F541" s="99" t="s">
        <v>48</v>
      </c>
      <c r="G541" s="82">
        <v>11</v>
      </c>
      <c r="H541" s="96" t="s">
        <v>49</v>
      </c>
      <c r="I541" s="96" t="s">
        <v>2</v>
      </c>
      <c r="J541" s="84" t="s">
        <v>1303</v>
      </c>
      <c r="K541" s="84"/>
      <c r="L541" s="84"/>
      <c r="M541" s="307" t="s">
        <v>49</v>
      </c>
    </row>
    <row r="542" spans="1:13" ht="31.5" hidden="1" customHeight="1" x14ac:dyDescent="0.2">
      <c r="A542" s="81">
        <f t="shared" si="8"/>
        <v>541</v>
      </c>
      <c r="B542" s="234" t="s">
        <v>625</v>
      </c>
      <c r="C542" s="204" t="s">
        <v>1247</v>
      </c>
      <c r="D542" s="89" t="s">
        <v>1278</v>
      </c>
      <c r="E542" s="153" t="s">
        <v>1195</v>
      </c>
      <c r="F542" s="99" t="s">
        <v>48</v>
      </c>
      <c r="G542" s="82">
        <v>11</v>
      </c>
      <c r="H542" s="96" t="s">
        <v>49</v>
      </c>
      <c r="I542" s="96" t="s">
        <v>2</v>
      </c>
      <c r="J542" s="84" t="s">
        <v>1304</v>
      </c>
      <c r="K542" s="84"/>
      <c r="L542" s="84"/>
      <c r="M542" s="307" t="s">
        <v>49</v>
      </c>
    </row>
    <row r="543" spans="1:13" ht="31.5" hidden="1" customHeight="1" x14ac:dyDescent="0.2">
      <c r="A543" s="81">
        <f t="shared" si="8"/>
        <v>542</v>
      </c>
      <c r="B543" s="234" t="s">
        <v>625</v>
      </c>
      <c r="C543" s="204" t="s">
        <v>1247</v>
      </c>
      <c r="D543" s="89" t="s">
        <v>1278</v>
      </c>
      <c r="E543" s="89" t="s">
        <v>1196</v>
      </c>
      <c r="F543" s="99" t="s">
        <v>48</v>
      </c>
      <c r="G543" s="82">
        <v>11</v>
      </c>
      <c r="H543" s="96" t="s">
        <v>49</v>
      </c>
      <c r="I543" s="96" t="s">
        <v>2</v>
      </c>
      <c r="J543" s="84" t="s">
        <v>1304</v>
      </c>
      <c r="K543" s="84"/>
      <c r="L543" s="84"/>
      <c r="M543" s="307" t="s">
        <v>49</v>
      </c>
    </row>
    <row r="544" spans="1:13" ht="31.5" hidden="1" customHeight="1" x14ac:dyDescent="0.2">
      <c r="A544" s="81">
        <f t="shared" si="8"/>
        <v>543</v>
      </c>
      <c r="B544" s="234" t="s">
        <v>625</v>
      </c>
      <c r="C544" s="204" t="s">
        <v>1247</v>
      </c>
      <c r="D544" s="89" t="s">
        <v>1278</v>
      </c>
      <c r="E544" s="89" t="s">
        <v>1197</v>
      </c>
      <c r="F544" s="99" t="s">
        <v>48</v>
      </c>
      <c r="G544" s="82">
        <v>11</v>
      </c>
      <c r="H544" s="96" t="s">
        <v>49</v>
      </c>
      <c r="I544" s="96" t="s">
        <v>2</v>
      </c>
      <c r="J544" s="84" t="s">
        <v>1304</v>
      </c>
      <c r="K544" s="84"/>
      <c r="L544" s="84"/>
      <c r="M544" s="307" t="s">
        <v>49</v>
      </c>
    </row>
    <row r="545" spans="1:13" ht="31.5" hidden="1" customHeight="1" x14ac:dyDescent="0.2">
      <c r="A545" s="81">
        <f t="shared" si="8"/>
        <v>544</v>
      </c>
      <c r="B545" s="234" t="s">
        <v>625</v>
      </c>
      <c r="C545" s="204" t="s">
        <v>1248</v>
      </c>
      <c r="D545" s="89" t="s">
        <v>1308</v>
      </c>
      <c r="E545" s="153" t="s">
        <v>1198</v>
      </c>
      <c r="F545" s="99" t="s">
        <v>48</v>
      </c>
      <c r="G545" s="82">
        <v>11</v>
      </c>
      <c r="H545" s="96" t="s">
        <v>49</v>
      </c>
      <c r="I545" s="96" t="s">
        <v>2</v>
      </c>
      <c r="J545" s="84" t="s">
        <v>1305</v>
      </c>
      <c r="K545" s="84"/>
      <c r="L545" s="84"/>
      <c r="M545" s="307" t="s">
        <v>49</v>
      </c>
    </row>
    <row r="546" spans="1:13" ht="31.5" hidden="1" customHeight="1" x14ac:dyDescent="0.2">
      <c r="A546" s="81">
        <f t="shared" si="8"/>
        <v>545</v>
      </c>
      <c r="B546" s="234" t="s">
        <v>625</v>
      </c>
      <c r="C546" s="204" t="s">
        <v>1248</v>
      </c>
      <c r="D546" s="89" t="s">
        <v>1308</v>
      </c>
      <c r="E546" s="89" t="s">
        <v>1199</v>
      </c>
      <c r="F546" s="99" t="s">
        <v>48</v>
      </c>
      <c r="G546" s="82">
        <v>11</v>
      </c>
      <c r="H546" s="96" t="s">
        <v>49</v>
      </c>
      <c r="I546" s="96" t="s">
        <v>2</v>
      </c>
      <c r="J546" s="84" t="s">
        <v>1305</v>
      </c>
      <c r="K546" s="84"/>
      <c r="L546" s="84"/>
      <c r="M546" s="307" t="s">
        <v>49</v>
      </c>
    </row>
    <row r="547" spans="1:13" ht="31.5" hidden="1" customHeight="1" x14ac:dyDescent="0.2">
      <c r="A547" s="81">
        <f t="shared" si="8"/>
        <v>546</v>
      </c>
      <c r="B547" s="234" t="s">
        <v>625</v>
      </c>
      <c r="C547" s="204" t="s">
        <v>1248</v>
      </c>
      <c r="D547" s="89" t="s">
        <v>1308</v>
      </c>
      <c r="E547" s="89" t="s">
        <v>1200</v>
      </c>
      <c r="F547" s="99" t="s">
        <v>48</v>
      </c>
      <c r="G547" s="82">
        <v>11</v>
      </c>
      <c r="H547" s="96" t="s">
        <v>49</v>
      </c>
      <c r="I547" s="96" t="s">
        <v>2</v>
      </c>
      <c r="J547" s="84" t="s">
        <v>1305</v>
      </c>
      <c r="K547" s="84"/>
      <c r="L547" s="84"/>
      <c r="M547" s="307" t="s">
        <v>49</v>
      </c>
    </row>
    <row r="548" spans="1:13" ht="31.5" hidden="1" customHeight="1" x14ac:dyDescent="0.2">
      <c r="A548" s="81">
        <f t="shared" si="8"/>
        <v>547</v>
      </c>
      <c r="B548" s="234" t="s">
        <v>625</v>
      </c>
      <c r="C548" s="204" t="s">
        <v>1248</v>
      </c>
      <c r="D548" s="89" t="s">
        <v>1308</v>
      </c>
      <c r="E548" s="153" t="s">
        <v>1201</v>
      </c>
      <c r="F548" s="99" t="s">
        <v>48</v>
      </c>
      <c r="G548" s="82">
        <v>11</v>
      </c>
      <c r="H548" s="96" t="s">
        <v>49</v>
      </c>
      <c r="I548" s="96" t="s">
        <v>2</v>
      </c>
      <c r="J548" s="84" t="s">
        <v>1305</v>
      </c>
      <c r="K548" s="84"/>
      <c r="L548" s="84"/>
      <c r="M548" s="307" t="s">
        <v>49</v>
      </c>
    </row>
    <row r="549" spans="1:13" ht="31.5" customHeight="1" x14ac:dyDescent="0.2">
      <c r="A549" s="81">
        <f t="shared" si="8"/>
        <v>548</v>
      </c>
      <c r="B549" s="234" t="s">
        <v>42</v>
      </c>
      <c r="C549" s="204" t="s">
        <v>1249</v>
      </c>
      <c r="D549" s="89" t="s">
        <v>1314</v>
      </c>
      <c r="E549" s="153" t="s">
        <v>1202</v>
      </c>
      <c r="F549" s="99" t="s">
        <v>48</v>
      </c>
      <c r="G549" s="82">
        <v>11</v>
      </c>
      <c r="H549" s="96" t="s">
        <v>61</v>
      </c>
      <c r="I549" s="96" t="s">
        <v>2</v>
      </c>
      <c r="J549" s="84" t="s">
        <v>1523</v>
      </c>
      <c r="K549" s="84"/>
      <c r="L549" s="84"/>
      <c r="M549" s="307" t="s">
        <v>61</v>
      </c>
    </row>
    <row r="550" spans="1:13" ht="31.5" customHeight="1" x14ac:dyDescent="0.2">
      <c r="A550" s="81">
        <f t="shared" si="8"/>
        <v>549</v>
      </c>
      <c r="B550" s="234" t="s">
        <v>42</v>
      </c>
      <c r="C550" s="204" t="s">
        <v>1249</v>
      </c>
      <c r="D550" s="89" t="s">
        <v>1314</v>
      </c>
      <c r="E550" s="89" t="s">
        <v>1203</v>
      </c>
      <c r="F550" s="99" t="s">
        <v>48</v>
      </c>
      <c r="G550" s="82">
        <v>11</v>
      </c>
      <c r="H550" s="96" t="s">
        <v>61</v>
      </c>
      <c r="I550" s="96" t="s">
        <v>2</v>
      </c>
      <c r="J550" s="84" t="s">
        <v>1523</v>
      </c>
      <c r="K550" s="84"/>
      <c r="L550" s="84"/>
      <c r="M550" s="307" t="s">
        <v>61</v>
      </c>
    </row>
    <row r="551" spans="1:13" ht="31.5" hidden="1" customHeight="1" x14ac:dyDescent="0.2">
      <c r="A551" s="81">
        <f t="shared" si="8"/>
        <v>550</v>
      </c>
      <c r="B551" s="234" t="s">
        <v>42</v>
      </c>
      <c r="C551" s="204" t="s">
        <v>1250</v>
      </c>
      <c r="D551" s="89" t="s">
        <v>1309</v>
      </c>
      <c r="E551" s="153" t="s">
        <v>1204</v>
      </c>
      <c r="F551" s="99" t="s">
        <v>48</v>
      </c>
      <c r="G551" s="82">
        <v>11</v>
      </c>
      <c r="H551" s="96" t="s">
        <v>49</v>
      </c>
      <c r="I551" s="96" t="s">
        <v>2</v>
      </c>
      <c r="J551" s="84" t="s">
        <v>1204</v>
      </c>
      <c r="K551" s="84"/>
      <c r="L551" s="84"/>
      <c r="M551" s="307" t="s">
        <v>49</v>
      </c>
    </row>
    <row r="552" spans="1:13" ht="31.5" hidden="1" customHeight="1" x14ac:dyDescent="0.2">
      <c r="A552" s="81">
        <f t="shared" si="8"/>
        <v>551</v>
      </c>
      <c r="B552" s="234" t="s">
        <v>625</v>
      </c>
      <c r="C552" s="204" t="s">
        <v>1251</v>
      </c>
      <c r="D552" s="89" t="s">
        <v>1205</v>
      </c>
      <c r="E552" s="153" t="s">
        <v>1205</v>
      </c>
      <c r="F552" s="99" t="s">
        <v>48</v>
      </c>
      <c r="G552" s="82">
        <v>11</v>
      </c>
      <c r="H552" s="96" t="s">
        <v>49</v>
      </c>
      <c r="I552" s="96" t="s">
        <v>2</v>
      </c>
      <c r="J552" s="84" t="s">
        <v>1205</v>
      </c>
      <c r="K552" s="84"/>
      <c r="L552" s="84"/>
      <c r="M552" s="307" t="s">
        <v>49</v>
      </c>
    </row>
    <row r="553" spans="1:13" ht="31.5" hidden="1" customHeight="1" x14ac:dyDescent="0.2">
      <c r="A553" s="81">
        <f t="shared" si="8"/>
        <v>552</v>
      </c>
      <c r="B553" s="234" t="s">
        <v>625</v>
      </c>
      <c r="C553" s="204" t="s">
        <v>1252</v>
      </c>
      <c r="D553" s="89" t="s">
        <v>1206</v>
      </c>
      <c r="E553" s="153" t="s">
        <v>1206</v>
      </c>
      <c r="F553" s="99" t="s">
        <v>48</v>
      </c>
      <c r="G553" s="82">
        <v>11</v>
      </c>
      <c r="H553" s="96" t="s">
        <v>49</v>
      </c>
      <c r="I553" s="96" t="s">
        <v>2</v>
      </c>
      <c r="J553" s="84" t="s">
        <v>1206</v>
      </c>
      <c r="K553" s="84"/>
      <c r="L553" s="84"/>
      <c r="M553" s="307" t="s">
        <v>49</v>
      </c>
    </row>
    <row r="554" spans="1:13" ht="31.5" hidden="1" customHeight="1" x14ac:dyDescent="0.2">
      <c r="A554" s="81">
        <f t="shared" si="8"/>
        <v>553</v>
      </c>
      <c r="B554" s="234" t="s">
        <v>625</v>
      </c>
      <c r="C554" s="204" t="s">
        <v>1252</v>
      </c>
      <c r="D554" s="89" t="s">
        <v>1207</v>
      </c>
      <c r="E554" s="89" t="s">
        <v>1207</v>
      </c>
      <c r="F554" s="99" t="s">
        <v>48</v>
      </c>
      <c r="G554" s="82">
        <v>11</v>
      </c>
      <c r="H554" s="96" t="s">
        <v>49</v>
      </c>
      <c r="I554" s="96" t="s">
        <v>2</v>
      </c>
      <c r="J554" s="84" t="s">
        <v>1207</v>
      </c>
      <c r="K554" s="84"/>
      <c r="L554" s="84"/>
      <c r="M554" s="307" t="s">
        <v>49</v>
      </c>
    </row>
    <row r="555" spans="1:13" ht="31.5" customHeight="1" x14ac:dyDescent="0.2">
      <c r="A555" s="81">
        <f t="shared" si="8"/>
        <v>554</v>
      </c>
      <c r="B555" s="234" t="s">
        <v>42</v>
      </c>
      <c r="C555" s="204" t="s">
        <v>1253</v>
      </c>
      <c r="D555" s="89" t="s">
        <v>1313</v>
      </c>
      <c r="E555" s="153" t="s">
        <v>1208</v>
      </c>
      <c r="F555" s="99" t="s">
        <v>48</v>
      </c>
      <c r="G555" s="82">
        <v>11</v>
      </c>
      <c r="H555" s="96" t="s">
        <v>61</v>
      </c>
      <c r="I555" s="96" t="s">
        <v>2</v>
      </c>
      <c r="J555" s="84" t="s">
        <v>1524</v>
      </c>
      <c r="K555" s="304" t="s">
        <v>2389</v>
      </c>
      <c r="L555" s="84"/>
      <c r="M555" s="307" t="s">
        <v>49</v>
      </c>
    </row>
    <row r="556" spans="1:13" ht="31.5" customHeight="1" x14ac:dyDescent="0.2">
      <c r="A556" s="81">
        <f t="shared" si="8"/>
        <v>555</v>
      </c>
      <c r="B556" s="234" t="s">
        <v>42</v>
      </c>
      <c r="C556" s="204" t="s">
        <v>1253</v>
      </c>
      <c r="D556" s="89" t="s">
        <v>1313</v>
      </c>
      <c r="E556" s="89" t="s">
        <v>1209</v>
      </c>
      <c r="F556" s="99" t="s">
        <v>48</v>
      </c>
      <c r="G556" s="82">
        <v>11</v>
      </c>
      <c r="H556" s="96" t="s">
        <v>61</v>
      </c>
      <c r="I556" s="96" t="s">
        <v>2</v>
      </c>
      <c r="J556" s="84" t="s">
        <v>1524</v>
      </c>
      <c r="K556" s="84"/>
      <c r="L556" s="84"/>
      <c r="M556" s="307" t="s">
        <v>61</v>
      </c>
    </row>
    <row r="557" spans="1:13" ht="31.5" customHeight="1" x14ac:dyDescent="0.2">
      <c r="A557" s="81">
        <f t="shared" si="8"/>
        <v>556</v>
      </c>
      <c r="B557" s="234" t="s">
        <v>42</v>
      </c>
      <c r="C557" s="204" t="s">
        <v>1254</v>
      </c>
      <c r="D557" s="89" t="s">
        <v>1312</v>
      </c>
      <c r="E557" s="153" t="s">
        <v>1210</v>
      </c>
      <c r="F557" s="99" t="s">
        <v>48</v>
      </c>
      <c r="G557" s="82">
        <v>11</v>
      </c>
      <c r="H557" s="96" t="s">
        <v>61</v>
      </c>
      <c r="I557" s="96" t="s">
        <v>2</v>
      </c>
      <c r="J557" s="84" t="s">
        <v>1525</v>
      </c>
      <c r="K557" s="84"/>
      <c r="L557" s="84"/>
      <c r="M557" s="307" t="s">
        <v>61</v>
      </c>
    </row>
    <row r="558" spans="1:13" ht="31.5" customHeight="1" x14ac:dyDescent="0.2">
      <c r="A558" s="81">
        <f t="shared" si="8"/>
        <v>557</v>
      </c>
      <c r="B558" s="234" t="s">
        <v>42</v>
      </c>
      <c r="C558" s="204" t="s">
        <v>1254</v>
      </c>
      <c r="D558" s="89" t="s">
        <v>1312</v>
      </c>
      <c r="E558" s="89" t="s">
        <v>1211</v>
      </c>
      <c r="F558" s="99" t="s">
        <v>48</v>
      </c>
      <c r="G558" s="82">
        <v>11</v>
      </c>
      <c r="H558" s="96" t="s">
        <v>61</v>
      </c>
      <c r="I558" s="96" t="s">
        <v>2</v>
      </c>
      <c r="J558" s="84" t="s">
        <v>1525</v>
      </c>
      <c r="K558" s="84"/>
      <c r="L558" s="84"/>
      <c r="M558" s="307" t="s">
        <v>61</v>
      </c>
    </row>
    <row r="559" spans="1:13" ht="31.5" hidden="1" customHeight="1" x14ac:dyDescent="0.2">
      <c r="A559" s="81">
        <f t="shared" si="8"/>
        <v>558</v>
      </c>
      <c r="B559" s="234" t="s">
        <v>625</v>
      </c>
      <c r="C559" s="204" t="s">
        <v>1255</v>
      </c>
      <c r="D559" s="235" t="s">
        <v>1279</v>
      </c>
      <c r="E559" s="153" t="s">
        <v>1212</v>
      </c>
      <c r="F559" s="99" t="s">
        <v>48</v>
      </c>
      <c r="G559" s="82">
        <v>11</v>
      </c>
      <c r="H559" s="96" t="s">
        <v>49</v>
      </c>
      <c r="I559" s="96" t="s">
        <v>2</v>
      </c>
      <c r="J559" s="84" t="s">
        <v>1306</v>
      </c>
      <c r="K559" s="237" t="s">
        <v>1323</v>
      </c>
      <c r="L559" s="84"/>
      <c r="M559" s="307" t="s">
        <v>49</v>
      </c>
    </row>
    <row r="560" spans="1:13" ht="31.5" hidden="1" customHeight="1" x14ac:dyDescent="0.2">
      <c r="A560" s="81">
        <f t="shared" si="8"/>
        <v>559</v>
      </c>
      <c r="B560" s="234" t="s">
        <v>625</v>
      </c>
      <c r="C560" s="204" t="s">
        <v>1255</v>
      </c>
      <c r="D560" s="235" t="s">
        <v>1279</v>
      </c>
      <c r="E560" s="89" t="s">
        <v>1213</v>
      </c>
      <c r="F560" s="99" t="s">
        <v>48</v>
      </c>
      <c r="G560" s="82">
        <v>11</v>
      </c>
      <c r="H560" s="96" t="s">
        <v>49</v>
      </c>
      <c r="I560" s="96" t="s">
        <v>2</v>
      </c>
      <c r="J560" s="84" t="s">
        <v>1306</v>
      </c>
      <c r="K560" s="237" t="s">
        <v>1323</v>
      </c>
      <c r="L560" s="84"/>
      <c r="M560" s="307" t="s">
        <v>49</v>
      </c>
    </row>
    <row r="561" spans="1:13" ht="31.5" hidden="1" customHeight="1" x14ac:dyDescent="0.2">
      <c r="A561" s="81">
        <v>560</v>
      </c>
      <c r="B561" s="238" t="s">
        <v>625</v>
      </c>
      <c r="C561" s="204" t="s">
        <v>1327</v>
      </c>
      <c r="D561" s="239" t="s">
        <v>1328</v>
      </c>
      <c r="E561" s="89" t="s">
        <v>1328</v>
      </c>
      <c r="F561" s="238" t="s">
        <v>48</v>
      </c>
      <c r="G561" s="82">
        <v>12</v>
      </c>
      <c r="H561" s="96" t="s">
        <v>49</v>
      </c>
      <c r="I561" s="96" t="s">
        <v>2</v>
      </c>
      <c r="J561" s="84" t="s">
        <v>1328</v>
      </c>
      <c r="K561" s="84"/>
      <c r="L561" s="84"/>
      <c r="M561" s="307" t="s">
        <v>49</v>
      </c>
    </row>
    <row r="562" spans="1:13" ht="31.5" hidden="1" customHeight="1" x14ac:dyDescent="0.2">
      <c r="A562" s="81">
        <v>561</v>
      </c>
      <c r="B562" s="240" t="s">
        <v>625</v>
      </c>
      <c r="C562" s="204" t="s">
        <v>1329</v>
      </c>
      <c r="D562" s="155" t="s">
        <v>1330</v>
      </c>
      <c r="E562" s="89" t="s">
        <v>1548</v>
      </c>
      <c r="F562" s="238" t="s">
        <v>48</v>
      </c>
      <c r="G562" s="82">
        <v>12</v>
      </c>
      <c r="H562" s="96" t="s">
        <v>49</v>
      </c>
      <c r="I562" s="96" t="s">
        <v>2</v>
      </c>
      <c r="J562" s="84" t="s">
        <v>1550</v>
      </c>
      <c r="K562" s="84"/>
      <c r="L562" s="84"/>
      <c r="M562" s="307" t="s">
        <v>49</v>
      </c>
    </row>
    <row r="563" spans="1:13" ht="31.5" hidden="1" customHeight="1" x14ac:dyDescent="0.2">
      <c r="A563" s="81">
        <v>562</v>
      </c>
      <c r="B563" s="240" t="s">
        <v>625</v>
      </c>
      <c r="C563" s="204" t="s">
        <v>1329</v>
      </c>
      <c r="D563" s="155" t="s">
        <v>1330</v>
      </c>
      <c r="E563" s="89" t="s">
        <v>1549</v>
      </c>
      <c r="F563" s="238" t="s">
        <v>48</v>
      </c>
      <c r="G563" s="82">
        <v>12</v>
      </c>
      <c r="H563" s="96" t="s">
        <v>49</v>
      </c>
      <c r="I563" s="96" t="s">
        <v>2</v>
      </c>
      <c r="J563" s="84" t="s">
        <v>1550</v>
      </c>
      <c r="K563" s="84"/>
      <c r="L563" s="84"/>
      <c r="M563" s="307" t="s">
        <v>49</v>
      </c>
    </row>
    <row r="564" spans="1:13" ht="31.5" hidden="1" customHeight="1" x14ac:dyDescent="0.2">
      <c r="A564" s="81">
        <v>563</v>
      </c>
      <c r="B564" s="240" t="s">
        <v>625</v>
      </c>
      <c r="C564" s="204" t="s">
        <v>1331</v>
      </c>
      <c r="D564" s="155" t="s">
        <v>1332</v>
      </c>
      <c r="E564" s="89" t="s">
        <v>1333</v>
      </c>
      <c r="F564" s="238" t="s">
        <v>48</v>
      </c>
      <c r="G564" s="82">
        <v>12</v>
      </c>
      <c r="H564" s="96" t="s">
        <v>49</v>
      </c>
      <c r="I564" s="96" t="s">
        <v>2</v>
      </c>
      <c r="J564" s="84" t="s">
        <v>1526</v>
      </c>
      <c r="K564" s="84"/>
      <c r="L564" s="84"/>
      <c r="M564" s="307" t="s">
        <v>49</v>
      </c>
    </row>
    <row r="565" spans="1:13" ht="31.5" hidden="1" customHeight="1" x14ac:dyDescent="0.2">
      <c r="A565" s="81">
        <v>564</v>
      </c>
      <c r="B565" s="240" t="s">
        <v>625</v>
      </c>
      <c r="C565" s="204" t="s">
        <v>1331</v>
      </c>
      <c r="D565" s="155" t="s">
        <v>1332</v>
      </c>
      <c r="E565" s="89" t="s">
        <v>1334</v>
      </c>
      <c r="F565" s="238" t="s">
        <v>48</v>
      </c>
      <c r="G565" s="82">
        <v>12</v>
      </c>
      <c r="H565" s="96" t="s">
        <v>49</v>
      </c>
      <c r="I565" s="96" t="s">
        <v>2</v>
      </c>
      <c r="J565" s="84" t="s">
        <v>1526</v>
      </c>
      <c r="K565" s="84"/>
      <c r="L565" s="84"/>
      <c r="M565" s="307" t="s">
        <v>49</v>
      </c>
    </row>
    <row r="566" spans="1:13" ht="31.5" hidden="1" customHeight="1" x14ac:dyDescent="0.2">
      <c r="A566" s="81">
        <v>565</v>
      </c>
      <c r="B566" s="240" t="s">
        <v>625</v>
      </c>
      <c r="C566" s="204" t="s">
        <v>1335</v>
      </c>
      <c r="D566" s="155" t="s">
        <v>1336</v>
      </c>
      <c r="E566" s="89" t="s">
        <v>1336</v>
      </c>
      <c r="F566" s="238" t="s">
        <v>48</v>
      </c>
      <c r="G566" s="82">
        <v>12</v>
      </c>
      <c r="H566" s="96" t="s">
        <v>49</v>
      </c>
      <c r="I566" s="96" t="s">
        <v>2</v>
      </c>
      <c r="J566" s="84" t="s">
        <v>1336</v>
      </c>
      <c r="K566" s="84"/>
      <c r="L566" s="84"/>
      <c r="M566" s="307" t="s">
        <v>49</v>
      </c>
    </row>
    <row r="567" spans="1:13" ht="31.5" hidden="1" customHeight="1" x14ac:dyDescent="0.2">
      <c r="A567" s="81">
        <v>566</v>
      </c>
      <c r="B567" s="240" t="s">
        <v>625</v>
      </c>
      <c r="C567" s="204" t="s">
        <v>1337</v>
      </c>
      <c r="D567" s="155" t="s">
        <v>1338</v>
      </c>
      <c r="E567" s="89" t="s">
        <v>1339</v>
      </c>
      <c r="F567" s="238" t="s">
        <v>48</v>
      </c>
      <c r="G567" s="82">
        <v>12</v>
      </c>
      <c r="H567" s="96" t="s">
        <v>49</v>
      </c>
      <c r="I567" s="96" t="s">
        <v>2</v>
      </c>
      <c r="J567" s="84" t="s">
        <v>1339</v>
      </c>
      <c r="K567" s="84"/>
      <c r="L567" s="84"/>
      <c r="M567" s="307" t="s">
        <v>49</v>
      </c>
    </row>
    <row r="568" spans="1:13" ht="31.5" hidden="1" customHeight="1" x14ac:dyDescent="0.2">
      <c r="A568" s="81">
        <v>567</v>
      </c>
      <c r="B568" s="240" t="s">
        <v>625</v>
      </c>
      <c r="C568" s="204" t="s">
        <v>1340</v>
      </c>
      <c r="D568" s="155" t="s">
        <v>1341</v>
      </c>
      <c r="E568" s="89" t="s">
        <v>1342</v>
      </c>
      <c r="F568" s="238" t="s">
        <v>48</v>
      </c>
      <c r="G568" s="82">
        <v>12</v>
      </c>
      <c r="H568" s="96" t="s">
        <v>49</v>
      </c>
      <c r="I568" s="96" t="s">
        <v>2</v>
      </c>
      <c r="J568" s="84" t="s">
        <v>1342</v>
      </c>
      <c r="K568" s="84"/>
      <c r="L568" s="84"/>
      <c r="M568" s="307" t="s">
        <v>49</v>
      </c>
    </row>
    <row r="569" spans="1:13" ht="31.5" hidden="1" customHeight="1" x14ac:dyDescent="0.2">
      <c r="A569" s="81">
        <v>568</v>
      </c>
      <c r="B569" s="240" t="s">
        <v>625</v>
      </c>
      <c r="C569" s="204" t="s">
        <v>1343</v>
      </c>
      <c r="D569" s="155" t="s">
        <v>1344</v>
      </c>
      <c r="E569" s="89" t="s">
        <v>1345</v>
      </c>
      <c r="F569" s="238" t="s">
        <v>48</v>
      </c>
      <c r="G569" s="82">
        <v>12</v>
      </c>
      <c r="H569" s="96" t="s">
        <v>49</v>
      </c>
      <c r="I569" s="96" t="s">
        <v>2</v>
      </c>
      <c r="J569" s="84" t="s">
        <v>1527</v>
      </c>
      <c r="K569" s="84"/>
      <c r="L569" s="84"/>
      <c r="M569" s="307" t="s">
        <v>49</v>
      </c>
    </row>
    <row r="570" spans="1:13" ht="31.5" hidden="1" customHeight="1" x14ac:dyDescent="0.2">
      <c r="A570" s="81">
        <v>569</v>
      </c>
      <c r="B570" s="240" t="s">
        <v>625</v>
      </c>
      <c r="C570" s="204" t="s">
        <v>1343</v>
      </c>
      <c r="D570" s="155" t="s">
        <v>1344</v>
      </c>
      <c r="E570" s="89" t="s">
        <v>1346</v>
      </c>
      <c r="F570" s="238" t="s">
        <v>48</v>
      </c>
      <c r="G570" s="82">
        <v>12</v>
      </c>
      <c r="H570" s="96" t="s">
        <v>49</v>
      </c>
      <c r="I570" s="96" t="s">
        <v>2</v>
      </c>
      <c r="J570" s="84" t="s">
        <v>1527</v>
      </c>
      <c r="K570" s="84"/>
      <c r="L570" s="84"/>
      <c r="M570" s="307" t="s">
        <v>49</v>
      </c>
    </row>
    <row r="571" spans="1:13" ht="31.5" hidden="1" customHeight="1" x14ac:dyDescent="0.2">
      <c r="A571" s="81">
        <v>570</v>
      </c>
      <c r="B571" s="240" t="s">
        <v>625</v>
      </c>
      <c r="C571" s="204" t="s">
        <v>1347</v>
      </c>
      <c r="D571" s="155" t="s">
        <v>1348</v>
      </c>
      <c r="E571" s="89" t="s">
        <v>1349</v>
      </c>
      <c r="F571" s="238" t="s">
        <v>48</v>
      </c>
      <c r="G571" s="82">
        <v>12</v>
      </c>
      <c r="H571" s="96" t="s">
        <v>49</v>
      </c>
      <c r="I571" s="96" t="s">
        <v>2</v>
      </c>
      <c r="J571" s="84" t="s">
        <v>1528</v>
      </c>
      <c r="K571" s="84"/>
      <c r="L571" s="84"/>
      <c r="M571" s="307" t="s">
        <v>49</v>
      </c>
    </row>
    <row r="572" spans="1:13" ht="31.5" hidden="1" customHeight="1" x14ac:dyDescent="0.2">
      <c r="A572" s="81">
        <v>571</v>
      </c>
      <c r="B572" s="240" t="s">
        <v>625</v>
      </c>
      <c r="C572" s="204" t="s">
        <v>1347</v>
      </c>
      <c r="D572" s="155" t="s">
        <v>1348</v>
      </c>
      <c r="E572" s="89" t="s">
        <v>1350</v>
      </c>
      <c r="F572" s="238" t="s">
        <v>48</v>
      </c>
      <c r="G572" s="82">
        <v>12</v>
      </c>
      <c r="H572" s="96" t="s">
        <v>49</v>
      </c>
      <c r="I572" s="96" t="s">
        <v>2</v>
      </c>
      <c r="J572" s="84" t="s">
        <v>1528</v>
      </c>
      <c r="K572" s="84"/>
      <c r="L572" s="84"/>
      <c r="M572" s="307" t="s">
        <v>49</v>
      </c>
    </row>
    <row r="573" spans="1:13" ht="31.5" customHeight="1" x14ac:dyDescent="0.2">
      <c r="A573" s="81">
        <v>572</v>
      </c>
      <c r="B573" s="240" t="s">
        <v>42</v>
      </c>
      <c r="C573" s="204" t="s">
        <v>1351</v>
      </c>
      <c r="D573" s="153" t="s">
        <v>1312</v>
      </c>
      <c r="E573" s="89" t="s">
        <v>1352</v>
      </c>
      <c r="F573" s="238" t="s">
        <v>48</v>
      </c>
      <c r="G573" s="82">
        <v>12</v>
      </c>
      <c r="H573" s="96" t="s">
        <v>61</v>
      </c>
      <c r="I573" s="96" t="s">
        <v>2</v>
      </c>
      <c r="J573" s="84" t="s">
        <v>1525</v>
      </c>
      <c r="K573" s="84"/>
      <c r="L573" s="84"/>
      <c r="M573" s="307" t="s">
        <v>61</v>
      </c>
    </row>
    <row r="574" spans="1:13" ht="31.5" customHeight="1" x14ac:dyDescent="0.2">
      <c r="A574" s="81">
        <v>573</v>
      </c>
      <c r="B574" s="240" t="s">
        <v>42</v>
      </c>
      <c r="C574" s="204" t="s">
        <v>1351</v>
      </c>
      <c r="D574" s="89" t="s">
        <v>1312</v>
      </c>
      <c r="E574" s="89" t="s">
        <v>1353</v>
      </c>
      <c r="F574" s="238" t="s">
        <v>48</v>
      </c>
      <c r="G574" s="82">
        <v>12</v>
      </c>
      <c r="H574" s="96" t="s">
        <v>61</v>
      </c>
      <c r="I574" s="96" t="s">
        <v>2</v>
      </c>
      <c r="J574" s="84" t="s">
        <v>1525</v>
      </c>
      <c r="K574" s="84"/>
      <c r="L574" s="84"/>
      <c r="M574" s="307" t="s">
        <v>61</v>
      </c>
    </row>
    <row r="575" spans="1:13" ht="31.5" customHeight="1" x14ac:dyDescent="0.2">
      <c r="A575" s="81">
        <v>574</v>
      </c>
      <c r="B575" s="240" t="s">
        <v>42</v>
      </c>
      <c r="C575" s="204" t="s">
        <v>1351</v>
      </c>
      <c r="D575" s="89" t="s">
        <v>1312</v>
      </c>
      <c r="E575" s="89" t="s">
        <v>1354</v>
      </c>
      <c r="F575" s="238" t="s">
        <v>48</v>
      </c>
      <c r="G575" s="82">
        <v>12</v>
      </c>
      <c r="H575" s="96" t="s">
        <v>61</v>
      </c>
      <c r="I575" s="96" t="s">
        <v>2</v>
      </c>
      <c r="J575" s="84" t="s">
        <v>1525</v>
      </c>
      <c r="K575" s="84"/>
      <c r="L575" s="84"/>
      <c r="M575" s="307" t="s">
        <v>61</v>
      </c>
    </row>
    <row r="576" spans="1:13" ht="31.5" customHeight="1" x14ac:dyDescent="0.2">
      <c r="A576" s="81">
        <v>575</v>
      </c>
      <c r="B576" s="240" t="s">
        <v>42</v>
      </c>
      <c r="C576" s="204" t="s">
        <v>1355</v>
      </c>
      <c r="D576" s="153" t="s">
        <v>1313</v>
      </c>
      <c r="E576" s="89" t="s">
        <v>1356</v>
      </c>
      <c r="F576" s="238" t="s">
        <v>48</v>
      </c>
      <c r="G576" s="82">
        <v>12</v>
      </c>
      <c r="H576" s="96" t="s">
        <v>61</v>
      </c>
      <c r="I576" s="96" t="s">
        <v>2</v>
      </c>
      <c r="J576" s="84" t="s">
        <v>1524</v>
      </c>
      <c r="K576" s="84"/>
      <c r="L576" s="84"/>
      <c r="M576" s="307" t="s">
        <v>61</v>
      </c>
    </row>
    <row r="577" spans="1:13" ht="31.5" customHeight="1" x14ac:dyDescent="0.2">
      <c r="A577" s="81">
        <v>576</v>
      </c>
      <c r="B577" s="240" t="s">
        <v>42</v>
      </c>
      <c r="C577" s="204" t="s">
        <v>1355</v>
      </c>
      <c r="D577" s="153" t="s">
        <v>1313</v>
      </c>
      <c r="E577" s="89" t="s">
        <v>1357</v>
      </c>
      <c r="F577" s="238" t="s">
        <v>48</v>
      </c>
      <c r="G577" s="82">
        <v>12</v>
      </c>
      <c r="H577" s="96" t="s">
        <v>61</v>
      </c>
      <c r="I577" s="96" t="s">
        <v>2</v>
      </c>
      <c r="J577" s="84" t="s">
        <v>1524</v>
      </c>
      <c r="K577" s="84"/>
      <c r="L577" s="84"/>
      <c r="M577" s="307" t="s">
        <v>61</v>
      </c>
    </row>
    <row r="578" spans="1:13" ht="31.5" customHeight="1" x14ac:dyDescent="0.2">
      <c r="A578" s="81">
        <v>577</v>
      </c>
      <c r="B578" s="240" t="s">
        <v>42</v>
      </c>
      <c r="C578" s="204" t="s">
        <v>1358</v>
      </c>
      <c r="D578" s="89" t="s">
        <v>1314</v>
      </c>
      <c r="E578" s="89" t="s">
        <v>1359</v>
      </c>
      <c r="F578" s="238" t="s">
        <v>48</v>
      </c>
      <c r="G578" s="82">
        <v>12</v>
      </c>
      <c r="H578" s="96" t="s">
        <v>61</v>
      </c>
      <c r="I578" s="96" t="s">
        <v>2</v>
      </c>
      <c r="J578" s="84" t="s">
        <v>1523</v>
      </c>
      <c r="K578" s="84"/>
      <c r="L578" s="84"/>
      <c r="M578" s="307" t="s">
        <v>61</v>
      </c>
    </row>
    <row r="579" spans="1:13" ht="31.5" customHeight="1" x14ac:dyDescent="0.2">
      <c r="A579" s="81">
        <v>578</v>
      </c>
      <c r="B579" s="240" t="s">
        <v>42</v>
      </c>
      <c r="C579" s="204" t="s">
        <v>1358</v>
      </c>
      <c r="D579" s="89" t="s">
        <v>1314</v>
      </c>
      <c r="E579" s="89" t="s">
        <v>1360</v>
      </c>
      <c r="F579" s="238" t="s">
        <v>48</v>
      </c>
      <c r="G579" s="82">
        <v>12</v>
      </c>
      <c r="H579" s="96" t="s">
        <v>61</v>
      </c>
      <c r="I579" s="96" t="s">
        <v>2</v>
      </c>
      <c r="J579" s="84" t="s">
        <v>1523</v>
      </c>
      <c r="K579" s="84"/>
      <c r="L579" s="84"/>
      <c r="M579" s="307" t="s">
        <v>61</v>
      </c>
    </row>
    <row r="580" spans="1:13" ht="31.5" hidden="1" customHeight="1" x14ac:dyDescent="0.2">
      <c r="A580" s="81">
        <v>579</v>
      </c>
      <c r="B580" s="240" t="s">
        <v>42</v>
      </c>
      <c r="C580" s="204" t="s">
        <v>1361</v>
      </c>
      <c r="D580" s="89" t="s">
        <v>1315</v>
      </c>
      <c r="E580" s="89" t="s">
        <v>1362</v>
      </c>
      <c r="F580" s="238" t="s">
        <v>48</v>
      </c>
      <c r="G580" s="82">
        <v>12</v>
      </c>
      <c r="H580" s="96" t="s">
        <v>49</v>
      </c>
      <c r="I580" s="96" t="s">
        <v>2</v>
      </c>
      <c r="J580" s="84" t="s">
        <v>1516</v>
      </c>
      <c r="K580" s="84"/>
      <c r="L580" s="84"/>
      <c r="M580" s="307" t="s">
        <v>49</v>
      </c>
    </row>
    <row r="581" spans="1:13" ht="31.5" hidden="1" customHeight="1" x14ac:dyDescent="0.2">
      <c r="A581" s="81">
        <v>580</v>
      </c>
      <c r="B581" s="240" t="s">
        <v>42</v>
      </c>
      <c r="C581" s="204" t="s">
        <v>1361</v>
      </c>
      <c r="D581" s="89" t="s">
        <v>1316</v>
      </c>
      <c r="E581" s="89" t="s">
        <v>1363</v>
      </c>
      <c r="F581" s="238" t="s">
        <v>48</v>
      </c>
      <c r="G581" s="82">
        <v>12</v>
      </c>
      <c r="H581" s="96" t="s">
        <v>49</v>
      </c>
      <c r="I581" s="96" t="s">
        <v>2</v>
      </c>
      <c r="J581" s="84" t="s">
        <v>1517</v>
      </c>
      <c r="K581" s="84"/>
      <c r="L581" s="84"/>
      <c r="M581" s="307" t="s">
        <v>49</v>
      </c>
    </row>
    <row r="582" spans="1:13" ht="31.5" hidden="1" customHeight="1" x14ac:dyDescent="0.2">
      <c r="A582" s="81">
        <v>581</v>
      </c>
      <c r="B582" s="240" t="s">
        <v>42</v>
      </c>
      <c r="C582" s="204" t="s">
        <v>1364</v>
      </c>
      <c r="D582" s="89" t="s">
        <v>1365</v>
      </c>
      <c r="E582" s="89" t="s">
        <v>1365</v>
      </c>
      <c r="F582" s="238" t="s">
        <v>48</v>
      </c>
      <c r="G582" s="82">
        <v>12</v>
      </c>
      <c r="H582" s="96" t="s">
        <v>49</v>
      </c>
      <c r="I582" s="96" t="s">
        <v>2</v>
      </c>
      <c r="J582" s="84" t="s">
        <v>1365</v>
      </c>
      <c r="K582" s="84"/>
      <c r="L582" s="84"/>
      <c r="M582" s="307" t="s">
        <v>49</v>
      </c>
    </row>
    <row r="583" spans="1:13" ht="31.5" customHeight="1" x14ac:dyDescent="0.2">
      <c r="A583" s="81">
        <v>582</v>
      </c>
      <c r="B583" s="240" t="s">
        <v>42</v>
      </c>
      <c r="C583" s="204" t="s">
        <v>1366</v>
      </c>
      <c r="D583" s="89" t="s">
        <v>1498</v>
      </c>
      <c r="E583" s="89" t="s">
        <v>1367</v>
      </c>
      <c r="F583" s="238" t="s">
        <v>48</v>
      </c>
      <c r="G583" s="82">
        <v>12</v>
      </c>
      <c r="H583" s="96" t="s">
        <v>61</v>
      </c>
      <c r="I583" s="96" t="s">
        <v>2</v>
      </c>
      <c r="J583" s="84" t="s">
        <v>1529</v>
      </c>
      <c r="K583" s="84"/>
      <c r="L583" s="84"/>
      <c r="M583" s="307" t="s">
        <v>61</v>
      </c>
    </row>
    <row r="584" spans="1:13" ht="31.5" customHeight="1" x14ac:dyDescent="0.2">
      <c r="A584" s="81">
        <v>583</v>
      </c>
      <c r="B584" s="240" t="s">
        <v>42</v>
      </c>
      <c r="C584" s="204" t="s">
        <v>1366</v>
      </c>
      <c r="D584" s="89" t="s">
        <v>1498</v>
      </c>
      <c r="E584" s="89" t="s">
        <v>1368</v>
      </c>
      <c r="F584" s="238" t="s">
        <v>48</v>
      </c>
      <c r="G584" s="82">
        <v>12</v>
      </c>
      <c r="H584" s="96" t="s">
        <v>61</v>
      </c>
      <c r="I584" s="96" t="s">
        <v>2</v>
      </c>
      <c r="J584" s="84" t="s">
        <v>1529</v>
      </c>
      <c r="K584" s="84"/>
      <c r="L584" s="84"/>
      <c r="M584" s="307" t="s">
        <v>61</v>
      </c>
    </row>
    <row r="585" spans="1:13" ht="31.5" customHeight="1" x14ac:dyDescent="0.2">
      <c r="A585" s="81">
        <v>584</v>
      </c>
      <c r="B585" s="240" t="s">
        <v>42</v>
      </c>
      <c r="C585" s="204" t="s">
        <v>1369</v>
      </c>
      <c r="D585" s="89" t="s">
        <v>1498</v>
      </c>
      <c r="E585" s="89" t="s">
        <v>1370</v>
      </c>
      <c r="F585" s="238" t="s">
        <v>48</v>
      </c>
      <c r="G585" s="82">
        <v>12</v>
      </c>
      <c r="H585" s="96" t="s">
        <v>61</v>
      </c>
      <c r="I585" s="96" t="s">
        <v>2</v>
      </c>
      <c r="J585" s="84" t="s">
        <v>1529</v>
      </c>
      <c r="K585" s="84"/>
      <c r="L585" s="84"/>
      <c r="M585" s="307" t="s">
        <v>61</v>
      </c>
    </row>
    <row r="586" spans="1:13" ht="31.5" customHeight="1" x14ac:dyDescent="0.2">
      <c r="A586" s="81">
        <v>585</v>
      </c>
      <c r="B586" s="240" t="s">
        <v>42</v>
      </c>
      <c r="C586" s="204" t="s">
        <v>1369</v>
      </c>
      <c r="D586" s="89" t="s">
        <v>1498</v>
      </c>
      <c r="E586" s="89" t="s">
        <v>1371</v>
      </c>
      <c r="F586" s="238" t="s">
        <v>48</v>
      </c>
      <c r="G586" s="82">
        <v>12</v>
      </c>
      <c r="H586" s="96" t="s">
        <v>61</v>
      </c>
      <c r="I586" s="96" t="s">
        <v>2</v>
      </c>
      <c r="J586" s="84" t="s">
        <v>1529</v>
      </c>
      <c r="K586" s="84"/>
      <c r="L586" s="84"/>
      <c r="M586" s="307" t="s">
        <v>61</v>
      </c>
    </row>
    <row r="587" spans="1:13" ht="31.5" customHeight="1" x14ac:dyDescent="0.2">
      <c r="A587" s="81">
        <v>586</v>
      </c>
      <c r="B587" s="240" t="s">
        <v>42</v>
      </c>
      <c r="C587" s="204" t="s">
        <v>1369</v>
      </c>
      <c r="D587" s="89" t="s">
        <v>1498</v>
      </c>
      <c r="E587" s="89" t="s">
        <v>1372</v>
      </c>
      <c r="F587" s="238" t="s">
        <v>48</v>
      </c>
      <c r="G587" s="82">
        <v>12</v>
      </c>
      <c r="H587" s="96" t="s">
        <v>61</v>
      </c>
      <c r="I587" s="96" t="s">
        <v>2</v>
      </c>
      <c r="J587" s="84" t="s">
        <v>1529</v>
      </c>
      <c r="K587" s="84"/>
      <c r="L587" s="84"/>
      <c r="M587" s="307" t="s">
        <v>61</v>
      </c>
    </row>
    <row r="588" spans="1:13" ht="31.5" hidden="1" customHeight="1" x14ac:dyDescent="0.2">
      <c r="A588" s="81">
        <v>587</v>
      </c>
      <c r="B588" s="240" t="s">
        <v>625</v>
      </c>
      <c r="C588" s="204" t="s">
        <v>1373</v>
      </c>
      <c r="D588" s="89" t="s">
        <v>1499</v>
      </c>
      <c r="E588" s="89" t="s">
        <v>1374</v>
      </c>
      <c r="F588" s="238" t="s">
        <v>48</v>
      </c>
      <c r="G588" s="82">
        <v>12</v>
      </c>
      <c r="H588" s="96" t="s">
        <v>49</v>
      </c>
      <c r="I588" s="96" t="s">
        <v>2</v>
      </c>
      <c r="J588" s="84" t="s">
        <v>1374</v>
      </c>
      <c r="K588" s="84"/>
      <c r="L588" s="84"/>
      <c r="M588" s="307" t="s">
        <v>49</v>
      </c>
    </row>
    <row r="589" spans="1:13" ht="31.5" hidden="1" customHeight="1" x14ac:dyDescent="0.2">
      <c r="A589" s="81">
        <v>588</v>
      </c>
      <c r="B589" s="240" t="s">
        <v>625</v>
      </c>
      <c r="C589" s="204" t="s">
        <v>1375</v>
      </c>
      <c r="D589" s="89" t="s">
        <v>1500</v>
      </c>
      <c r="E589" s="89" t="s">
        <v>1376</v>
      </c>
      <c r="F589" s="238" t="s">
        <v>48</v>
      </c>
      <c r="G589" s="82">
        <v>12</v>
      </c>
      <c r="H589" s="96" t="s">
        <v>49</v>
      </c>
      <c r="I589" s="96" t="s">
        <v>2</v>
      </c>
      <c r="J589" s="84" t="s">
        <v>1376</v>
      </c>
      <c r="K589" s="84"/>
      <c r="L589" s="84"/>
      <c r="M589" s="307" t="s">
        <v>49</v>
      </c>
    </row>
    <row r="590" spans="1:13" ht="31.5" hidden="1" customHeight="1" x14ac:dyDescent="0.2">
      <c r="A590" s="81">
        <v>589</v>
      </c>
      <c r="B590" s="240" t="s">
        <v>625</v>
      </c>
      <c r="C590" s="204" t="s">
        <v>1377</v>
      </c>
      <c r="D590" s="89" t="s">
        <v>1378</v>
      </c>
      <c r="E590" s="89" t="s">
        <v>1378</v>
      </c>
      <c r="F590" s="238" t="s">
        <v>48</v>
      </c>
      <c r="G590" s="82">
        <v>12</v>
      </c>
      <c r="H590" s="96" t="s">
        <v>49</v>
      </c>
      <c r="I590" s="96" t="s">
        <v>2</v>
      </c>
      <c r="J590" s="84" t="s">
        <v>1378</v>
      </c>
      <c r="K590" s="84"/>
      <c r="L590" s="84"/>
      <c r="M590" s="307" t="s">
        <v>49</v>
      </c>
    </row>
    <row r="591" spans="1:13" ht="31.5" hidden="1" customHeight="1" x14ac:dyDescent="0.2">
      <c r="A591" s="81">
        <v>590</v>
      </c>
      <c r="B591" s="240" t="s">
        <v>625</v>
      </c>
      <c r="C591" s="204" t="s">
        <v>1379</v>
      </c>
      <c r="D591" s="89" t="s">
        <v>1380</v>
      </c>
      <c r="E591" s="89" t="s">
        <v>1380</v>
      </c>
      <c r="F591" s="238" t="s">
        <v>48</v>
      </c>
      <c r="G591" s="82">
        <v>12</v>
      </c>
      <c r="H591" s="96" t="s">
        <v>49</v>
      </c>
      <c r="I591" s="96" t="s">
        <v>2</v>
      </c>
      <c r="J591" s="84" t="s">
        <v>1380</v>
      </c>
      <c r="K591" s="84"/>
      <c r="L591" s="84"/>
      <c r="M591" s="307" t="s">
        <v>49</v>
      </c>
    </row>
    <row r="592" spans="1:13" ht="31.5" hidden="1" customHeight="1" x14ac:dyDescent="0.2">
      <c r="A592" s="81">
        <v>591</v>
      </c>
      <c r="B592" s="240" t="s">
        <v>625</v>
      </c>
      <c r="C592" s="204" t="s">
        <v>1381</v>
      </c>
      <c r="D592" s="89" t="s">
        <v>1501</v>
      </c>
      <c r="E592" s="89" t="s">
        <v>1382</v>
      </c>
      <c r="F592" s="238" t="s">
        <v>48</v>
      </c>
      <c r="G592" s="82">
        <v>12</v>
      </c>
      <c r="H592" s="96" t="s">
        <v>49</v>
      </c>
      <c r="I592" s="96" t="s">
        <v>2</v>
      </c>
      <c r="J592" s="84" t="s">
        <v>1530</v>
      </c>
      <c r="K592" s="84"/>
      <c r="L592" s="84"/>
      <c r="M592" s="307" t="s">
        <v>49</v>
      </c>
    </row>
    <row r="593" spans="1:13" ht="31.5" hidden="1" customHeight="1" x14ac:dyDescent="0.2">
      <c r="A593" s="81">
        <v>592</v>
      </c>
      <c r="B593" s="240" t="s">
        <v>625</v>
      </c>
      <c r="C593" s="204" t="s">
        <v>1381</v>
      </c>
      <c r="D593" s="89" t="s">
        <v>1501</v>
      </c>
      <c r="E593" s="89" t="s">
        <v>1383</v>
      </c>
      <c r="F593" s="238" t="s">
        <v>48</v>
      </c>
      <c r="G593" s="82">
        <v>12</v>
      </c>
      <c r="H593" s="96" t="s">
        <v>49</v>
      </c>
      <c r="I593" s="96" t="s">
        <v>2</v>
      </c>
      <c r="J593" s="84" t="s">
        <v>1530</v>
      </c>
      <c r="K593" s="84"/>
      <c r="L593" s="84"/>
      <c r="M593" s="307" t="s">
        <v>49</v>
      </c>
    </row>
    <row r="594" spans="1:13" ht="31.5" hidden="1" customHeight="1" x14ac:dyDescent="0.2">
      <c r="A594" s="81">
        <v>593</v>
      </c>
      <c r="B594" s="240" t="s">
        <v>625</v>
      </c>
      <c r="C594" s="204" t="s">
        <v>1381</v>
      </c>
      <c r="D594" s="89" t="s">
        <v>1501</v>
      </c>
      <c r="E594" s="89" t="s">
        <v>1384</v>
      </c>
      <c r="F594" s="238" t="s">
        <v>48</v>
      </c>
      <c r="G594" s="82">
        <v>12</v>
      </c>
      <c r="H594" s="96" t="s">
        <v>49</v>
      </c>
      <c r="I594" s="96" t="s">
        <v>2</v>
      </c>
      <c r="J594" s="84" t="s">
        <v>1530</v>
      </c>
      <c r="K594" s="84"/>
      <c r="L594" s="84"/>
      <c r="M594" s="307" t="s">
        <v>49</v>
      </c>
    </row>
    <row r="595" spans="1:13" ht="31.5" hidden="1" customHeight="1" x14ac:dyDescent="0.2">
      <c r="A595" s="81">
        <v>594</v>
      </c>
      <c r="B595" s="240" t="s">
        <v>625</v>
      </c>
      <c r="C595" s="204" t="s">
        <v>1385</v>
      </c>
      <c r="D595" s="89" t="s">
        <v>1502</v>
      </c>
      <c r="E595" s="89" t="s">
        <v>1386</v>
      </c>
      <c r="F595" s="238" t="s">
        <v>48</v>
      </c>
      <c r="G595" s="82">
        <v>12</v>
      </c>
      <c r="H595" s="96" t="s">
        <v>49</v>
      </c>
      <c r="I595" s="96" t="s">
        <v>2</v>
      </c>
      <c r="J595" s="84" t="s">
        <v>1531</v>
      </c>
      <c r="K595" s="84"/>
      <c r="L595" s="84"/>
      <c r="M595" s="307" t="s">
        <v>49</v>
      </c>
    </row>
    <row r="596" spans="1:13" ht="31.5" hidden="1" customHeight="1" x14ac:dyDescent="0.2">
      <c r="A596" s="81">
        <v>595</v>
      </c>
      <c r="B596" s="240" t="s">
        <v>625</v>
      </c>
      <c r="C596" s="204" t="s">
        <v>1385</v>
      </c>
      <c r="D596" s="89" t="s">
        <v>1502</v>
      </c>
      <c r="E596" s="89" t="s">
        <v>1387</v>
      </c>
      <c r="F596" s="238" t="s">
        <v>48</v>
      </c>
      <c r="G596" s="82">
        <v>12</v>
      </c>
      <c r="H596" s="96" t="s">
        <v>49</v>
      </c>
      <c r="I596" s="96" t="s">
        <v>2</v>
      </c>
      <c r="J596" s="84" t="s">
        <v>1531</v>
      </c>
      <c r="K596" s="84"/>
      <c r="L596" s="84"/>
      <c r="M596" s="307" t="s">
        <v>49</v>
      </c>
    </row>
    <row r="597" spans="1:13" ht="31.5" hidden="1" customHeight="1" x14ac:dyDescent="0.2">
      <c r="A597" s="81">
        <v>596</v>
      </c>
      <c r="B597" s="240" t="s">
        <v>625</v>
      </c>
      <c r="C597" s="204" t="s">
        <v>1388</v>
      </c>
      <c r="D597" s="89" t="s">
        <v>1503</v>
      </c>
      <c r="E597" s="153" t="s">
        <v>1389</v>
      </c>
      <c r="F597" s="238" t="s">
        <v>48</v>
      </c>
      <c r="G597" s="82">
        <v>12</v>
      </c>
      <c r="H597" s="96" t="s">
        <v>49</v>
      </c>
      <c r="I597" s="96" t="s">
        <v>2</v>
      </c>
      <c r="J597" s="84" t="s">
        <v>1389</v>
      </c>
      <c r="K597" s="84"/>
      <c r="L597" s="84"/>
      <c r="M597" s="307" t="s">
        <v>49</v>
      </c>
    </row>
    <row r="598" spans="1:13" ht="31.5" hidden="1" customHeight="1" x14ac:dyDescent="0.2">
      <c r="A598" s="81">
        <v>597</v>
      </c>
      <c r="B598" s="240" t="s">
        <v>625</v>
      </c>
      <c r="C598" s="204" t="s">
        <v>1390</v>
      </c>
      <c r="D598" s="89" t="s">
        <v>1504</v>
      </c>
      <c r="E598" s="89" t="s">
        <v>1391</v>
      </c>
      <c r="F598" s="238" t="s">
        <v>48</v>
      </c>
      <c r="G598" s="82">
        <v>12</v>
      </c>
      <c r="H598" s="96" t="s">
        <v>49</v>
      </c>
      <c r="I598" s="96" t="s">
        <v>2</v>
      </c>
      <c r="J598" s="84" t="s">
        <v>1532</v>
      </c>
      <c r="K598" s="84"/>
      <c r="L598" s="84"/>
      <c r="M598" s="307" t="s">
        <v>49</v>
      </c>
    </row>
    <row r="599" spans="1:13" ht="31.5" hidden="1" customHeight="1" x14ac:dyDescent="0.2">
      <c r="A599" s="81">
        <v>598</v>
      </c>
      <c r="B599" s="240" t="s">
        <v>625</v>
      </c>
      <c r="C599" s="204" t="s">
        <v>1390</v>
      </c>
      <c r="D599" s="89" t="s">
        <v>1504</v>
      </c>
      <c r="E599" s="89" t="s">
        <v>1392</v>
      </c>
      <c r="F599" s="238" t="s">
        <v>48</v>
      </c>
      <c r="G599" s="82">
        <v>12</v>
      </c>
      <c r="H599" s="96" t="s">
        <v>49</v>
      </c>
      <c r="I599" s="96" t="s">
        <v>2</v>
      </c>
      <c r="J599" s="84" t="s">
        <v>1532</v>
      </c>
      <c r="K599" s="84"/>
      <c r="L599" s="84"/>
      <c r="M599" s="307" t="s">
        <v>49</v>
      </c>
    </row>
    <row r="600" spans="1:13" ht="31.5" hidden="1" customHeight="1" x14ac:dyDescent="0.2">
      <c r="A600" s="81">
        <v>599</v>
      </c>
      <c r="B600" s="240" t="s">
        <v>625</v>
      </c>
      <c r="C600" s="204" t="s">
        <v>1393</v>
      </c>
      <c r="D600" s="89" t="s">
        <v>1394</v>
      </c>
      <c r="E600" s="89" t="s">
        <v>1394</v>
      </c>
      <c r="F600" s="238" t="s">
        <v>48</v>
      </c>
      <c r="G600" s="82">
        <v>12</v>
      </c>
      <c r="H600" s="96" t="s">
        <v>49</v>
      </c>
      <c r="I600" s="96" t="s">
        <v>2</v>
      </c>
      <c r="J600" s="84" t="s">
        <v>1394</v>
      </c>
      <c r="K600" s="84"/>
      <c r="L600" s="84"/>
      <c r="M600" s="307" t="s">
        <v>49</v>
      </c>
    </row>
    <row r="601" spans="1:13" ht="31.5" hidden="1" customHeight="1" x14ac:dyDescent="0.2">
      <c r="A601" s="81">
        <v>600</v>
      </c>
      <c r="B601" s="240" t="s">
        <v>625</v>
      </c>
      <c r="C601" s="204" t="s">
        <v>1395</v>
      </c>
      <c r="D601" s="89" t="s">
        <v>1505</v>
      </c>
      <c r="E601" s="153" t="s">
        <v>1396</v>
      </c>
      <c r="F601" s="238" t="s">
        <v>48</v>
      </c>
      <c r="G601" s="82">
        <v>12</v>
      </c>
      <c r="H601" s="96" t="s">
        <v>49</v>
      </c>
      <c r="I601" s="96" t="s">
        <v>2</v>
      </c>
      <c r="J601" s="84" t="s">
        <v>1396</v>
      </c>
      <c r="K601" s="84"/>
      <c r="L601" s="84"/>
      <c r="M601" s="307" t="s">
        <v>49</v>
      </c>
    </row>
    <row r="602" spans="1:13" ht="31.5" hidden="1" customHeight="1" x14ac:dyDescent="0.2">
      <c r="A602" s="81">
        <v>601</v>
      </c>
      <c r="B602" s="240" t="s">
        <v>625</v>
      </c>
      <c r="C602" s="204" t="s">
        <v>1397</v>
      </c>
      <c r="D602" s="89" t="s">
        <v>1398</v>
      </c>
      <c r="E602" s="89" t="s">
        <v>1398</v>
      </c>
      <c r="F602" s="238" t="s">
        <v>48</v>
      </c>
      <c r="G602" s="82">
        <v>12</v>
      </c>
      <c r="H602" s="96" t="s">
        <v>49</v>
      </c>
      <c r="I602" s="96" t="s">
        <v>2</v>
      </c>
      <c r="J602" s="84" t="s">
        <v>1398</v>
      </c>
      <c r="K602" s="84"/>
      <c r="L602" s="84"/>
      <c r="M602" s="307" t="s">
        <v>49</v>
      </c>
    </row>
    <row r="603" spans="1:13" ht="31.5" hidden="1" customHeight="1" x14ac:dyDescent="0.2">
      <c r="A603" s="81">
        <v>602</v>
      </c>
      <c r="B603" s="240" t="s">
        <v>625</v>
      </c>
      <c r="C603" s="204" t="s">
        <v>1399</v>
      </c>
      <c r="D603" s="89" t="s">
        <v>1506</v>
      </c>
      <c r="E603" s="89" t="s">
        <v>1400</v>
      </c>
      <c r="F603" s="238" t="s">
        <v>48</v>
      </c>
      <c r="G603" s="82">
        <v>12</v>
      </c>
      <c r="H603" s="96" t="s">
        <v>49</v>
      </c>
      <c r="I603" s="96" t="s">
        <v>2</v>
      </c>
      <c r="J603" s="84" t="s">
        <v>1533</v>
      </c>
      <c r="K603" s="84"/>
      <c r="L603" s="84"/>
      <c r="M603" s="307" t="s">
        <v>49</v>
      </c>
    </row>
    <row r="604" spans="1:13" ht="31.5" hidden="1" customHeight="1" x14ac:dyDescent="0.2">
      <c r="A604" s="81">
        <v>603</v>
      </c>
      <c r="B604" s="240" t="s">
        <v>625</v>
      </c>
      <c r="C604" s="204" t="s">
        <v>1399</v>
      </c>
      <c r="D604" s="89" t="s">
        <v>1506</v>
      </c>
      <c r="E604" s="89" t="s">
        <v>1401</v>
      </c>
      <c r="F604" s="238" t="s">
        <v>48</v>
      </c>
      <c r="G604" s="82">
        <v>12</v>
      </c>
      <c r="H604" s="96" t="s">
        <v>49</v>
      </c>
      <c r="I604" s="96" t="s">
        <v>2</v>
      </c>
      <c r="J604" s="84" t="s">
        <v>1533</v>
      </c>
      <c r="K604" s="84"/>
      <c r="L604" s="84"/>
      <c r="M604" s="307" t="s">
        <v>49</v>
      </c>
    </row>
    <row r="605" spans="1:13" ht="31.5" hidden="1" customHeight="1" x14ac:dyDescent="0.2">
      <c r="A605" s="81">
        <v>604</v>
      </c>
      <c r="B605" s="240" t="s">
        <v>625</v>
      </c>
      <c r="C605" s="204" t="s">
        <v>1399</v>
      </c>
      <c r="D605" s="89" t="s">
        <v>1506</v>
      </c>
      <c r="E605" s="89" t="s">
        <v>1402</v>
      </c>
      <c r="F605" s="238" t="s">
        <v>48</v>
      </c>
      <c r="G605" s="82">
        <v>12</v>
      </c>
      <c r="H605" s="96" t="s">
        <v>49</v>
      </c>
      <c r="I605" s="96" t="s">
        <v>2</v>
      </c>
      <c r="J605" s="84" t="s">
        <v>1533</v>
      </c>
      <c r="K605" s="84"/>
      <c r="L605" s="84"/>
      <c r="M605" s="307" t="s">
        <v>49</v>
      </c>
    </row>
    <row r="606" spans="1:13" ht="31.5" hidden="1" customHeight="1" x14ac:dyDescent="0.2">
      <c r="A606" s="81">
        <v>605</v>
      </c>
      <c r="B606" s="240" t="s">
        <v>625</v>
      </c>
      <c r="C606" s="204" t="s">
        <v>1403</v>
      </c>
      <c r="D606" s="89" t="s">
        <v>1507</v>
      </c>
      <c r="E606" s="89" t="s">
        <v>1404</v>
      </c>
      <c r="F606" s="238" t="s">
        <v>48</v>
      </c>
      <c r="G606" s="82">
        <v>12</v>
      </c>
      <c r="H606" s="96" t="s">
        <v>49</v>
      </c>
      <c r="I606" s="96" t="s">
        <v>2</v>
      </c>
      <c r="J606" s="84" t="s">
        <v>1534</v>
      </c>
      <c r="K606" s="84"/>
      <c r="L606" s="84"/>
      <c r="M606" s="307" t="s">
        <v>49</v>
      </c>
    </row>
    <row r="607" spans="1:13" ht="31.5" hidden="1" customHeight="1" x14ac:dyDescent="0.2">
      <c r="A607" s="81">
        <v>606</v>
      </c>
      <c r="B607" s="240" t="s">
        <v>625</v>
      </c>
      <c r="C607" s="204" t="s">
        <v>1403</v>
      </c>
      <c r="D607" s="89" t="s">
        <v>1507</v>
      </c>
      <c r="E607" s="89" t="s">
        <v>1405</v>
      </c>
      <c r="F607" s="238" t="s">
        <v>48</v>
      </c>
      <c r="G607" s="82">
        <v>12</v>
      </c>
      <c r="H607" s="96" t="s">
        <v>49</v>
      </c>
      <c r="I607" s="96" t="s">
        <v>2</v>
      </c>
      <c r="J607" s="84" t="s">
        <v>1534</v>
      </c>
      <c r="K607" s="84"/>
      <c r="L607" s="84"/>
      <c r="M607" s="307" t="s">
        <v>49</v>
      </c>
    </row>
    <row r="608" spans="1:13" ht="31.5" hidden="1" customHeight="1" x14ac:dyDescent="0.2">
      <c r="A608" s="81">
        <v>607</v>
      </c>
      <c r="B608" s="240" t="s">
        <v>625</v>
      </c>
      <c r="C608" s="204" t="s">
        <v>1403</v>
      </c>
      <c r="D608" s="89" t="s">
        <v>1507</v>
      </c>
      <c r="E608" s="89" t="s">
        <v>1406</v>
      </c>
      <c r="F608" s="238" t="s">
        <v>48</v>
      </c>
      <c r="G608" s="82">
        <v>12</v>
      </c>
      <c r="H608" s="96" t="s">
        <v>49</v>
      </c>
      <c r="I608" s="96" t="s">
        <v>2</v>
      </c>
      <c r="J608" s="84" t="s">
        <v>1534</v>
      </c>
      <c r="K608" s="84"/>
      <c r="L608" s="84"/>
      <c r="M608" s="307" t="s">
        <v>49</v>
      </c>
    </row>
    <row r="609" spans="1:13" ht="31.5" hidden="1" customHeight="1" x14ac:dyDescent="0.2">
      <c r="A609" s="81">
        <v>608</v>
      </c>
      <c r="B609" s="240" t="s">
        <v>625</v>
      </c>
      <c r="C609" s="204" t="s">
        <v>1403</v>
      </c>
      <c r="D609" s="89" t="s">
        <v>1507</v>
      </c>
      <c r="E609" s="89" t="s">
        <v>1407</v>
      </c>
      <c r="F609" s="238" t="s">
        <v>48</v>
      </c>
      <c r="G609" s="82">
        <v>12</v>
      </c>
      <c r="H609" s="96" t="s">
        <v>49</v>
      </c>
      <c r="I609" s="96" t="s">
        <v>2</v>
      </c>
      <c r="J609" s="84" t="s">
        <v>1534</v>
      </c>
      <c r="K609" s="84"/>
      <c r="L609" s="84"/>
      <c r="M609" s="307" t="s">
        <v>49</v>
      </c>
    </row>
    <row r="610" spans="1:13" ht="31.5" hidden="1" customHeight="1" x14ac:dyDescent="0.2">
      <c r="A610" s="81">
        <v>609</v>
      </c>
      <c r="B610" s="240" t="s">
        <v>625</v>
      </c>
      <c r="C610" s="204" t="s">
        <v>1408</v>
      </c>
      <c r="D610" s="153" t="s">
        <v>1409</v>
      </c>
      <c r="E610" s="153" t="s">
        <v>1409</v>
      </c>
      <c r="F610" s="238" t="s">
        <v>48</v>
      </c>
      <c r="G610" s="82">
        <v>12</v>
      </c>
      <c r="H610" s="96" t="s">
        <v>49</v>
      </c>
      <c r="I610" s="96" t="s">
        <v>2</v>
      </c>
      <c r="J610" s="84" t="s">
        <v>1409</v>
      </c>
      <c r="K610" s="84"/>
      <c r="L610" s="84"/>
      <c r="M610" s="307" t="s">
        <v>49</v>
      </c>
    </row>
    <row r="611" spans="1:13" ht="31.5" hidden="1" customHeight="1" x14ac:dyDescent="0.2">
      <c r="A611" s="81">
        <v>610</v>
      </c>
      <c r="B611" s="240" t="s">
        <v>625</v>
      </c>
      <c r="C611" s="204" t="s">
        <v>1410</v>
      </c>
      <c r="D611" s="212" t="s">
        <v>1707</v>
      </c>
      <c r="E611" s="89" t="s">
        <v>1411</v>
      </c>
      <c r="F611" s="238" t="s">
        <v>48</v>
      </c>
      <c r="G611" s="82">
        <v>12</v>
      </c>
      <c r="H611" s="96" t="s">
        <v>49</v>
      </c>
      <c r="I611" s="96" t="s">
        <v>2</v>
      </c>
      <c r="J611" s="84" t="s">
        <v>1708</v>
      </c>
      <c r="K611" s="84"/>
      <c r="L611" s="84"/>
      <c r="M611" s="307" t="s">
        <v>49</v>
      </c>
    </row>
    <row r="612" spans="1:13" ht="31.5" hidden="1" customHeight="1" x14ac:dyDescent="0.2">
      <c r="A612" s="81">
        <v>611</v>
      </c>
      <c r="B612" s="240" t="s">
        <v>625</v>
      </c>
      <c r="C612" s="204" t="s">
        <v>1412</v>
      </c>
      <c r="D612" s="89" t="s">
        <v>1413</v>
      </c>
      <c r="E612" s="89" t="s">
        <v>1414</v>
      </c>
      <c r="F612" s="238" t="s">
        <v>48</v>
      </c>
      <c r="G612" s="82">
        <v>12</v>
      </c>
      <c r="H612" s="96" t="s">
        <v>49</v>
      </c>
      <c r="I612" s="96" t="s">
        <v>2</v>
      </c>
      <c r="J612" s="84" t="s">
        <v>1414</v>
      </c>
      <c r="K612" s="84"/>
      <c r="L612" s="84"/>
      <c r="M612" s="307" t="s">
        <v>49</v>
      </c>
    </row>
    <row r="613" spans="1:13" ht="31.5" hidden="1" customHeight="1" x14ac:dyDescent="0.2">
      <c r="A613" s="81">
        <v>612</v>
      </c>
      <c r="B613" s="240" t="s">
        <v>625</v>
      </c>
      <c r="C613" s="204" t="s">
        <v>1415</v>
      </c>
      <c r="D613" s="89" t="s">
        <v>1416</v>
      </c>
      <c r="E613" s="89" t="s">
        <v>1416</v>
      </c>
      <c r="F613" s="238" t="s">
        <v>48</v>
      </c>
      <c r="G613" s="82">
        <v>12</v>
      </c>
      <c r="H613" s="96" t="s">
        <v>49</v>
      </c>
      <c r="I613" s="96" t="s">
        <v>2</v>
      </c>
      <c r="J613" s="84" t="s">
        <v>1416</v>
      </c>
      <c r="K613" s="84"/>
      <c r="L613" s="84"/>
      <c r="M613" s="307" t="s">
        <v>49</v>
      </c>
    </row>
    <row r="614" spans="1:13" ht="31.5" hidden="1" customHeight="1" x14ac:dyDescent="0.2">
      <c r="A614" s="81">
        <v>613</v>
      </c>
      <c r="B614" s="240" t="s">
        <v>625</v>
      </c>
      <c r="C614" s="204" t="s">
        <v>1417</v>
      </c>
      <c r="D614" s="89" t="s">
        <v>1418</v>
      </c>
      <c r="E614" s="89" t="s">
        <v>1419</v>
      </c>
      <c r="F614" s="238" t="s">
        <v>48</v>
      </c>
      <c r="G614" s="82">
        <v>12</v>
      </c>
      <c r="H614" s="96" t="s">
        <v>49</v>
      </c>
      <c r="I614" s="96" t="s">
        <v>2</v>
      </c>
      <c r="J614" s="84" t="s">
        <v>1535</v>
      </c>
      <c r="K614" s="84"/>
      <c r="L614" s="84"/>
      <c r="M614" s="307" t="s">
        <v>49</v>
      </c>
    </row>
    <row r="615" spans="1:13" ht="31.5" hidden="1" customHeight="1" x14ac:dyDescent="0.2">
      <c r="A615" s="81">
        <v>614</v>
      </c>
      <c r="B615" s="240" t="s">
        <v>625</v>
      </c>
      <c r="C615" s="204" t="s">
        <v>1417</v>
      </c>
      <c r="D615" s="89" t="s">
        <v>1418</v>
      </c>
      <c r="E615" s="89" t="s">
        <v>1420</v>
      </c>
      <c r="F615" s="238" t="s">
        <v>48</v>
      </c>
      <c r="G615" s="82">
        <v>12</v>
      </c>
      <c r="H615" s="96" t="s">
        <v>49</v>
      </c>
      <c r="I615" s="96" t="s">
        <v>2</v>
      </c>
      <c r="J615" s="84" t="s">
        <v>1535</v>
      </c>
      <c r="K615" s="84"/>
      <c r="L615" s="84"/>
      <c r="M615" s="307" t="s">
        <v>49</v>
      </c>
    </row>
    <row r="616" spans="1:13" ht="31.5" hidden="1" customHeight="1" x14ac:dyDescent="0.2">
      <c r="A616" s="81">
        <v>615</v>
      </c>
      <c r="B616" s="240" t="s">
        <v>625</v>
      </c>
      <c r="C616" s="204" t="s">
        <v>1421</v>
      </c>
      <c r="D616" s="89" t="s">
        <v>1422</v>
      </c>
      <c r="E616" s="89" t="s">
        <v>1422</v>
      </c>
      <c r="F616" s="238" t="s">
        <v>48</v>
      </c>
      <c r="G616" s="82">
        <v>12</v>
      </c>
      <c r="H616" s="96" t="s">
        <v>49</v>
      </c>
      <c r="I616" s="96" t="s">
        <v>2</v>
      </c>
      <c r="J616" s="84" t="s">
        <v>1422</v>
      </c>
      <c r="K616" s="84"/>
      <c r="L616" s="84"/>
      <c r="M616" s="307" t="s">
        <v>49</v>
      </c>
    </row>
    <row r="617" spans="1:13" ht="31.5" hidden="1" customHeight="1" x14ac:dyDescent="0.2">
      <c r="A617" s="81">
        <v>616</v>
      </c>
      <c r="B617" s="240" t="s">
        <v>625</v>
      </c>
      <c r="C617" s="204" t="s">
        <v>1423</v>
      </c>
      <c r="D617" s="89" t="s">
        <v>1424</v>
      </c>
      <c r="E617" s="89" t="s">
        <v>1424</v>
      </c>
      <c r="F617" s="238" t="s">
        <v>48</v>
      </c>
      <c r="G617" s="82">
        <v>12</v>
      </c>
      <c r="H617" s="96" t="s">
        <v>49</v>
      </c>
      <c r="I617" s="96" t="s">
        <v>2</v>
      </c>
      <c r="J617" s="84" t="s">
        <v>1424</v>
      </c>
      <c r="K617" s="84"/>
      <c r="L617" s="84"/>
      <c r="M617" s="307" t="s">
        <v>49</v>
      </c>
    </row>
    <row r="618" spans="1:13" ht="31.5" hidden="1" customHeight="1" x14ac:dyDescent="0.2">
      <c r="A618" s="81">
        <v>617</v>
      </c>
      <c r="B618" s="240" t="s">
        <v>625</v>
      </c>
      <c r="C618" s="204" t="s">
        <v>1425</v>
      </c>
      <c r="D618" s="89" t="s">
        <v>1426</v>
      </c>
      <c r="E618" s="89" t="s">
        <v>1427</v>
      </c>
      <c r="F618" s="238" t="s">
        <v>48</v>
      </c>
      <c r="G618" s="82">
        <v>12</v>
      </c>
      <c r="H618" s="96" t="s">
        <v>49</v>
      </c>
      <c r="I618" s="96" t="s">
        <v>2</v>
      </c>
      <c r="J618" s="84" t="s">
        <v>1536</v>
      </c>
      <c r="K618" s="84"/>
      <c r="L618" s="84"/>
      <c r="M618" s="307" t="s">
        <v>49</v>
      </c>
    </row>
    <row r="619" spans="1:13" ht="31.5" hidden="1" customHeight="1" x14ac:dyDescent="0.2">
      <c r="A619" s="81">
        <v>618</v>
      </c>
      <c r="B619" s="240" t="s">
        <v>625</v>
      </c>
      <c r="C619" s="204" t="s">
        <v>1425</v>
      </c>
      <c r="D619" s="89" t="s">
        <v>1426</v>
      </c>
      <c r="E619" s="89" t="s">
        <v>1428</v>
      </c>
      <c r="F619" s="238" t="s">
        <v>48</v>
      </c>
      <c r="G619" s="82">
        <v>12</v>
      </c>
      <c r="H619" s="96" t="s">
        <v>49</v>
      </c>
      <c r="I619" s="96" t="s">
        <v>2</v>
      </c>
      <c r="J619" s="84" t="s">
        <v>1536</v>
      </c>
      <c r="K619" s="84"/>
      <c r="L619" s="84"/>
      <c r="M619" s="307" t="s">
        <v>49</v>
      </c>
    </row>
    <row r="620" spans="1:13" ht="31.5" hidden="1" customHeight="1" x14ac:dyDescent="0.2">
      <c r="A620" s="81">
        <v>619</v>
      </c>
      <c r="B620" s="240" t="s">
        <v>625</v>
      </c>
      <c r="C620" s="204" t="s">
        <v>1429</v>
      </c>
      <c r="D620" s="89" t="s">
        <v>1430</v>
      </c>
      <c r="E620" s="89" t="s">
        <v>1430</v>
      </c>
      <c r="F620" s="238" t="s">
        <v>48</v>
      </c>
      <c r="G620" s="82">
        <v>12</v>
      </c>
      <c r="H620" s="96" t="s">
        <v>49</v>
      </c>
      <c r="I620" s="96" t="s">
        <v>2</v>
      </c>
      <c r="J620" s="84" t="s">
        <v>1430</v>
      </c>
      <c r="K620" s="84"/>
      <c r="L620" s="84"/>
      <c r="M620" s="307" t="s">
        <v>49</v>
      </c>
    </row>
    <row r="621" spans="1:13" ht="31.5" hidden="1" customHeight="1" x14ac:dyDescent="0.2">
      <c r="A621" s="81">
        <v>620</v>
      </c>
      <c r="B621" s="240" t="s">
        <v>625</v>
      </c>
      <c r="C621" s="204" t="s">
        <v>1431</v>
      </c>
      <c r="D621" s="89" t="s">
        <v>1432</v>
      </c>
      <c r="E621" s="89" t="s">
        <v>1433</v>
      </c>
      <c r="F621" s="238" t="s">
        <v>48</v>
      </c>
      <c r="G621" s="82">
        <v>12</v>
      </c>
      <c r="H621" s="96" t="s">
        <v>49</v>
      </c>
      <c r="I621" s="96" t="s">
        <v>2</v>
      </c>
      <c r="J621" s="84" t="s">
        <v>1537</v>
      </c>
      <c r="K621" s="84"/>
      <c r="L621" s="84"/>
      <c r="M621" s="307" t="s">
        <v>49</v>
      </c>
    </row>
    <row r="622" spans="1:13" ht="31.5" hidden="1" customHeight="1" x14ac:dyDescent="0.2">
      <c r="A622" s="81">
        <v>621</v>
      </c>
      <c r="B622" s="240" t="s">
        <v>625</v>
      </c>
      <c r="C622" s="204" t="s">
        <v>1431</v>
      </c>
      <c r="D622" s="89" t="s">
        <v>1432</v>
      </c>
      <c r="E622" s="89" t="s">
        <v>1434</v>
      </c>
      <c r="F622" s="238" t="s">
        <v>48</v>
      </c>
      <c r="G622" s="82">
        <v>12</v>
      </c>
      <c r="H622" s="96" t="s">
        <v>49</v>
      </c>
      <c r="I622" s="96" t="s">
        <v>2</v>
      </c>
      <c r="J622" s="84" t="s">
        <v>1537</v>
      </c>
      <c r="K622" s="84"/>
      <c r="L622" s="84"/>
      <c r="M622" s="307" t="s">
        <v>49</v>
      </c>
    </row>
    <row r="623" spans="1:13" ht="31.5" hidden="1" customHeight="1" x14ac:dyDescent="0.2">
      <c r="A623" s="81">
        <v>622</v>
      </c>
      <c r="B623" s="240" t="s">
        <v>625</v>
      </c>
      <c r="C623" s="204" t="s">
        <v>1431</v>
      </c>
      <c r="D623" s="89" t="s">
        <v>1432</v>
      </c>
      <c r="E623" s="89" t="s">
        <v>1435</v>
      </c>
      <c r="F623" s="238" t="s">
        <v>48</v>
      </c>
      <c r="G623" s="82">
        <v>12</v>
      </c>
      <c r="H623" s="96" t="s">
        <v>49</v>
      </c>
      <c r="I623" s="96" t="s">
        <v>2</v>
      </c>
      <c r="J623" s="84" t="s">
        <v>1537</v>
      </c>
      <c r="K623" s="84"/>
      <c r="L623" s="84"/>
      <c r="M623" s="307" t="s">
        <v>49</v>
      </c>
    </row>
    <row r="624" spans="1:13" ht="31.5" hidden="1" customHeight="1" x14ac:dyDescent="0.2">
      <c r="A624" s="81">
        <v>623</v>
      </c>
      <c r="B624" s="240" t="s">
        <v>625</v>
      </c>
      <c r="C624" s="204" t="s">
        <v>1431</v>
      </c>
      <c r="D624" s="89" t="s">
        <v>1432</v>
      </c>
      <c r="E624" s="89" t="s">
        <v>1436</v>
      </c>
      <c r="F624" s="238" t="s">
        <v>48</v>
      </c>
      <c r="G624" s="82">
        <v>12</v>
      </c>
      <c r="H624" s="96" t="s">
        <v>49</v>
      </c>
      <c r="I624" s="96" t="s">
        <v>2</v>
      </c>
      <c r="J624" s="84" t="s">
        <v>1537</v>
      </c>
      <c r="K624" s="84"/>
      <c r="L624" s="84"/>
      <c r="M624" s="307" t="s">
        <v>49</v>
      </c>
    </row>
    <row r="625" spans="1:13" ht="31.5" hidden="1" customHeight="1" x14ac:dyDescent="0.2">
      <c r="A625" s="81">
        <v>624</v>
      </c>
      <c r="B625" s="240" t="s">
        <v>143</v>
      </c>
      <c r="C625" s="204" t="s">
        <v>1437</v>
      </c>
      <c r="D625" s="89" t="s">
        <v>1310</v>
      </c>
      <c r="E625" s="89" t="s">
        <v>1438</v>
      </c>
      <c r="F625" s="238" t="s">
        <v>48</v>
      </c>
      <c r="G625" s="82">
        <v>12</v>
      </c>
      <c r="H625" s="96" t="s">
        <v>49</v>
      </c>
      <c r="I625" s="96" t="s">
        <v>2</v>
      </c>
      <c r="J625" s="84" t="s">
        <v>1515</v>
      </c>
      <c r="K625" s="84"/>
      <c r="L625" s="84"/>
      <c r="M625" s="307" t="s">
        <v>49</v>
      </c>
    </row>
    <row r="626" spans="1:13" ht="31.5" hidden="1" customHeight="1" x14ac:dyDescent="0.2">
      <c r="A626" s="81">
        <v>625</v>
      </c>
      <c r="B626" s="240" t="s">
        <v>143</v>
      </c>
      <c r="C626" s="204" t="s">
        <v>1437</v>
      </c>
      <c r="D626" s="89" t="s">
        <v>1310</v>
      </c>
      <c r="E626" s="89" t="s">
        <v>1439</v>
      </c>
      <c r="F626" s="238" t="s">
        <v>48</v>
      </c>
      <c r="G626" s="82">
        <v>12</v>
      </c>
      <c r="H626" s="96" t="s">
        <v>49</v>
      </c>
      <c r="I626" s="96" t="s">
        <v>2</v>
      </c>
      <c r="J626" s="84" t="s">
        <v>1515</v>
      </c>
      <c r="K626" s="84"/>
      <c r="L626" s="84"/>
      <c r="M626" s="307" t="s">
        <v>49</v>
      </c>
    </row>
    <row r="627" spans="1:13" ht="31.5" hidden="1" customHeight="1" x14ac:dyDescent="0.2">
      <c r="A627" s="81">
        <v>626</v>
      </c>
      <c r="B627" s="240" t="s">
        <v>625</v>
      </c>
      <c r="C627" s="204" t="s">
        <v>1440</v>
      </c>
      <c r="D627" s="89" t="s">
        <v>1324</v>
      </c>
      <c r="E627" s="89" t="s">
        <v>1441</v>
      </c>
      <c r="F627" s="238" t="s">
        <v>48</v>
      </c>
      <c r="G627" s="82">
        <v>12</v>
      </c>
      <c r="H627" s="96" t="s">
        <v>49</v>
      </c>
      <c r="I627" s="96" t="s">
        <v>2</v>
      </c>
      <c r="J627" s="84" t="s">
        <v>1519</v>
      </c>
      <c r="K627" s="84"/>
      <c r="L627" s="84"/>
      <c r="M627" s="307" t="s">
        <v>49</v>
      </c>
    </row>
    <row r="628" spans="1:13" ht="31.5" hidden="1" customHeight="1" x14ac:dyDescent="0.2">
      <c r="A628" s="81">
        <v>627</v>
      </c>
      <c r="B628" s="240" t="s">
        <v>625</v>
      </c>
      <c r="C628" s="204" t="s">
        <v>1440</v>
      </c>
      <c r="D628" s="89" t="s">
        <v>1324</v>
      </c>
      <c r="E628" s="89" t="s">
        <v>1442</v>
      </c>
      <c r="F628" s="238" t="s">
        <v>48</v>
      </c>
      <c r="G628" s="82">
        <v>12</v>
      </c>
      <c r="H628" s="96" t="s">
        <v>49</v>
      </c>
      <c r="I628" s="96" t="s">
        <v>2</v>
      </c>
      <c r="J628" s="84" t="s">
        <v>1519</v>
      </c>
      <c r="K628" s="84"/>
      <c r="L628" s="84"/>
      <c r="M628" s="307" t="s">
        <v>49</v>
      </c>
    </row>
    <row r="629" spans="1:13" ht="31.5" hidden="1" customHeight="1" x14ac:dyDescent="0.2">
      <c r="A629" s="81">
        <v>628</v>
      </c>
      <c r="B629" s="240" t="s">
        <v>625</v>
      </c>
      <c r="C629" s="204" t="s">
        <v>1443</v>
      </c>
      <c r="D629" s="89" t="s">
        <v>1311</v>
      </c>
      <c r="E629" s="89" t="s">
        <v>1444</v>
      </c>
      <c r="F629" s="238" t="s">
        <v>48</v>
      </c>
      <c r="G629" s="82">
        <v>12</v>
      </c>
      <c r="H629" s="96" t="s">
        <v>49</v>
      </c>
      <c r="I629" s="96" t="s">
        <v>2</v>
      </c>
      <c r="J629" s="84" t="s">
        <v>1521</v>
      </c>
      <c r="K629" s="84"/>
      <c r="L629" s="84"/>
      <c r="M629" s="307" t="s">
        <v>49</v>
      </c>
    </row>
    <row r="630" spans="1:13" ht="31.5" hidden="1" customHeight="1" x14ac:dyDescent="0.2">
      <c r="A630" s="81">
        <v>629</v>
      </c>
      <c r="B630" s="240" t="s">
        <v>625</v>
      </c>
      <c r="C630" s="204" t="s">
        <v>1445</v>
      </c>
      <c r="D630" s="89" t="s">
        <v>1508</v>
      </c>
      <c r="E630" s="89" t="s">
        <v>1446</v>
      </c>
      <c r="F630" s="238" t="s">
        <v>48</v>
      </c>
      <c r="G630" s="82">
        <v>12</v>
      </c>
      <c r="H630" s="96" t="s">
        <v>49</v>
      </c>
      <c r="I630" s="96" t="s">
        <v>2</v>
      </c>
      <c r="J630" s="84" t="s">
        <v>1538</v>
      </c>
      <c r="K630" s="84"/>
      <c r="L630" s="84"/>
      <c r="M630" s="307" t="s">
        <v>49</v>
      </c>
    </row>
    <row r="631" spans="1:13" ht="31.5" hidden="1" customHeight="1" x14ac:dyDescent="0.2">
      <c r="A631" s="81">
        <v>630</v>
      </c>
      <c r="B631" s="240" t="s">
        <v>625</v>
      </c>
      <c r="C631" s="204" t="s">
        <v>1445</v>
      </c>
      <c r="D631" s="89" t="s">
        <v>1508</v>
      </c>
      <c r="E631" s="153" t="s">
        <v>1447</v>
      </c>
      <c r="F631" s="238" t="s">
        <v>48</v>
      </c>
      <c r="G631" s="82">
        <v>12</v>
      </c>
      <c r="H631" s="96" t="s">
        <v>49</v>
      </c>
      <c r="I631" s="96" t="s">
        <v>2</v>
      </c>
      <c r="J631" s="84" t="s">
        <v>1538</v>
      </c>
      <c r="K631" s="84"/>
      <c r="L631" s="84"/>
      <c r="M631" s="307" t="s">
        <v>49</v>
      </c>
    </row>
    <row r="632" spans="1:13" ht="31.5" hidden="1" customHeight="1" x14ac:dyDescent="0.2">
      <c r="A632" s="81">
        <v>631</v>
      </c>
      <c r="B632" s="240" t="s">
        <v>625</v>
      </c>
      <c r="C632" s="204" t="s">
        <v>1448</v>
      </c>
      <c r="D632" s="89" t="s">
        <v>1317</v>
      </c>
      <c r="E632" s="89" t="s">
        <v>1449</v>
      </c>
      <c r="F632" s="238" t="s">
        <v>48</v>
      </c>
      <c r="G632" s="82">
        <v>12</v>
      </c>
      <c r="H632" s="96" t="s">
        <v>49</v>
      </c>
      <c r="I632" s="96" t="s">
        <v>2</v>
      </c>
      <c r="J632" s="84" t="s">
        <v>1522</v>
      </c>
      <c r="K632" s="84"/>
      <c r="L632" s="84"/>
      <c r="M632" s="307" t="s">
        <v>49</v>
      </c>
    </row>
    <row r="633" spans="1:13" ht="31.5" hidden="1" customHeight="1" x14ac:dyDescent="0.2">
      <c r="A633" s="81">
        <v>632</v>
      </c>
      <c r="B633" s="240" t="s">
        <v>625</v>
      </c>
      <c r="C633" s="204" t="s">
        <v>1450</v>
      </c>
      <c r="D633" s="89" t="s">
        <v>1318</v>
      </c>
      <c r="E633" s="89" t="s">
        <v>1451</v>
      </c>
      <c r="F633" s="238" t="s">
        <v>48</v>
      </c>
      <c r="G633" s="82">
        <v>12</v>
      </c>
      <c r="H633" s="96" t="s">
        <v>49</v>
      </c>
      <c r="I633" s="96" t="s">
        <v>2</v>
      </c>
      <c r="J633" s="84" t="s">
        <v>1520</v>
      </c>
      <c r="K633" s="84"/>
      <c r="L633" s="84"/>
      <c r="M633" s="307" t="s">
        <v>49</v>
      </c>
    </row>
    <row r="634" spans="1:13" ht="31.5" hidden="1" customHeight="1" x14ac:dyDescent="0.2">
      <c r="A634" s="81">
        <v>633</v>
      </c>
      <c r="B634" s="82" t="s">
        <v>300</v>
      </c>
      <c r="C634" s="204" t="s">
        <v>1452</v>
      </c>
      <c r="D634" s="153" t="s">
        <v>1509</v>
      </c>
      <c r="E634" s="150" t="s">
        <v>1453</v>
      </c>
      <c r="F634" s="238" t="s">
        <v>48</v>
      </c>
      <c r="G634" s="82">
        <v>12</v>
      </c>
      <c r="H634" s="96" t="s">
        <v>49</v>
      </c>
      <c r="I634" s="96" t="s">
        <v>2</v>
      </c>
      <c r="J634" s="84" t="s">
        <v>1539</v>
      </c>
      <c r="K634" s="241" t="s">
        <v>1705</v>
      </c>
      <c r="L634" s="84"/>
      <c r="M634" s="307" t="s">
        <v>49</v>
      </c>
    </row>
    <row r="635" spans="1:13" ht="31.5" hidden="1" customHeight="1" x14ac:dyDescent="0.2">
      <c r="A635" s="81">
        <v>634</v>
      </c>
      <c r="B635" s="82" t="s">
        <v>300</v>
      </c>
      <c r="C635" s="204" t="s">
        <v>1452</v>
      </c>
      <c r="D635" s="120" t="s">
        <v>1510</v>
      </c>
      <c r="E635" s="150" t="s">
        <v>1454</v>
      </c>
      <c r="F635" s="238" t="s">
        <v>48</v>
      </c>
      <c r="G635" s="82">
        <v>12</v>
      </c>
      <c r="H635" s="96" t="s">
        <v>49</v>
      </c>
      <c r="I635" s="96" t="s">
        <v>2</v>
      </c>
      <c r="J635" s="84" t="s">
        <v>1454</v>
      </c>
      <c r="K635" s="241" t="s">
        <v>1705</v>
      </c>
      <c r="L635" s="84"/>
      <c r="M635" s="307" t="s">
        <v>49</v>
      </c>
    </row>
    <row r="636" spans="1:13" ht="31.5" hidden="1" customHeight="1" x14ac:dyDescent="0.2">
      <c r="A636" s="81">
        <v>635</v>
      </c>
      <c r="B636" s="82" t="s">
        <v>300</v>
      </c>
      <c r="C636" s="204" t="s">
        <v>1452</v>
      </c>
      <c r="D636" s="153" t="s">
        <v>1509</v>
      </c>
      <c r="E636" s="150" t="s">
        <v>1455</v>
      </c>
      <c r="F636" s="238" t="s">
        <v>48</v>
      </c>
      <c r="G636" s="82">
        <v>12</v>
      </c>
      <c r="H636" s="96" t="s">
        <v>49</v>
      </c>
      <c r="I636" s="96" t="s">
        <v>2</v>
      </c>
      <c r="J636" s="84" t="s">
        <v>1539</v>
      </c>
      <c r="K636" s="241" t="s">
        <v>1705</v>
      </c>
      <c r="L636" s="84"/>
      <c r="M636" s="307" t="s">
        <v>49</v>
      </c>
    </row>
    <row r="637" spans="1:13" ht="31.5" hidden="1" customHeight="1" x14ac:dyDescent="0.2">
      <c r="A637" s="81">
        <v>636</v>
      </c>
      <c r="B637" s="240" t="s">
        <v>42</v>
      </c>
      <c r="C637" s="204" t="s">
        <v>1456</v>
      </c>
      <c r="D637" s="89" t="s">
        <v>1319</v>
      </c>
      <c r="E637" s="89" t="s">
        <v>1457</v>
      </c>
      <c r="F637" s="238" t="s">
        <v>48</v>
      </c>
      <c r="G637" s="82">
        <v>12</v>
      </c>
      <c r="H637" s="96" t="s">
        <v>49</v>
      </c>
      <c r="I637" s="96" t="s">
        <v>2</v>
      </c>
      <c r="J637" s="84" t="s">
        <v>1518</v>
      </c>
      <c r="K637" s="84"/>
      <c r="L637" s="84"/>
      <c r="M637" s="307" t="s">
        <v>49</v>
      </c>
    </row>
    <row r="638" spans="1:13" ht="31.5" hidden="1" customHeight="1" x14ac:dyDescent="0.2">
      <c r="A638" s="81">
        <v>637</v>
      </c>
      <c r="B638" s="240" t="s">
        <v>42</v>
      </c>
      <c r="C638" s="204" t="s">
        <v>1456</v>
      </c>
      <c r="D638" s="89" t="s">
        <v>1319</v>
      </c>
      <c r="E638" s="89" t="s">
        <v>1458</v>
      </c>
      <c r="F638" s="238" t="s">
        <v>48</v>
      </c>
      <c r="G638" s="82">
        <v>12</v>
      </c>
      <c r="H638" s="96" t="s">
        <v>49</v>
      </c>
      <c r="I638" s="96" t="s">
        <v>2</v>
      </c>
      <c r="J638" s="84" t="s">
        <v>1518</v>
      </c>
      <c r="K638" s="84"/>
      <c r="L638" s="84"/>
      <c r="M638" s="307" t="s">
        <v>49</v>
      </c>
    </row>
    <row r="639" spans="1:13" ht="31.5" hidden="1" customHeight="1" x14ac:dyDescent="0.2">
      <c r="A639" s="81">
        <v>638</v>
      </c>
      <c r="B639" s="240" t="s">
        <v>42</v>
      </c>
      <c r="C639" s="204" t="s">
        <v>1456</v>
      </c>
      <c r="D639" s="89" t="s">
        <v>1319</v>
      </c>
      <c r="E639" s="89" t="s">
        <v>1459</v>
      </c>
      <c r="F639" s="238" t="s">
        <v>48</v>
      </c>
      <c r="G639" s="82">
        <v>12</v>
      </c>
      <c r="H639" s="96" t="s">
        <v>49</v>
      </c>
      <c r="I639" s="96" t="s">
        <v>2</v>
      </c>
      <c r="J639" s="84" t="s">
        <v>1518</v>
      </c>
      <c r="K639" s="84"/>
      <c r="L639" s="84"/>
      <c r="M639" s="307" t="s">
        <v>49</v>
      </c>
    </row>
    <row r="640" spans="1:13" ht="31.5" hidden="1" customHeight="1" x14ac:dyDescent="0.2">
      <c r="A640" s="81">
        <v>639</v>
      </c>
      <c r="B640" s="240" t="s">
        <v>625</v>
      </c>
      <c r="C640" s="204" t="s">
        <v>1460</v>
      </c>
      <c r="D640" s="89" t="s">
        <v>1511</v>
      </c>
      <c r="E640" s="89" t="s">
        <v>1461</v>
      </c>
      <c r="F640" s="238" t="s">
        <v>48</v>
      </c>
      <c r="G640" s="82">
        <v>12</v>
      </c>
      <c r="H640" s="96" t="s">
        <v>49</v>
      </c>
      <c r="I640" s="96" t="s">
        <v>2</v>
      </c>
      <c r="J640" s="84" t="s">
        <v>1540</v>
      </c>
      <c r="K640" s="84"/>
      <c r="L640" s="84"/>
      <c r="M640" s="307" t="s">
        <v>49</v>
      </c>
    </row>
    <row r="641" spans="1:13" ht="31.5" hidden="1" customHeight="1" x14ac:dyDescent="0.2">
      <c r="A641" s="81">
        <v>640</v>
      </c>
      <c r="B641" s="240" t="s">
        <v>625</v>
      </c>
      <c r="C641" s="204" t="s">
        <v>1460</v>
      </c>
      <c r="D641" s="89" t="s">
        <v>1511</v>
      </c>
      <c r="E641" s="89" t="s">
        <v>1462</v>
      </c>
      <c r="F641" s="238" t="s">
        <v>48</v>
      </c>
      <c r="G641" s="82">
        <v>12</v>
      </c>
      <c r="H641" s="96" t="s">
        <v>49</v>
      </c>
      <c r="I641" s="96" t="s">
        <v>2</v>
      </c>
      <c r="J641" s="84" t="s">
        <v>1540</v>
      </c>
      <c r="K641" s="84"/>
      <c r="L641" s="84"/>
      <c r="M641" s="307" t="s">
        <v>49</v>
      </c>
    </row>
    <row r="642" spans="1:13" ht="31.5" hidden="1" customHeight="1" x14ac:dyDescent="0.2">
      <c r="A642" s="81">
        <v>641</v>
      </c>
      <c r="B642" s="240" t="s">
        <v>625</v>
      </c>
      <c r="C642" s="204" t="s">
        <v>1460</v>
      </c>
      <c r="D642" s="89" t="s">
        <v>1511</v>
      </c>
      <c r="E642" s="89" t="s">
        <v>1463</v>
      </c>
      <c r="F642" s="238" t="s">
        <v>48</v>
      </c>
      <c r="G642" s="82">
        <v>12</v>
      </c>
      <c r="H642" s="96" t="s">
        <v>49</v>
      </c>
      <c r="I642" s="96" t="s">
        <v>2</v>
      </c>
      <c r="J642" s="84" t="s">
        <v>1540</v>
      </c>
      <c r="K642" s="84"/>
      <c r="L642" s="84"/>
      <c r="M642" s="307" t="s">
        <v>49</v>
      </c>
    </row>
    <row r="643" spans="1:13" ht="31.5" hidden="1" customHeight="1" x14ac:dyDescent="0.2">
      <c r="A643" s="81">
        <v>642</v>
      </c>
      <c r="B643" s="240" t="s">
        <v>625</v>
      </c>
      <c r="C643" s="204" t="s">
        <v>1460</v>
      </c>
      <c r="D643" s="89" t="s">
        <v>1511</v>
      </c>
      <c r="E643" s="89" t="s">
        <v>1464</v>
      </c>
      <c r="F643" s="238" t="s">
        <v>48</v>
      </c>
      <c r="G643" s="82">
        <v>12</v>
      </c>
      <c r="H643" s="96" t="s">
        <v>49</v>
      </c>
      <c r="I643" s="96" t="s">
        <v>2</v>
      </c>
      <c r="J643" s="84" t="s">
        <v>1540</v>
      </c>
      <c r="K643" s="84"/>
      <c r="L643" s="84"/>
      <c r="M643" s="307" t="s">
        <v>49</v>
      </c>
    </row>
    <row r="644" spans="1:13" ht="31.5" hidden="1" customHeight="1" x14ac:dyDescent="0.2">
      <c r="A644" s="81">
        <v>643</v>
      </c>
      <c r="B644" s="240" t="s">
        <v>625</v>
      </c>
      <c r="C644" s="204" t="s">
        <v>1465</v>
      </c>
      <c r="D644" s="89" t="s">
        <v>1512</v>
      </c>
      <c r="E644" s="89" t="s">
        <v>1466</v>
      </c>
      <c r="F644" s="238" t="s">
        <v>48</v>
      </c>
      <c r="G644" s="82">
        <v>12</v>
      </c>
      <c r="H644" s="96" t="s">
        <v>49</v>
      </c>
      <c r="I644" s="96" t="s">
        <v>2</v>
      </c>
      <c r="J644" s="84" t="s">
        <v>1541</v>
      </c>
      <c r="K644" s="84"/>
      <c r="L644" s="84"/>
      <c r="M644" s="307" t="s">
        <v>49</v>
      </c>
    </row>
    <row r="645" spans="1:13" ht="31.5" hidden="1" customHeight="1" x14ac:dyDescent="0.2">
      <c r="A645" s="81">
        <v>644</v>
      </c>
      <c r="B645" s="240" t="s">
        <v>625</v>
      </c>
      <c r="C645" s="204" t="s">
        <v>1465</v>
      </c>
      <c r="D645" s="89" t="s">
        <v>1512</v>
      </c>
      <c r="E645" s="89" t="s">
        <v>1467</v>
      </c>
      <c r="F645" s="238" t="s">
        <v>48</v>
      </c>
      <c r="G645" s="82">
        <v>12</v>
      </c>
      <c r="H645" s="96" t="s">
        <v>49</v>
      </c>
      <c r="I645" s="96" t="s">
        <v>2</v>
      </c>
      <c r="J645" s="84" t="s">
        <v>1541</v>
      </c>
      <c r="K645" s="84"/>
      <c r="L645" s="84"/>
      <c r="M645" s="307" t="s">
        <v>49</v>
      </c>
    </row>
    <row r="646" spans="1:13" ht="31.5" hidden="1" customHeight="1" x14ac:dyDescent="0.2">
      <c r="A646" s="81">
        <v>645</v>
      </c>
      <c r="B646" s="240" t="s">
        <v>625</v>
      </c>
      <c r="C646" s="204" t="s">
        <v>1468</v>
      </c>
      <c r="D646" s="89" t="s">
        <v>1469</v>
      </c>
      <c r="E646" s="89" t="s">
        <v>1469</v>
      </c>
      <c r="F646" s="238" t="s">
        <v>48</v>
      </c>
      <c r="G646" s="82">
        <v>12</v>
      </c>
      <c r="H646" s="96" t="s">
        <v>49</v>
      </c>
      <c r="I646" s="96" t="s">
        <v>2</v>
      </c>
      <c r="J646" s="84" t="s">
        <v>1542</v>
      </c>
      <c r="K646" s="84"/>
      <c r="L646" s="84"/>
      <c r="M646" s="307" t="s">
        <v>49</v>
      </c>
    </row>
    <row r="647" spans="1:13" ht="31.5" hidden="1" customHeight="1" x14ac:dyDescent="0.2">
      <c r="A647" s="81">
        <v>646</v>
      </c>
      <c r="B647" s="240" t="s">
        <v>625</v>
      </c>
      <c r="C647" s="204" t="s">
        <v>1468</v>
      </c>
      <c r="D647" s="89" t="s">
        <v>1469</v>
      </c>
      <c r="E647" s="89" t="s">
        <v>1470</v>
      </c>
      <c r="F647" s="238" t="s">
        <v>48</v>
      </c>
      <c r="G647" s="82">
        <v>12</v>
      </c>
      <c r="H647" s="96" t="s">
        <v>49</v>
      </c>
      <c r="I647" s="96" t="s">
        <v>2</v>
      </c>
      <c r="J647" s="84" t="s">
        <v>1542</v>
      </c>
      <c r="K647" s="84"/>
      <c r="L647" s="84"/>
      <c r="M647" s="307" t="s">
        <v>49</v>
      </c>
    </row>
    <row r="648" spans="1:13" ht="31.5" hidden="1" customHeight="1" x14ac:dyDescent="0.2">
      <c r="A648" s="81">
        <v>647</v>
      </c>
      <c r="B648" s="240" t="s">
        <v>625</v>
      </c>
      <c r="C648" s="204" t="s">
        <v>1468</v>
      </c>
      <c r="D648" s="89" t="s">
        <v>1469</v>
      </c>
      <c r="E648" s="89" t="s">
        <v>1471</v>
      </c>
      <c r="F648" s="238" t="s">
        <v>48</v>
      </c>
      <c r="G648" s="82">
        <v>12</v>
      </c>
      <c r="H648" s="96" t="s">
        <v>49</v>
      </c>
      <c r="I648" s="96" t="s">
        <v>2</v>
      </c>
      <c r="J648" s="84" t="s">
        <v>1542</v>
      </c>
      <c r="K648" s="84"/>
      <c r="L648" s="84"/>
      <c r="M648" s="307" t="s">
        <v>49</v>
      </c>
    </row>
    <row r="649" spans="1:13" ht="31.5" hidden="1" customHeight="1" x14ac:dyDescent="0.2">
      <c r="A649" s="81">
        <v>648</v>
      </c>
      <c r="B649" s="240" t="s">
        <v>625</v>
      </c>
      <c r="C649" s="204" t="s">
        <v>1472</v>
      </c>
      <c r="D649" s="89" t="s">
        <v>1473</v>
      </c>
      <c r="E649" s="89" t="s">
        <v>1473</v>
      </c>
      <c r="F649" s="238" t="s">
        <v>48</v>
      </c>
      <c r="G649" s="82">
        <v>12</v>
      </c>
      <c r="H649" s="96" t="s">
        <v>49</v>
      </c>
      <c r="I649" s="96" t="s">
        <v>2</v>
      </c>
      <c r="J649" s="84" t="s">
        <v>1543</v>
      </c>
      <c r="K649" s="84"/>
      <c r="L649" s="84"/>
      <c r="M649" s="307" t="s">
        <v>49</v>
      </c>
    </row>
    <row r="650" spans="1:13" ht="31.5" hidden="1" customHeight="1" x14ac:dyDescent="0.2">
      <c r="A650" s="81">
        <v>649</v>
      </c>
      <c r="B650" s="240" t="s">
        <v>625</v>
      </c>
      <c r="C650" s="204" t="s">
        <v>1472</v>
      </c>
      <c r="D650" s="89" t="s">
        <v>1473</v>
      </c>
      <c r="E650" s="89" t="s">
        <v>1474</v>
      </c>
      <c r="F650" s="238" t="s">
        <v>48</v>
      </c>
      <c r="G650" s="82">
        <v>12</v>
      </c>
      <c r="H650" s="96" t="s">
        <v>49</v>
      </c>
      <c r="I650" s="96" t="s">
        <v>2</v>
      </c>
      <c r="J650" s="84" t="s">
        <v>1543</v>
      </c>
      <c r="K650" s="84"/>
      <c r="L650" s="84"/>
      <c r="M650" s="307" t="s">
        <v>49</v>
      </c>
    </row>
    <row r="651" spans="1:13" ht="31.5" hidden="1" customHeight="1" x14ac:dyDescent="0.2">
      <c r="A651" s="81">
        <v>650</v>
      </c>
      <c r="B651" s="240" t="s">
        <v>625</v>
      </c>
      <c r="C651" s="204" t="s">
        <v>1472</v>
      </c>
      <c r="D651" s="89" t="s">
        <v>1473</v>
      </c>
      <c r="E651" s="89" t="s">
        <v>1475</v>
      </c>
      <c r="F651" s="238" t="s">
        <v>48</v>
      </c>
      <c r="G651" s="82">
        <v>12</v>
      </c>
      <c r="H651" s="96" t="s">
        <v>49</v>
      </c>
      <c r="I651" s="96" t="s">
        <v>2</v>
      </c>
      <c r="J651" s="84" t="s">
        <v>1543</v>
      </c>
      <c r="K651" s="84"/>
      <c r="L651" s="84"/>
      <c r="M651" s="307" t="s">
        <v>49</v>
      </c>
    </row>
    <row r="652" spans="1:13" ht="31.5" hidden="1" customHeight="1" x14ac:dyDescent="0.2">
      <c r="A652" s="81">
        <v>651</v>
      </c>
      <c r="B652" s="240" t="s">
        <v>625</v>
      </c>
      <c r="C652" s="204" t="s">
        <v>1476</v>
      </c>
      <c r="D652" s="89" t="s">
        <v>1477</v>
      </c>
      <c r="E652" s="89" t="s">
        <v>1477</v>
      </c>
      <c r="F652" s="238" t="s">
        <v>48</v>
      </c>
      <c r="G652" s="82">
        <v>12</v>
      </c>
      <c r="H652" s="96" t="s">
        <v>49</v>
      </c>
      <c r="I652" s="96" t="s">
        <v>2</v>
      </c>
      <c r="J652" s="84" t="s">
        <v>1477</v>
      </c>
      <c r="K652" s="84"/>
      <c r="L652" s="84"/>
      <c r="M652" s="307" t="s">
        <v>49</v>
      </c>
    </row>
    <row r="653" spans="1:13" ht="31.5" hidden="1" customHeight="1" x14ac:dyDescent="0.2">
      <c r="A653" s="81">
        <v>652</v>
      </c>
      <c r="B653" s="240" t="s">
        <v>625</v>
      </c>
      <c r="C653" s="204" t="s">
        <v>1478</v>
      </c>
      <c r="D653" s="89" t="s">
        <v>1479</v>
      </c>
      <c r="E653" s="89" t="s">
        <v>1479</v>
      </c>
      <c r="F653" s="238" t="s">
        <v>48</v>
      </c>
      <c r="G653" s="82">
        <v>12</v>
      </c>
      <c r="H653" s="96" t="s">
        <v>49</v>
      </c>
      <c r="I653" s="96" t="s">
        <v>2</v>
      </c>
      <c r="J653" s="84" t="s">
        <v>1479</v>
      </c>
      <c r="K653" s="84"/>
      <c r="L653" s="84"/>
      <c r="M653" s="307" t="s">
        <v>49</v>
      </c>
    </row>
    <row r="654" spans="1:13" ht="31.5" hidden="1" customHeight="1" x14ac:dyDescent="0.2">
      <c r="A654" s="81">
        <v>653</v>
      </c>
      <c r="B654" s="240" t="s">
        <v>625</v>
      </c>
      <c r="C654" s="204" t="s">
        <v>1480</v>
      </c>
      <c r="D654" s="89" t="s">
        <v>1481</v>
      </c>
      <c r="E654" s="89" t="s">
        <v>1481</v>
      </c>
      <c r="F654" s="238" t="s">
        <v>48</v>
      </c>
      <c r="G654" s="82">
        <v>12</v>
      </c>
      <c r="H654" s="96" t="s">
        <v>49</v>
      </c>
      <c r="I654" s="96" t="s">
        <v>2</v>
      </c>
      <c r="J654" s="84" t="s">
        <v>1481</v>
      </c>
      <c r="K654" s="84"/>
      <c r="L654" s="84"/>
      <c r="M654" s="307" t="s">
        <v>49</v>
      </c>
    </row>
    <row r="655" spans="1:13" ht="31.5" hidden="1" customHeight="1" x14ac:dyDescent="0.2">
      <c r="A655" s="81">
        <v>654</v>
      </c>
      <c r="B655" s="240" t="s">
        <v>625</v>
      </c>
      <c r="C655" s="204" t="s">
        <v>1482</v>
      </c>
      <c r="D655" s="153" t="s">
        <v>1483</v>
      </c>
      <c r="E655" s="89" t="s">
        <v>1484</v>
      </c>
      <c r="F655" s="238" t="s">
        <v>48</v>
      </c>
      <c r="G655" s="82">
        <v>12</v>
      </c>
      <c r="H655" s="96" t="s">
        <v>49</v>
      </c>
      <c r="I655" s="96" t="s">
        <v>2</v>
      </c>
      <c r="J655" s="84" t="s">
        <v>1544</v>
      </c>
      <c r="K655" s="84"/>
      <c r="L655" s="84"/>
      <c r="M655" s="307" t="s">
        <v>49</v>
      </c>
    </row>
    <row r="656" spans="1:13" ht="31.5" hidden="1" customHeight="1" x14ac:dyDescent="0.2">
      <c r="A656" s="81">
        <v>655</v>
      </c>
      <c r="B656" s="240" t="s">
        <v>625</v>
      </c>
      <c r="C656" s="204" t="s">
        <v>1482</v>
      </c>
      <c r="D656" s="89" t="s">
        <v>1483</v>
      </c>
      <c r="E656" s="89" t="s">
        <v>1485</v>
      </c>
      <c r="F656" s="238" t="s">
        <v>48</v>
      </c>
      <c r="G656" s="82">
        <v>12</v>
      </c>
      <c r="H656" s="96" t="s">
        <v>49</v>
      </c>
      <c r="I656" s="96" t="s">
        <v>2</v>
      </c>
      <c r="J656" s="84" t="s">
        <v>1544</v>
      </c>
      <c r="K656" s="84"/>
      <c r="L656" s="84"/>
      <c r="M656" s="307" t="s">
        <v>49</v>
      </c>
    </row>
    <row r="657" spans="1:13" ht="31.5" hidden="1" customHeight="1" x14ac:dyDescent="0.2">
      <c r="A657" s="81">
        <v>656</v>
      </c>
      <c r="B657" s="240" t="s">
        <v>625</v>
      </c>
      <c r="C657" s="204" t="s">
        <v>1482</v>
      </c>
      <c r="D657" s="89" t="s">
        <v>1483</v>
      </c>
      <c r="E657" s="89" t="s">
        <v>1486</v>
      </c>
      <c r="F657" s="238" t="s">
        <v>48</v>
      </c>
      <c r="G657" s="82">
        <v>12</v>
      </c>
      <c r="H657" s="96" t="s">
        <v>49</v>
      </c>
      <c r="I657" s="96" t="s">
        <v>2</v>
      </c>
      <c r="J657" s="84" t="s">
        <v>1544</v>
      </c>
      <c r="K657" s="84"/>
      <c r="L657" s="84"/>
      <c r="M657" s="307" t="s">
        <v>49</v>
      </c>
    </row>
    <row r="658" spans="1:13" ht="31.5" hidden="1" customHeight="1" x14ac:dyDescent="0.2">
      <c r="A658" s="81">
        <v>657</v>
      </c>
      <c r="B658" s="240" t="s">
        <v>625</v>
      </c>
      <c r="C658" s="204" t="s">
        <v>1482</v>
      </c>
      <c r="D658" s="89" t="s">
        <v>1483</v>
      </c>
      <c r="E658" s="89" t="s">
        <v>1487</v>
      </c>
      <c r="F658" s="238" t="s">
        <v>48</v>
      </c>
      <c r="G658" s="82">
        <v>12</v>
      </c>
      <c r="H658" s="96" t="s">
        <v>49</v>
      </c>
      <c r="I658" s="96" t="s">
        <v>2</v>
      </c>
      <c r="J658" s="84" t="s">
        <v>1544</v>
      </c>
      <c r="K658" s="84"/>
      <c r="L658" s="84"/>
      <c r="M658" s="307" t="s">
        <v>49</v>
      </c>
    </row>
    <row r="659" spans="1:13" ht="31.5" hidden="1" customHeight="1" x14ac:dyDescent="0.2">
      <c r="A659" s="81">
        <v>658</v>
      </c>
      <c r="B659" s="240" t="s">
        <v>625</v>
      </c>
      <c r="C659" s="204" t="s">
        <v>1482</v>
      </c>
      <c r="D659" s="89" t="s">
        <v>1483</v>
      </c>
      <c r="E659" s="89" t="s">
        <v>1488</v>
      </c>
      <c r="F659" s="238" t="s">
        <v>48</v>
      </c>
      <c r="G659" s="82">
        <v>12</v>
      </c>
      <c r="H659" s="96" t="s">
        <v>49</v>
      </c>
      <c r="I659" s="96" t="s">
        <v>2</v>
      </c>
      <c r="J659" s="84" t="s">
        <v>1544</v>
      </c>
      <c r="K659" s="84"/>
      <c r="L659" s="84"/>
      <c r="M659" s="307" t="s">
        <v>49</v>
      </c>
    </row>
    <row r="660" spans="1:13" ht="31.5" hidden="1" customHeight="1" x14ac:dyDescent="0.2">
      <c r="A660" s="81">
        <v>659</v>
      </c>
      <c r="B660" s="240" t="s">
        <v>300</v>
      </c>
      <c r="C660" s="204" t="s">
        <v>1489</v>
      </c>
      <c r="D660" s="89" t="s">
        <v>1513</v>
      </c>
      <c r="E660" s="89" t="s">
        <v>1490</v>
      </c>
      <c r="F660" s="238" t="s">
        <v>48</v>
      </c>
      <c r="G660" s="82">
        <v>12</v>
      </c>
      <c r="H660" s="309" t="s">
        <v>49</v>
      </c>
      <c r="I660" s="96" t="s">
        <v>2</v>
      </c>
      <c r="J660" s="84" t="s">
        <v>1545</v>
      </c>
      <c r="K660" s="84"/>
      <c r="L660" s="84"/>
      <c r="M660" s="307" t="s">
        <v>49</v>
      </c>
    </row>
    <row r="661" spans="1:13" ht="31.5" hidden="1" customHeight="1" x14ac:dyDescent="0.2">
      <c r="A661" s="81">
        <v>660</v>
      </c>
      <c r="B661" s="240" t="s">
        <v>300</v>
      </c>
      <c r="C661" s="204" t="s">
        <v>1489</v>
      </c>
      <c r="D661" s="89" t="s">
        <v>1513</v>
      </c>
      <c r="E661" s="89" t="s">
        <v>1491</v>
      </c>
      <c r="F661" s="238" t="s">
        <v>48</v>
      </c>
      <c r="G661" s="82">
        <v>12</v>
      </c>
      <c r="H661" s="309" t="s">
        <v>49</v>
      </c>
      <c r="I661" s="96" t="s">
        <v>2</v>
      </c>
      <c r="J661" s="84" t="s">
        <v>1545</v>
      </c>
      <c r="K661" s="84"/>
      <c r="L661" s="84"/>
      <c r="M661" s="307" t="s">
        <v>49</v>
      </c>
    </row>
    <row r="662" spans="1:13" ht="31.5" hidden="1" customHeight="1" x14ac:dyDescent="0.2">
      <c r="A662" s="81">
        <v>661</v>
      </c>
      <c r="B662" s="240" t="s">
        <v>300</v>
      </c>
      <c r="C662" s="204" t="s">
        <v>1489</v>
      </c>
      <c r="D662" s="89" t="s">
        <v>1514</v>
      </c>
      <c r="E662" s="89" t="s">
        <v>1492</v>
      </c>
      <c r="F662" s="238" t="s">
        <v>48</v>
      </c>
      <c r="G662" s="82">
        <v>12</v>
      </c>
      <c r="H662" s="96" t="s">
        <v>49</v>
      </c>
      <c r="I662" s="96" t="s">
        <v>2</v>
      </c>
      <c r="J662" s="84" t="s">
        <v>1546</v>
      </c>
      <c r="K662" s="84"/>
      <c r="L662" s="84"/>
      <c r="M662" s="307" t="s">
        <v>49</v>
      </c>
    </row>
    <row r="663" spans="1:13" ht="31.5" hidden="1" customHeight="1" x14ac:dyDescent="0.2">
      <c r="A663" s="81">
        <v>662</v>
      </c>
      <c r="B663" s="240" t="s">
        <v>300</v>
      </c>
      <c r="C663" s="204" t="s">
        <v>1489</v>
      </c>
      <c r="D663" s="89" t="s">
        <v>1514</v>
      </c>
      <c r="E663" s="89" t="s">
        <v>1493</v>
      </c>
      <c r="F663" s="238" t="s">
        <v>48</v>
      </c>
      <c r="G663" s="82">
        <v>12</v>
      </c>
      <c r="H663" s="96" t="s">
        <v>49</v>
      </c>
      <c r="I663" s="96" t="s">
        <v>2</v>
      </c>
      <c r="J663" s="84" t="s">
        <v>1546</v>
      </c>
      <c r="K663" s="84"/>
      <c r="L663" s="84"/>
      <c r="M663" s="307" t="s">
        <v>49</v>
      </c>
    </row>
    <row r="664" spans="1:13" ht="31.5" hidden="1" customHeight="1" x14ac:dyDescent="0.2">
      <c r="A664" s="81">
        <v>663</v>
      </c>
      <c r="B664" s="240" t="s">
        <v>300</v>
      </c>
      <c r="C664" s="204" t="s">
        <v>1494</v>
      </c>
      <c r="D664" s="153" t="s">
        <v>1326</v>
      </c>
      <c r="E664" s="89" t="s">
        <v>1495</v>
      </c>
      <c r="F664" s="238" t="s">
        <v>48</v>
      </c>
      <c r="G664" s="82">
        <v>12</v>
      </c>
      <c r="H664" s="96" t="s">
        <v>49</v>
      </c>
      <c r="I664" s="96" t="s">
        <v>2</v>
      </c>
      <c r="J664" s="84" t="s">
        <v>1547</v>
      </c>
      <c r="K664" s="84"/>
      <c r="L664" s="84"/>
      <c r="M664" s="307" t="s">
        <v>49</v>
      </c>
    </row>
    <row r="665" spans="1:13" ht="31.5" hidden="1" customHeight="1" x14ac:dyDescent="0.2">
      <c r="A665" s="81">
        <v>664</v>
      </c>
      <c r="B665" s="240" t="s">
        <v>625</v>
      </c>
      <c r="C665" s="204" t="s">
        <v>1496</v>
      </c>
      <c r="D665" s="89" t="s">
        <v>1497</v>
      </c>
      <c r="E665" s="89" t="s">
        <v>1497</v>
      </c>
      <c r="F665" s="238" t="s">
        <v>48</v>
      </c>
      <c r="G665" s="82">
        <v>12</v>
      </c>
      <c r="H665" s="96" t="s">
        <v>49</v>
      </c>
      <c r="I665" s="96" t="s">
        <v>2</v>
      </c>
      <c r="J665" s="84" t="s">
        <v>1497</v>
      </c>
      <c r="K665" s="84"/>
      <c r="L665" s="84"/>
      <c r="M665" s="307" t="s">
        <v>49</v>
      </c>
    </row>
    <row r="666" spans="1:13" ht="31.5" hidden="1" customHeight="1" x14ac:dyDescent="0.2">
      <c r="A666" s="81">
        <v>665</v>
      </c>
      <c r="B666" s="240" t="s">
        <v>625</v>
      </c>
      <c r="C666" s="173" t="s">
        <v>1626</v>
      </c>
      <c r="D666" s="159" t="s">
        <v>1669</v>
      </c>
      <c r="E666" s="89" t="s">
        <v>1553</v>
      </c>
      <c r="F666" s="238" t="s">
        <v>48</v>
      </c>
      <c r="G666" s="82">
        <v>13</v>
      </c>
      <c r="H666" s="96" t="s">
        <v>49</v>
      </c>
      <c r="I666" s="96" t="s">
        <v>2</v>
      </c>
      <c r="J666" s="84" t="s">
        <v>1685</v>
      </c>
      <c r="K666" s="84"/>
      <c r="L666" s="84"/>
      <c r="M666" s="307" t="s">
        <v>49</v>
      </c>
    </row>
    <row r="667" spans="1:13" ht="31.5" hidden="1" customHeight="1" x14ac:dyDescent="0.2">
      <c r="A667" s="81">
        <v>666</v>
      </c>
      <c r="B667" s="240" t="s">
        <v>625</v>
      </c>
      <c r="C667" s="173" t="s">
        <v>1626</v>
      </c>
      <c r="D667" s="159" t="s">
        <v>1669</v>
      </c>
      <c r="E667" s="89" t="s">
        <v>1554</v>
      </c>
      <c r="F667" s="238" t="s">
        <v>48</v>
      </c>
      <c r="G667" s="82">
        <v>13</v>
      </c>
      <c r="H667" s="96" t="s">
        <v>49</v>
      </c>
      <c r="I667" s="96" t="s">
        <v>2</v>
      </c>
      <c r="J667" s="84" t="s">
        <v>1685</v>
      </c>
      <c r="K667" s="84"/>
      <c r="L667" s="84"/>
      <c r="M667" s="307" t="s">
        <v>49</v>
      </c>
    </row>
    <row r="668" spans="1:13" ht="31.5" hidden="1" customHeight="1" x14ac:dyDescent="0.2">
      <c r="A668" s="81">
        <v>667</v>
      </c>
      <c r="B668" s="240" t="s">
        <v>625</v>
      </c>
      <c r="C668" s="173" t="s">
        <v>1626</v>
      </c>
      <c r="D668" s="162" t="s">
        <v>1669</v>
      </c>
      <c r="E668" s="153" t="s">
        <v>1555</v>
      </c>
      <c r="F668" s="238" t="s">
        <v>48</v>
      </c>
      <c r="G668" s="82">
        <v>13</v>
      </c>
      <c r="H668" s="96" t="s">
        <v>49</v>
      </c>
      <c r="I668" s="96" t="s">
        <v>2</v>
      </c>
      <c r="J668" s="84" t="s">
        <v>1685</v>
      </c>
      <c r="K668" s="84"/>
      <c r="L668" s="84"/>
      <c r="M668" s="307" t="s">
        <v>49</v>
      </c>
    </row>
    <row r="669" spans="1:13" ht="31.5" hidden="1" customHeight="1" x14ac:dyDescent="0.2">
      <c r="A669" s="81">
        <v>668</v>
      </c>
      <c r="B669" s="240" t="s">
        <v>625</v>
      </c>
      <c r="C669" s="242" t="s">
        <v>1662</v>
      </c>
      <c r="D669" s="162" t="s">
        <v>1701</v>
      </c>
      <c r="E669" s="89" t="s">
        <v>1556</v>
      </c>
      <c r="F669" s="238" t="s">
        <v>48</v>
      </c>
      <c r="G669" s="82">
        <v>13</v>
      </c>
      <c r="H669" s="96" t="s">
        <v>49</v>
      </c>
      <c r="I669" s="96" t="s">
        <v>2</v>
      </c>
      <c r="J669" s="84" t="s">
        <v>1686</v>
      </c>
      <c r="K669" s="84"/>
      <c r="L669" s="84"/>
      <c r="M669" s="307" t="s">
        <v>49</v>
      </c>
    </row>
    <row r="670" spans="1:13" ht="31.5" hidden="1" customHeight="1" x14ac:dyDescent="0.2">
      <c r="A670" s="81">
        <v>669</v>
      </c>
      <c r="B670" s="240" t="s">
        <v>625</v>
      </c>
      <c r="C670" s="242" t="s">
        <v>1662</v>
      </c>
      <c r="D670" s="159" t="s">
        <v>1701</v>
      </c>
      <c r="E670" s="89" t="s">
        <v>1557</v>
      </c>
      <c r="F670" s="238" t="s">
        <v>48</v>
      </c>
      <c r="G670" s="82">
        <v>13</v>
      </c>
      <c r="H670" s="96" t="s">
        <v>49</v>
      </c>
      <c r="I670" s="96" t="s">
        <v>2</v>
      </c>
      <c r="J670" s="84" t="s">
        <v>1686</v>
      </c>
      <c r="K670" s="84"/>
      <c r="L670" s="84"/>
      <c r="M670" s="307" t="s">
        <v>49</v>
      </c>
    </row>
    <row r="671" spans="1:13" ht="31.5" hidden="1" customHeight="1" x14ac:dyDescent="0.2">
      <c r="A671" s="81">
        <v>670</v>
      </c>
      <c r="B671" s="240" t="s">
        <v>625</v>
      </c>
      <c r="C671" s="173" t="s">
        <v>1662</v>
      </c>
      <c r="D671" s="159" t="s">
        <v>1701</v>
      </c>
      <c r="E671" s="89" t="s">
        <v>1558</v>
      </c>
      <c r="F671" s="238" t="s">
        <v>48</v>
      </c>
      <c r="G671" s="82">
        <v>13</v>
      </c>
      <c r="H671" s="96" t="s">
        <v>49</v>
      </c>
      <c r="I671" s="96" t="s">
        <v>2</v>
      </c>
      <c r="J671" s="84" t="s">
        <v>1686</v>
      </c>
      <c r="K671" s="84"/>
      <c r="L671" s="84"/>
      <c r="M671" s="307" t="s">
        <v>49</v>
      </c>
    </row>
    <row r="672" spans="1:13" ht="31.5" hidden="1" customHeight="1" x14ac:dyDescent="0.2">
      <c r="A672" s="81">
        <v>671</v>
      </c>
      <c r="B672" s="240" t="s">
        <v>625</v>
      </c>
      <c r="C672" s="173" t="s">
        <v>1662</v>
      </c>
      <c r="D672" s="159" t="s">
        <v>1701</v>
      </c>
      <c r="E672" s="89" t="s">
        <v>1559</v>
      </c>
      <c r="F672" s="238" t="s">
        <v>48</v>
      </c>
      <c r="G672" s="82">
        <v>13</v>
      </c>
      <c r="H672" s="96" t="s">
        <v>49</v>
      </c>
      <c r="I672" s="96" t="s">
        <v>2</v>
      </c>
      <c r="J672" s="84" t="s">
        <v>1686</v>
      </c>
      <c r="K672" s="84"/>
      <c r="L672" s="84"/>
      <c r="M672" s="307" t="s">
        <v>49</v>
      </c>
    </row>
    <row r="673" spans="1:13" ht="31.5" hidden="1" customHeight="1" x14ac:dyDescent="0.2">
      <c r="A673" s="81">
        <v>672</v>
      </c>
      <c r="B673" s="240" t="s">
        <v>625</v>
      </c>
      <c r="C673" s="173" t="s">
        <v>1662</v>
      </c>
      <c r="D673" s="162" t="s">
        <v>1701</v>
      </c>
      <c r="E673" s="89" t="s">
        <v>1560</v>
      </c>
      <c r="F673" s="238" t="s">
        <v>48</v>
      </c>
      <c r="G673" s="82">
        <v>13</v>
      </c>
      <c r="H673" s="96" t="s">
        <v>49</v>
      </c>
      <c r="I673" s="96" t="s">
        <v>2</v>
      </c>
      <c r="J673" s="84" t="s">
        <v>1686</v>
      </c>
      <c r="K673" s="84"/>
      <c r="L673" s="84"/>
      <c r="M673" s="307" t="s">
        <v>49</v>
      </c>
    </row>
    <row r="674" spans="1:13" ht="31.5" hidden="1" customHeight="1" x14ac:dyDescent="0.2">
      <c r="A674" s="81">
        <v>673</v>
      </c>
      <c r="B674" s="240" t="s">
        <v>625</v>
      </c>
      <c r="C674" s="173" t="s">
        <v>1627</v>
      </c>
      <c r="D674" s="155" t="s">
        <v>1670</v>
      </c>
      <c r="E674" s="89" t="s">
        <v>1561</v>
      </c>
      <c r="F674" s="238" t="s">
        <v>48</v>
      </c>
      <c r="G674" s="82">
        <v>13</v>
      </c>
      <c r="H674" s="96" t="s">
        <v>49</v>
      </c>
      <c r="I674" s="96" t="s">
        <v>2</v>
      </c>
      <c r="J674" s="84" t="s">
        <v>1687</v>
      </c>
      <c r="K674" s="84"/>
      <c r="L674" s="84"/>
      <c r="M674" s="307" t="s">
        <v>49</v>
      </c>
    </row>
    <row r="675" spans="1:13" ht="31.5" hidden="1" customHeight="1" x14ac:dyDescent="0.2">
      <c r="A675" s="81">
        <v>674</v>
      </c>
      <c r="B675" s="240" t="s">
        <v>625</v>
      </c>
      <c r="C675" s="173" t="s">
        <v>1627</v>
      </c>
      <c r="D675" s="155" t="s">
        <v>1670</v>
      </c>
      <c r="E675" s="89" t="s">
        <v>1562</v>
      </c>
      <c r="F675" s="238" t="s">
        <v>48</v>
      </c>
      <c r="G675" s="82">
        <v>13</v>
      </c>
      <c r="H675" s="96" t="s">
        <v>49</v>
      </c>
      <c r="I675" s="96" t="s">
        <v>2</v>
      </c>
      <c r="J675" s="84" t="s">
        <v>1687</v>
      </c>
      <c r="K675" s="84"/>
      <c r="L675" s="84"/>
      <c r="M675" s="307" t="s">
        <v>49</v>
      </c>
    </row>
    <row r="676" spans="1:13" ht="31.5" hidden="1" customHeight="1" x14ac:dyDescent="0.2">
      <c r="A676" s="81">
        <v>675</v>
      </c>
      <c r="B676" s="240" t="s">
        <v>625</v>
      </c>
      <c r="C676" s="173" t="s">
        <v>1628</v>
      </c>
      <c r="D676" s="155" t="s">
        <v>1671</v>
      </c>
      <c r="E676" s="89" t="s">
        <v>1563</v>
      </c>
      <c r="F676" s="238" t="s">
        <v>48</v>
      </c>
      <c r="G676" s="82">
        <v>13</v>
      </c>
      <c r="H676" s="96" t="s">
        <v>49</v>
      </c>
      <c r="I676" s="96" t="s">
        <v>2</v>
      </c>
      <c r="J676" s="84" t="s">
        <v>1563</v>
      </c>
      <c r="K676" s="84"/>
      <c r="L676" s="84"/>
      <c r="M676" s="307" t="s">
        <v>49</v>
      </c>
    </row>
    <row r="677" spans="1:13" ht="31.5" hidden="1" customHeight="1" x14ac:dyDescent="0.2">
      <c r="A677" s="81">
        <v>676</v>
      </c>
      <c r="B677" s="240" t="s">
        <v>625</v>
      </c>
      <c r="C677" s="173" t="s">
        <v>1629</v>
      </c>
      <c r="D677" s="155" t="s">
        <v>1564</v>
      </c>
      <c r="E677" s="89" t="s">
        <v>1564</v>
      </c>
      <c r="F677" s="238" t="s">
        <v>48</v>
      </c>
      <c r="G677" s="82">
        <v>13</v>
      </c>
      <c r="H677" s="96" t="s">
        <v>49</v>
      </c>
      <c r="I677" s="96" t="s">
        <v>2</v>
      </c>
      <c r="J677" s="84" t="s">
        <v>1564</v>
      </c>
      <c r="K677" s="84"/>
      <c r="L677" s="84"/>
      <c r="M677" s="307" t="s">
        <v>49</v>
      </c>
    </row>
    <row r="678" spans="1:13" ht="31.5" hidden="1" customHeight="1" x14ac:dyDescent="0.2">
      <c r="A678" s="81">
        <v>677</v>
      </c>
      <c r="B678" s="240" t="s">
        <v>625</v>
      </c>
      <c r="C678" s="173" t="s">
        <v>1630</v>
      </c>
      <c r="D678" s="155" t="s">
        <v>1565</v>
      </c>
      <c r="E678" s="89" t="s">
        <v>1565</v>
      </c>
      <c r="F678" s="238" t="s">
        <v>48</v>
      </c>
      <c r="G678" s="82">
        <v>13</v>
      </c>
      <c r="H678" s="96" t="s">
        <v>49</v>
      </c>
      <c r="I678" s="96" t="s">
        <v>2</v>
      </c>
      <c r="J678" s="84" t="s">
        <v>1565</v>
      </c>
      <c r="K678" s="84"/>
      <c r="L678" s="84"/>
      <c r="M678" s="307" t="s">
        <v>49</v>
      </c>
    </row>
    <row r="679" spans="1:13" ht="31.5" hidden="1" customHeight="1" x14ac:dyDescent="0.2">
      <c r="A679" s="81">
        <v>678</v>
      </c>
      <c r="B679" s="240" t="s">
        <v>625</v>
      </c>
      <c r="C679" s="173" t="s">
        <v>1631</v>
      </c>
      <c r="D679" s="155" t="s">
        <v>1566</v>
      </c>
      <c r="E679" s="89" t="s">
        <v>1566</v>
      </c>
      <c r="F679" s="238" t="s">
        <v>48</v>
      </c>
      <c r="G679" s="82">
        <v>13</v>
      </c>
      <c r="H679" s="96" t="s">
        <v>49</v>
      </c>
      <c r="I679" s="96" t="s">
        <v>2</v>
      </c>
      <c r="J679" s="84" t="s">
        <v>1566</v>
      </c>
      <c r="K679" s="84"/>
      <c r="L679" s="84"/>
      <c r="M679" s="307" t="s">
        <v>49</v>
      </c>
    </row>
    <row r="680" spans="1:13" ht="31.5" hidden="1" customHeight="1" x14ac:dyDescent="0.2">
      <c r="A680" s="81">
        <v>679</v>
      </c>
      <c r="B680" s="240" t="s">
        <v>625</v>
      </c>
      <c r="C680" s="173" t="s">
        <v>1632</v>
      </c>
      <c r="D680" s="159" t="s">
        <v>1672</v>
      </c>
      <c r="E680" s="89" t="s">
        <v>1567</v>
      </c>
      <c r="F680" s="238" t="s">
        <v>48</v>
      </c>
      <c r="G680" s="82">
        <v>13</v>
      </c>
      <c r="H680" s="96" t="s">
        <v>49</v>
      </c>
      <c r="I680" s="96" t="s">
        <v>2</v>
      </c>
      <c r="J680" s="84" t="s">
        <v>1688</v>
      </c>
      <c r="K680" s="84"/>
      <c r="L680" s="84"/>
      <c r="M680" s="307" t="s">
        <v>49</v>
      </c>
    </row>
    <row r="681" spans="1:13" ht="31.5" hidden="1" customHeight="1" x14ac:dyDescent="0.2">
      <c r="A681" s="81">
        <v>680</v>
      </c>
      <c r="B681" s="240" t="s">
        <v>625</v>
      </c>
      <c r="C681" s="173" t="s">
        <v>1632</v>
      </c>
      <c r="D681" s="155" t="s">
        <v>1672</v>
      </c>
      <c r="E681" s="89" t="s">
        <v>1568</v>
      </c>
      <c r="F681" s="238" t="s">
        <v>48</v>
      </c>
      <c r="G681" s="82">
        <v>13</v>
      </c>
      <c r="H681" s="96" t="s">
        <v>49</v>
      </c>
      <c r="I681" s="96" t="s">
        <v>2</v>
      </c>
      <c r="J681" s="84" t="s">
        <v>1688</v>
      </c>
      <c r="K681" s="84"/>
      <c r="L681" s="84"/>
      <c r="M681" s="307" t="s">
        <v>49</v>
      </c>
    </row>
    <row r="682" spans="1:13" ht="31.5" hidden="1" customHeight="1" x14ac:dyDescent="0.2">
      <c r="A682" s="81">
        <v>681</v>
      </c>
      <c r="B682" s="240" t="s">
        <v>625</v>
      </c>
      <c r="C682" s="173" t="s">
        <v>1632</v>
      </c>
      <c r="D682" s="155" t="s">
        <v>1672</v>
      </c>
      <c r="E682" s="89" t="s">
        <v>1569</v>
      </c>
      <c r="F682" s="238" t="s">
        <v>48</v>
      </c>
      <c r="G682" s="82">
        <v>13</v>
      </c>
      <c r="H682" s="96" t="s">
        <v>49</v>
      </c>
      <c r="I682" s="96" t="s">
        <v>2</v>
      </c>
      <c r="J682" s="84" t="s">
        <v>1688</v>
      </c>
      <c r="K682" s="84"/>
      <c r="L682" s="84"/>
      <c r="M682" s="307" t="s">
        <v>49</v>
      </c>
    </row>
    <row r="683" spans="1:13" ht="31.5" hidden="1" customHeight="1" x14ac:dyDescent="0.2">
      <c r="A683" s="81">
        <v>682</v>
      </c>
      <c r="B683" s="240" t="s">
        <v>625</v>
      </c>
      <c r="C683" s="173" t="s">
        <v>1632</v>
      </c>
      <c r="D683" s="155" t="s">
        <v>1672</v>
      </c>
      <c r="E683" s="89" t="s">
        <v>1570</v>
      </c>
      <c r="F683" s="238" t="s">
        <v>48</v>
      </c>
      <c r="G683" s="82">
        <v>13</v>
      </c>
      <c r="H683" s="96" t="s">
        <v>49</v>
      </c>
      <c r="I683" s="96" t="s">
        <v>2</v>
      </c>
      <c r="J683" s="84" t="s">
        <v>1688</v>
      </c>
      <c r="K683" s="84"/>
      <c r="L683" s="84"/>
      <c r="M683" s="307" t="s">
        <v>49</v>
      </c>
    </row>
    <row r="684" spans="1:13" ht="31.5" hidden="1" customHeight="1" x14ac:dyDescent="0.2">
      <c r="A684" s="81">
        <v>683</v>
      </c>
      <c r="B684" s="240" t="s">
        <v>625</v>
      </c>
      <c r="C684" s="173" t="s">
        <v>1632</v>
      </c>
      <c r="D684" s="155" t="s">
        <v>1672</v>
      </c>
      <c r="E684" s="89" t="s">
        <v>1571</v>
      </c>
      <c r="F684" s="238" t="s">
        <v>48</v>
      </c>
      <c r="G684" s="82">
        <v>13</v>
      </c>
      <c r="H684" s="96" t="s">
        <v>49</v>
      </c>
      <c r="I684" s="96" t="s">
        <v>2</v>
      </c>
      <c r="J684" s="84" t="s">
        <v>1688</v>
      </c>
      <c r="K684" s="84"/>
      <c r="L684" s="84"/>
      <c r="M684" s="307" t="s">
        <v>49</v>
      </c>
    </row>
    <row r="685" spans="1:13" ht="31.5" hidden="1" customHeight="1" x14ac:dyDescent="0.2">
      <c r="A685" s="81">
        <v>684</v>
      </c>
      <c r="B685" s="240" t="s">
        <v>625</v>
      </c>
      <c r="C685" s="173" t="s">
        <v>1633</v>
      </c>
      <c r="D685" s="155" t="s">
        <v>1673</v>
      </c>
      <c r="E685" s="89" t="s">
        <v>1572</v>
      </c>
      <c r="F685" s="238" t="s">
        <v>48</v>
      </c>
      <c r="G685" s="82">
        <v>13</v>
      </c>
      <c r="H685" s="96" t="s">
        <v>49</v>
      </c>
      <c r="I685" s="96" t="s">
        <v>2</v>
      </c>
      <c r="J685" s="84" t="s">
        <v>1689</v>
      </c>
      <c r="K685" s="84"/>
      <c r="L685" s="84"/>
      <c r="M685" s="307" t="s">
        <v>49</v>
      </c>
    </row>
    <row r="686" spans="1:13" ht="31.5" hidden="1" customHeight="1" x14ac:dyDescent="0.2">
      <c r="A686" s="81">
        <v>685</v>
      </c>
      <c r="B686" s="240" t="s">
        <v>625</v>
      </c>
      <c r="C686" s="173" t="s">
        <v>1633</v>
      </c>
      <c r="D686" s="155" t="s">
        <v>1673</v>
      </c>
      <c r="E686" s="89" t="s">
        <v>1573</v>
      </c>
      <c r="F686" s="238" t="s">
        <v>48</v>
      </c>
      <c r="G686" s="82">
        <v>13</v>
      </c>
      <c r="H686" s="96" t="s">
        <v>49</v>
      </c>
      <c r="I686" s="96" t="s">
        <v>2</v>
      </c>
      <c r="J686" s="84" t="s">
        <v>1689</v>
      </c>
      <c r="K686" s="84"/>
      <c r="L686" s="84"/>
      <c r="M686" s="307" t="s">
        <v>49</v>
      </c>
    </row>
    <row r="687" spans="1:13" ht="31.5" hidden="1" customHeight="1" x14ac:dyDescent="0.2">
      <c r="A687" s="81">
        <v>686</v>
      </c>
      <c r="B687" s="240" t="s">
        <v>625</v>
      </c>
      <c r="C687" s="173" t="s">
        <v>1633</v>
      </c>
      <c r="D687" s="155" t="s">
        <v>1673</v>
      </c>
      <c r="E687" s="89" t="s">
        <v>1574</v>
      </c>
      <c r="F687" s="238" t="s">
        <v>48</v>
      </c>
      <c r="G687" s="82">
        <v>13</v>
      </c>
      <c r="H687" s="96" t="s">
        <v>49</v>
      </c>
      <c r="I687" s="96" t="s">
        <v>2</v>
      </c>
      <c r="J687" s="84" t="s">
        <v>1689</v>
      </c>
      <c r="K687" s="84"/>
      <c r="L687" s="84"/>
      <c r="M687" s="307" t="s">
        <v>49</v>
      </c>
    </row>
    <row r="688" spans="1:13" ht="31.5" hidden="1" customHeight="1" x14ac:dyDescent="0.2">
      <c r="A688" s="81">
        <v>687</v>
      </c>
      <c r="B688" s="240" t="s">
        <v>625</v>
      </c>
      <c r="C688" s="173" t="s">
        <v>1634</v>
      </c>
      <c r="D688" s="155" t="s">
        <v>1675</v>
      </c>
      <c r="E688" s="89" t="s">
        <v>1575</v>
      </c>
      <c r="F688" s="238" t="s">
        <v>48</v>
      </c>
      <c r="G688" s="82">
        <v>13</v>
      </c>
      <c r="H688" s="96" t="s">
        <v>49</v>
      </c>
      <c r="I688" s="96" t="s">
        <v>2</v>
      </c>
      <c r="J688" s="84" t="s">
        <v>1690</v>
      </c>
      <c r="K688" s="84"/>
      <c r="L688" s="84"/>
      <c r="M688" s="307" t="s">
        <v>49</v>
      </c>
    </row>
    <row r="689" spans="1:13" ht="31.5" hidden="1" customHeight="1" x14ac:dyDescent="0.2">
      <c r="A689" s="81">
        <v>688</v>
      </c>
      <c r="B689" s="240" t="s">
        <v>625</v>
      </c>
      <c r="C689" s="173" t="s">
        <v>1634</v>
      </c>
      <c r="D689" s="155" t="s">
        <v>1675</v>
      </c>
      <c r="E689" s="89" t="s">
        <v>1576</v>
      </c>
      <c r="F689" s="238" t="s">
        <v>48</v>
      </c>
      <c r="G689" s="82">
        <v>13</v>
      </c>
      <c r="H689" s="96" t="s">
        <v>49</v>
      </c>
      <c r="I689" s="96" t="s">
        <v>2</v>
      </c>
      <c r="J689" s="84" t="s">
        <v>1690</v>
      </c>
      <c r="K689" s="84"/>
      <c r="L689" s="84"/>
      <c r="M689" s="307" t="s">
        <v>49</v>
      </c>
    </row>
    <row r="690" spans="1:13" ht="31.5" hidden="1" customHeight="1" x14ac:dyDescent="0.2">
      <c r="A690" s="81">
        <v>689</v>
      </c>
      <c r="B690" s="240" t="s">
        <v>625</v>
      </c>
      <c r="C690" s="173" t="s">
        <v>1634</v>
      </c>
      <c r="D690" s="155" t="s">
        <v>1675</v>
      </c>
      <c r="E690" s="89" t="s">
        <v>1577</v>
      </c>
      <c r="F690" s="238" t="s">
        <v>48</v>
      </c>
      <c r="G690" s="82">
        <v>13</v>
      </c>
      <c r="H690" s="96" t="s">
        <v>49</v>
      </c>
      <c r="I690" s="96" t="s">
        <v>2</v>
      </c>
      <c r="J690" s="84" t="s">
        <v>1690</v>
      </c>
      <c r="K690" s="84"/>
      <c r="L690" s="84"/>
      <c r="M690" s="307" t="s">
        <v>49</v>
      </c>
    </row>
    <row r="691" spans="1:13" ht="31.5" hidden="1" customHeight="1" x14ac:dyDescent="0.2">
      <c r="A691" s="81">
        <v>690</v>
      </c>
      <c r="B691" s="240" t="s">
        <v>625</v>
      </c>
      <c r="C691" s="173" t="s">
        <v>1635</v>
      </c>
      <c r="D691" s="155" t="s">
        <v>1674</v>
      </c>
      <c r="E691" s="89" t="s">
        <v>1578</v>
      </c>
      <c r="F691" s="238" t="s">
        <v>48</v>
      </c>
      <c r="G691" s="82">
        <v>13</v>
      </c>
      <c r="H691" s="96" t="s">
        <v>49</v>
      </c>
      <c r="I691" s="96" t="s">
        <v>2</v>
      </c>
      <c r="J691" s="84" t="s">
        <v>1691</v>
      </c>
      <c r="K691" s="84"/>
      <c r="L691" s="84"/>
      <c r="M691" s="307" t="s">
        <v>49</v>
      </c>
    </row>
    <row r="692" spans="1:13" ht="31.5" hidden="1" customHeight="1" x14ac:dyDescent="0.2">
      <c r="A692" s="81">
        <v>691</v>
      </c>
      <c r="B692" s="240" t="s">
        <v>625</v>
      </c>
      <c r="C692" s="173" t="s">
        <v>1635</v>
      </c>
      <c r="D692" s="155" t="s">
        <v>1674</v>
      </c>
      <c r="E692" s="89" t="s">
        <v>1579</v>
      </c>
      <c r="F692" s="238" t="s">
        <v>48</v>
      </c>
      <c r="G692" s="82">
        <v>13</v>
      </c>
      <c r="H692" s="96" t="s">
        <v>49</v>
      </c>
      <c r="I692" s="96" t="s">
        <v>2</v>
      </c>
      <c r="J692" s="84" t="s">
        <v>1691</v>
      </c>
      <c r="K692" s="84"/>
      <c r="L692" s="84"/>
      <c r="M692" s="307" t="s">
        <v>49</v>
      </c>
    </row>
    <row r="693" spans="1:13" ht="31.5" hidden="1" customHeight="1" x14ac:dyDescent="0.2">
      <c r="A693" s="81">
        <v>692</v>
      </c>
      <c r="B693" s="240" t="s">
        <v>625</v>
      </c>
      <c r="C693" s="173" t="s">
        <v>1635</v>
      </c>
      <c r="D693" s="155" t="s">
        <v>1674</v>
      </c>
      <c r="E693" s="89" t="s">
        <v>1580</v>
      </c>
      <c r="F693" s="238" t="s">
        <v>48</v>
      </c>
      <c r="G693" s="82">
        <v>13</v>
      </c>
      <c r="H693" s="96" t="s">
        <v>49</v>
      </c>
      <c r="I693" s="96" t="s">
        <v>2</v>
      </c>
      <c r="J693" s="84" t="s">
        <v>1691</v>
      </c>
      <c r="K693" s="84"/>
      <c r="L693" s="84"/>
      <c r="M693" s="307" t="s">
        <v>49</v>
      </c>
    </row>
    <row r="694" spans="1:13" ht="31.5" hidden="1" customHeight="1" x14ac:dyDescent="0.2">
      <c r="A694" s="81">
        <v>693</v>
      </c>
      <c r="B694" s="240" t="s">
        <v>625</v>
      </c>
      <c r="C694" s="173" t="s">
        <v>1635</v>
      </c>
      <c r="D694" s="155" t="s">
        <v>1674</v>
      </c>
      <c r="E694" s="89" t="s">
        <v>1581</v>
      </c>
      <c r="F694" s="238" t="s">
        <v>48</v>
      </c>
      <c r="G694" s="82">
        <v>13</v>
      </c>
      <c r="H694" s="96" t="s">
        <v>49</v>
      </c>
      <c r="I694" s="96" t="s">
        <v>2</v>
      </c>
      <c r="J694" s="84" t="s">
        <v>1691</v>
      </c>
      <c r="K694" s="84"/>
      <c r="L694" s="84"/>
      <c r="M694" s="307" t="s">
        <v>49</v>
      </c>
    </row>
    <row r="695" spans="1:13" ht="31.5" hidden="1" customHeight="1" x14ac:dyDescent="0.2">
      <c r="A695" s="81">
        <v>694</v>
      </c>
      <c r="B695" s="240" t="s">
        <v>300</v>
      </c>
      <c r="C695" s="173" t="s">
        <v>1636</v>
      </c>
      <c r="D695" s="89" t="s">
        <v>1679</v>
      </c>
      <c r="E695" s="89" t="s">
        <v>1582</v>
      </c>
      <c r="F695" s="238" t="s">
        <v>48</v>
      </c>
      <c r="G695" s="82">
        <v>13</v>
      </c>
      <c r="H695" s="96" t="s">
        <v>49</v>
      </c>
      <c r="I695" s="96" t="s">
        <v>2</v>
      </c>
      <c r="J695" s="84" t="s">
        <v>1692</v>
      </c>
      <c r="K695" s="84"/>
      <c r="L695" s="84"/>
      <c r="M695" s="307" t="s">
        <v>49</v>
      </c>
    </row>
    <row r="696" spans="1:13" ht="31.5" hidden="1" customHeight="1" x14ac:dyDescent="0.2">
      <c r="A696" s="81">
        <v>695</v>
      </c>
      <c r="B696" s="240" t="s">
        <v>300</v>
      </c>
      <c r="C696" s="173" t="s">
        <v>1636</v>
      </c>
      <c r="D696" s="89" t="s">
        <v>1679</v>
      </c>
      <c r="E696" s="89" t="s">
        <v>1583</v>
      </c>
      <c r="F696" s="238" t="s">
        <v>48</v>
      </c>
      <c r="G696" s="82">
        <v>13</v>
      </c>
      <c r="H696" s="96" t="s">
        <v>49</v>
      </c>
      <c r="I696" s="96" t="s">
        <v>2</v>
      </c>
      <c r="J696" s="84" t="s">
        <v>1692</v>
      </c>
      <c r="K696" s="84"/>
      <c r="L696" s="84"/>
      <c r="M696" s="307" t="s">
        <v>49</v>
      </c>
    </row>
    <row r="697" spans="1:13" ht="31.5" hidden="1" customHeight="1" x14ac:dyDescent="0.2">
      <c r="A697" s="81">
        <v>696</v>
      </c>
      <c r="B697" s="240" t="s">
        <v>300</v>
      </c>
      <c r="C697" s="173" t="s">
        <v>1637</v>
      </c>
      <c r="D697" s="89" t="s">
        <v>1584</v>
      </c>
      <c r="E697" s="89" t="s">
        <v>1584</v>
      </c>
      <c r="F697" s="238" t="s">
        <v>48</v>
      </c>
      <c r="G697" s="82">
        <v>13</v>
      </c>
      <c r="H697" s="96" t="s">
        <v>49</v>
      </c>
      <c r="I697" s="96" t="s">
        <v>2</v>
      </c>
      <c r="J697" s="84" t="s">
        <v>1584</v>
      </c>
      <c r="K697" s="84"/>
      <c r="L697" s="84"/>
      <c r="M697" s="307" t="s">
        <v>49</v>
      </c>
    </row>
    <row r="698" spans="1:13" ht="31.5" hidden="1" customHeight="1" x14ac:dyDescent="0.2">
      <c r="A698" s="81">
        <v>697</v>
      </c>
      <c r="B698" s="240" t="s">
        <v>300</v>
      </c>
      <c r="C698" s="173" t="s">
        <v>1638</v>
      </c>
      <c r="D698" s="160" t="s">
        <v>1683</v>
      </c>
      <c r="E698" s="89" t="s">
        <v>1585</v>
      </c>
      <c r="F698" s="238" t="s">
        <v>48</v>
      </c>
      <c r="G698" s="82">
        <v>13</v>
      </c>
      <c r="H698" s="96" t="s">
        <v>49</v>
      </c>
      <c r="I698" s="96" t="s">
        <v>2</v>
      </c>
      <c r="J698" s="84" t="s">
        <v>1684</v>
      </c>
      <c r="K698" s="84"/>
      <c r="L698" s="84"/>
      <c r="M698" s="307" t="s">
        <v>49</v>
      </c>
    </row>
    <row r="699" spans="1:13" ht="31.5" hidden="1" customHeight="1" x14ac:dyDescent="0.2">
      <c r="A699" s="81">
        <v>698</v>
      </c>
      <c r="B699" s="240" t="s">
        <v>300</v>
      </c>
      <c r="C699" s="173" t="s">
        <v>1639</v>
      </c>
      <c r="D699" s="153" t="s">
        <v>1680</v>
      </c>
      <c r="E699" s="89" t="s">
        <v>1586</v>
      </c>
      <c r="F699" s="238" t="s">
        <v>48</v>
      </c>
      <c r="G699" s="82">
        <v>13</v>
      </c>
      <c r="H699" s="96" t="s">
        <v>49</v>
      </c>
      <c r="I699" s="96" t="s">
        <v>2</v>
      </c>
      <c r="J699" s="84" t="s">
        <v>1693</v>
      </c>
      <c r="K699" s="84"/>
      <c r="L699" s="84"/>
      <c r="M699" s="307" t="s">
        <v>49</v>
      </c>
    </row>
    <row r="700" spans="1:13" ht="31.5" hidden="1" customHeight="1" x14ac:dyDescent="0.2">
      <c r="A700" s="81">
        <v>699</v>
      </c>
      <c r="B700" s="240" t="s">
        <v>300</v>
      </c>
      <c r="C700" s="173" t="s">
        <v>1639</v>
      </c>
      <c r="D700" s="89" t="s">
        <v>1680</v>
      </c>
      <c r="E700" s="89" t="s">
        <v>1587</v>
      </c>
      <c r="F700" s="238" t="s">
        <v>48</v>
      </c>
      <c r="G700" s="82">
        <v>13</v>
      </c>
      <c r="H700" s="96" t="s">
        <v>49</v>
      </c>
      <c r="I700" s="96" t="s">
        <v>2</v>
      </c>
      <c r="J700" s="84" t="s">
        <v>1693</v>
      </c>
      <c r="K700" s="84"/>
      <c r="L700" s="84"/>
      <c r="M700" s="307" t="s">
        <v>49</v>
      </c>
    </row>
    <row r="701" spans="1:13" ht="31.5" hidden="1" customHeight="1" x14ac:dyDescent="0.2">
      <c r="A701" s="81">
        <v>700</v>
      </c>
      <c r="B701" s="240" t="s">
        <v>300</v>
      </c>
      <c r="C701" s="173" t="s">
        <v>1639</v>
      </c>
      <c r="D701" s="89" t="s">
        <v>1680</v>
      </c>
      <c r="E701" s="89" t="s">
        <v>1588</v>
      </c>
      <c r="F701" s="238" t="s">
        <v>48</v>
      </c>
      <c r="G701" s="82">
        <v>13</v>
      </c>
      <c r="H701" s="96" t="s">
        <v>49</v>
      </c>
      <c r="I701" s="96" t="s">
        <v>2</v>
      </c>
      <c r="J701" s="84" t="s">
        <v>1693</v>
      </c>
      <c r="K701" s="84"/>
      <c r="L701" s="84"/>
      <c r="M701" s="307" t="s">
        <v>49</v>
      </c>
    </row>
    <row r="702" spans="1:13" ht="31.5" hidden="1" customHeight="1" x14ac:dyDescent="0.2">
      <c r="A702" s="81">
        <v>701</v>
      </c>
      <c r="B702" s="240" t="s">
        <v>300</v>
      </c>
      <c r="C702" s="173" t="s">
        <v>1639</v>
      </c>
      <c r="D702" s="89" t="s">
        <v>1680</v>
      </c>
      <c r="E702" s="153" t="s">
        <v>1589</v>
      </c>
      <c r="F702" s="238" t="s">
        <v>48</v>
      </c>
      <c r="G702" s="82">
        <v>13</v>
      </c>
      <c r="H702" s="96" t="s">
        <v>49</v>
      </c>
      <c r="I702" s="96" t="s">
        <v>2</v>
      </c>
      <c r="J702" s="84" t="s">
        <v>1693</v>
      </c>
      <c r="K702" s="84"/>
      <c r="L702" s="84"/>
      <c r="M702" s="307" t="s">
        <v>49</v>
      </c>
    </row>
    <row r="703" spans="1:13" ht="31.5" hidden="1" customHeight="1" x14ac:dyDescent="0.2">
      <c r="A703" s="81">
        <v>702</v>
      </c>
      <c r="B703" s="240" t="s">
        <v>300</v>
      </c>
      <c r="C703" s="173" t="s">
        <v>1640</v>
      </c>
      <c r="D703" s="157" t="s">
        <v>1683</v>
      </c>
      <c r="E703" s="89" t="s">
        <v>1590</v>
      </c>
      <c r="F703" s="238" t="s">
        <v>48</v>
      </c>
      <c r="G703" s="82">
        <v>13</v>
      </c>
      <c r="H703" s="96" t="s">
        <v>49</v>
      </c>
      <c r="I703" s="96" t="s">
        <v>2</v>
      </c>
      <c r="J703" s="84" t="s">
        <v>1684</v>
      </c>
      <c r="K703" s="84"/>
      <c r="L703" s="84"/>
      <c r="M703" s="307" t="s">
        <v>49</v>
      </c>
    </row>
    <row r="704" spans="1:13" ht="31.5" hidden="1" customHeight="1" x14ac:dyDescent="0.2">
      <c r="A704" s="81">
        <v>703</v>
      </c>
      <c r="B704" s="240" t="s">
        <v>300</v>
      </c>
      <c r="C704" s="173" t="s">
        <v>1640</v>
      </c>
      <c r="D704" s="89" t="s">
        <v>1591</v>
      </c>
      <c r="E704" s="89" t="s">
        <v>1591</v>
      </c>
      <c r="F704" s="238" t="s">
        <v>48</v>
      </c>
      <c r="G704" s="82">
        <v>13</v>
      </c>
      <c r="H704" s="96" t="s">
        <v>49</v>
      </c>
      <c r="I704" s="96" t="s">
        <v>2</v>
      </c>
      <c r="J704" s="84" t="s">
        <v>1591</v>
      </c>
      <c r="K704" s="84"/>
      <c r="L704" s="84"/>
      <c r="M704" s="307" t="s">
        <v>49</v>
      </c>
    </row>
    <row r="705" spans="1:13" ht="31.5" hidden="1" customHeight="1" x14ac:dyDescent="0.2">
      <c r="A705" s="81">
        <v>704</v>
      </c>
      <c r="B705" s="240" t="s">
        <v>300</v>
      </c>
      <c r="C705" s="173" t="s">
        <v>1641</v>
      </c>
      <c r="D705" s="89" t="s">
        <v>1592</v>
      </c>
      <c r="E705" s="89" t="s">
        <v>1592</v>
      </c>
      <c r="F705" s="238" t="s">
        <v>48</v>
      </c>
      <c r="G705" s="82">
        <v>13</v>
      </c>
      <c r="H705" s="96" t="s">
        <v>49</v>
      </c>
      <c r="I705" s="96" t="s">
        <v>2</v>
      </c>
      <c r="J705" s="84" t="s">
        <v>1592</v>
      </c>
      <c r="K705" s="84"/>
      <c r="L705" s="84"/>
      <c r="M705" s="307" t="s">
        <v>49</v>
      </c>
    </row>
    <row r="706" spans="1:13" ht="31.5" hidden="1" customHeight="1" x14ac:dyDescent="0.2">
      <c r="A706" s="81">
        <v>705</v>
      </c>
      <c r="B706" s="240" t="s">
        <v>300</v>
      </c>
      <c r="C706" s="173" t="s">
        <v>1641</v>
      </c>
      <c r="D706" s="89" t="s">
        <v>1593</v>
      </c>
      <c r="E706" s="89" t="s">
        <v>1593</v>
      </c>
      <c r="F706" s="238" t="s">
        <v>48</v>
      </c>
      <c r="G706" s="82">
        <v>13</v>
      </c>
      <c r="H706" s="96" t="s">
        <v>49</v>
      </c>
      <c r="I706" s="96" t="s">
        <v>2</v>
      </c>
      <c r="J706" s="84" t="s">
        <v>1593</v>
      </c>
      <c r="K706" s="84"/>
      <c r="L706" s="84"/>
      <c r="M706" s="307" t="s">
        <v>49</v>
      </c>
    </row>
    <row r="707" spans="1:13" ht="31.5" hidden="1" customHeight="1" x14ac:dyDescent="0.2">
      <c r="A707" s="81">
        <v>706</v>
      </c>
      <c r="B707" s="240" t="s">
        <v>300</v>
      </c>
      <c r="C707" s="173" t="s">
        <v>1641</v>
      </c>
      <c r="D707" s="89" t="s">
        <v>1594</v>
      </c>
      <c r="E707" s="89" t="s">
        <v>1594</v>
      </c>
      <c r="F707" s="238" t="s">
        <v>48</v>
      </c>
      <c r="G707" s="82">
        <v>13</v>
      </c>
      <c r="H707" s="96" t="s">
        <v>49</v>
      </c>
      <c r="I707" s="96" t="s">
        <v>2</v>
      </c>
      <c r="J707" s="84" t="s">
        <v>1594</v>
      </c>
      <c r="K707" s="84"/>
      <c r="L707" s="84"/>
      <c r="M707" s="307" t="s">
        <v>49</v>
      </c>
    </row>
    <row r="708" spans="1:13" ht="31.5" hidden="1" customHeight="1" x14ac:dyDescent="0.2">
      <c r="A708" s="81">
        <v>707</v>
      </c>
      <c r="B708" s="240" t="s">
        <v>42</v>
      </c>
      <c r="C708" s="173" t="s">
        <v>1642</v>
      </c>
      <c r="D708" s="243" t="s">
        <v>1678</v>
      </c>
      <c r="E708" s="89" t="s">
        <v>1595</v>
      </c>
      <c r="F708" s="238" t="s">
        <v>48</v>
      </c>
      <c r="G708" s="82">
        <v>13</v>
      </c>
      <c r="H708" s="96" t="s">
        <v>49</v>
      </c>
      <c r="I708" s="96" t="s">
        <v>2</v>
      </c>
      <c r="J708" s="84" t="s">
        <v>1694</v>
      </c>
      <c r="K708" s="84"/>
      <c r="L708" s="84"/>
      <c r="M708" s="307" t="s">
        <v>49</v>
      </c>
    </row>
    <row r="709" spans="1:13" ht="31.5" hidden="1" customHeight="1" x14ac:dyDescent="0.2">
      <c r="A709" s="81">
        <v>708</v>
      </c>
      <c r="B709" s="240" t="s">
        <v>42</v>
      </c>
      <c r="C709" s="173" t="s">
        <v>1642</v>
      </c>
      <c r="D709" s="243" t="s">
        <v>1678</v>
      </c>
      <c r="E709" s="89" t="s">
        <v>1596</v>
      </c>
      <c r="F709" s="238" t="s">
        <v>48</v>
      </c>
      <c r="G709" s="82">
        <v>13</v>
      </c>
      <c r="H709" s="96" t="s">
        <v>49</v>
      </c>
      <c r="I709" s="96" t="s">
        <v>2</v>
      </c>
      <c r="J709" s="84" t="s">
        <v>1694</v>
      </c>
      <c r="K709" s="84"/>
      <c r="L709" s="84"/>
      <c r="M709" s="307" t="s">
        <v>49</v>
      </c>
    </row>
    <row r="710" spans="1:13" ht="31.5" hidden="1" customHeight="1" x14ac:dyDescent="0.2">
      <c r="A710" s="81">
        <v>709</v>
      </c>
      <c r="B710" s="240" t="s">
        <v>42</v>
      </c>
      <c r="C710" s="173" t="s">
        <v>1642</v>
      </c>
      <c r="D710" s="243" t="s">
        <v>1678</v>
      </c>
      <c r="E710" s="89" t="s">
        <v>1597</v>
      </c>
      <c r="F710" s="238" t="s">
        <v>48</v>
      </c>
      <c r="G710" s="82">
        <v>13</v>
      </c>
      <c r="H710" s="96" t="s">
        <v>49</v>
      </c>
      <c r="I710" s="96" t="s">
        <v>2</v>
      </c>
      <c r="J710" s="84" t="s">
        <v>1694</v>
      </c>
      <c r="K710" s="84"/>
      <c r="L710" s="84"/>
      <c r="M710" s="307" t="s">
        <v>49</v>
      </c>
    </row>
    <row r="711" spans="1:13" ht="31.5" customHeight="1" x14ac:dyDescent="0.2">
      <c r="A711" s="81">
        <v>710</v>
      </c>
      <c r="B711" s="240" t="s">
        <v>42</v>
      </c>
      <c r="C711" s="173" t="s">
        <v>1643</v>
      </c>
      <c r="D711" s="244" t="s">
        <v>1681</v>
      </c>
      <c r="E711" s="89" t="s">
        <v>1598</v>
      </c>
      <c r="F711" s="238" t="s">
        <v>48</v>
      </c>
      <c r="G711" s="82">
        <v>13</v>
      </c>
      <c r="H711" s="96" t="s">
        <v>61</v>
      </c>
      <c r="I711" s="96" t="s">
        <v>2</v>
      </c>
      <c r="J711" s="84" t="s">
        <v>1697</v>
      </c>
      <c r="K711" s="84" t="s">
        <v>1699</v>
      </c>
      <c r="L711" s="84"/>
      <c r="M711" s="307" t="s">
        <v>61</v>
      </c>
    </row>
    <row r="712" spans="1:13" ht="31.5" customHeight="1" x14ac:dyDescent="0.2">
      <c r="A712" s="81">
        <v>711</v>
      </c>
      <c r="B712" s="240" t="s">
        <v>42</v>
      </c>
      <c r="C712" s="173" t="s">
        <v>1644</v>
      </c>
      <c r="D712" s="121" t="s">
        <v>1682</v>
      </c>
      <c r="E712" s="89" t="s">
        <v>1599</v>
      </c>
      <c r="F712" s="238" t="s">
        <v>48</v>
      </c>
      <c r="G712" s="82">
        <v>13</v>
      </c>
      <c r="H712" s="96" t="s">
        <v>61</v>
      </c>
      <c r="I712" s="96" t="s">
        <v>2</v>
      </c>
      <c r="J712" s="84" t="s">
        <v>1698</v>
      </c>
      <c r="K712" s="84"/>
      <c r="L712" s="84"/>
      <c r="M712" s="307" t="s">
        <v>61</v>
      </c>
    </row>
    <row r="713" spans="1:13" ht="31.5" hidden="1" customHeight="1" x14ac:dyDescent="0.2">
      <c r="A713" s="81">
        <v>712</v>
      </c>
      <c r="B713" s="240" t="s">
        <v>42</v>
      </c>
      <c r="C713" s="173" t="s">
        <v>1645</v>
      </c>
      <c r="D713" s="245" t="s">
        <v>1676</v>
      </c>
      <c r="E713" s="89" t="s">
        <v>1600</v>
      </c>
      <c r="F713" s="238" t="s">
        <v>48</v>
      </c>
      <c r="G713" s="82">
        <v>13</v>
      </c>
      <c r="H713" s="96" t="s">
        <v>49</v>
      </c>
      <c r="I713" s="96" t="s">
        <v>2</v>
      </c>
      <c r="J713" s="84" t="s">
        <v>1695</v>
      </c>
      <c r="K713" s="84"/>
      <c r="L713" s="84"/>
      <c r="M713" s="307" t="s">
        <v>49</v>
      </c>
    </row>
    <row r="714" spans="1:13" ht="31.5" hidden="1" customHeight="1" x14ac:dyDescent="0.2">
      <c r="A714" s="81">
        <v>713</v>
      </c>
      <c r="B714" s="240" t="s">
        <v>42</v>
      </c>
      <c r="C714" s="173" t="s">
        <v>1646</v>
      </c>
      <c r="D714" s="246" t="s">
        <v>1677</v>
      </c>
      <c r="E714" s="89" t="s">
        <v>1601</v>
      </c>
      <c r="F714" s="238" t="s">
        <v>48</v>
      </c>
      <c r="G714" s="82">
        <v>13</v>
      </c>
      <c r="H714" s="96" t="s">
        <v>49</v>
      </c>
      <c r="I714" s="96" t="s">
        <v>2</v>
      </c>
      <c r="J714" s="84" t="s">
        <v>2034</v>
      </c>
      <c r="K714" s="84"/>
      <c r="L714" s="84"/>
      <c r="M714" s="307" t="s">
        <v>49</v>
      </c>
    </row>
    <row r="715" spans="1:13" ht="31.5" customHeight="1" x14ac:dyDescent="0.2">
      <c r="A715" s="81">
        <v>714</v>
      </c>
      <c r="B715" s="240" t="s">
        <v>42</v>
      </c>
      <c r="C715" s="173" t="s">
        <v>1647</v>
      </c>
      <c r="D715" s="244" t="s">
        <v>1681</v>
      </c>
      <c r="E715" s="89" t="s">
        <v>1602</v>
      </c>
      <c r="F715" s="238" t="s">
        <v>48</v>
      </c>
      <c r="G715" s="82">
        <v>13</v>
      </c>
      <c r="H715" s="96" t="s">
        <v>61</v>
      </c>
      <c r="I715" s="96" t="s">
        <v>2</v>
      </c>
      <c r="J715" s="84" t="s">
        <v>1697</v>
      </c>
      <c r="K715" s="84" t="s">
        <v>1699</v>
      </c>
      <c r="L715" s="84"/>
      <c r="M715" s="307" t="s">
        <v>61</v>
      </c>
    </row>
    <row r="716" spans="1:13" ht="31.5" customHeight="1" x14ac:dyDescent="0.2">
      <c r="A716" s="81">
        <v>715</v>
      </c>
      <c r="B716" s="240" t="s">
        <v>42</v>
      </c>
      <c r="C716" s="173" t="s">
        <v>1648</v>
      </c>
      <c r="D716" s="121" t="s">
        <v>1682</v>
      </c>
      <c r="E716" s="89" t="s">
        <v>1603</v>
      </c>
      <c r="F716" s="238" t="s">
        <v>48</v>
      </c>
      <c r="G716" s="82">
        <v>13</v>
      </c>
      <c r="H716" s="96" t="s">
        <v>61</v>
      </c>
      <c r="I716" s="96" t="s">
        <v>2</v>
      </c>
      <c r="J716" s="84" t="s">
        <v>1698</v>
      </c>
      <c r="K716" s="84"/>
      <c r="L716" s="84"/>
      <c r="M716" s="307" t="s">
        <v>61</v>
      </c>
    </row>
    <row r="717" spans="1:13" ht="31.5" hidden="1" customHeight="1" x14ac:dyDescent="0.2">
      <c r="A717" s="81">
        <v>716</v>
      </c>
      <c r="B717" s="240" t="s">
        <v>42</v>
      </c>
      <c r="C717" s="173" t="s">
        <v>1649</v>
      </c>
      <c r="D717" s="246" t="s">
        <v>1676</v>
      </c>
      <c r="E717" s="89" t="s">
        <v>1604</v>
      </c>
      <c r="F717" s="238" t="s">
        <v>48</v>
      </c>
      <c r="G717" s="82">
        <v>13</v>
      </c>
      <c r="H717" s="96" t="s">
        <v>49</v>
      </c>
      <c r="I717" s="96" t="s">
        <v>2</v>
      </c>
      <c r="J717" s="84" t="s">
        <v>1695</v>
      </c>
      <c r="K717" s="84"/>
      <c r="L717" s="84"/>
      <c r="M717" s="307" t="s">
        <v>49</v>
      </c>
    </row>
    <row r="718" spans="1:13" ht="31.5" hidden="1" customHeight="1" x14ac:dyDescent="0.2">
      <c r="A718" s="81">
        <v>717</v>
      </c>
      <c r="B718" s="240" t="s">
        <v>42</v>
      </c>
      <c r="C718" s="173" t="s">
        <v>1650</v>
      </c>
      <c r="D718" s="121" t="s">
        <v>1677</v>
      </c>
      <c r="E718" s="89" t="s">
        <v>1605</v>
      </c>
      <c r="F718" s="238" t="s">
        <v>48</v>
      </c>
      <c r="G718" s="82">
        <v>13</v>
      </c>
      <c r="H718" s="96" t="s">
        <v>49</v>
      </c>
      <c r="I718" s="96" t="s">
        <v>2</v>
      </c>
      <c r="J718" s="84" t="s">
        <v>2034</v>
      </c>
      <c r="K718" s="84"/>
      <c r="L718" s="84"/>
      <c r="M718" s="307" t="s">
        <v>49</v>
      </c>
    </row>
    <row r="719" spans="1:13" ht="31.5" hidden="1" customHeight="1" x14ac:dyDescent="0.2">
      <c r="A719" s="81">
        <v>718</v>
      </c>
      <c r="B719" s="240" t="s">
        <v>1664</v>
      </c>
      <c r="C719" s="173" t="s">
        <v>1651</v>
      </c>
      <c r="D719" s="89" t="s">
        <v>1668</v>
      </c>
      <c r="E719" s="89" t="s">
        <v>1606</v>
      </c>
      <c r="F719" s="238" t="s">
        <v>48</v>
      </c>
      <c r="G719" s="82">
        <v>13</v>
      </c>
      <c r="H719" s="96" t="s">
        <v>49</v>
      </c>
      <c r="I719" s="96" t="s">
        <v>2</v>
      </c>
      <c r="J719" s="84" t="s">
        <v>1606</v>
      </c>
      <c r="K719" s="84"/>
      <c r="L719" s="84"/>
      <c r="M719" s="307" t="s">
        <v>49</v>
      </c>
    </row>
    <row r="720" spans="1:13" ht="31.5" hidden="1" customHeight="1" x14ac:dyDescent="0.2">
      <c r="A720" s="81">
        <v>719</v>
      </c>
      <c r="B720" s="240" t="s">
        <v>1664</v>
      </c>
      <c r="C720" s="173" t="s">
        <v>1651</v>
      </c>
      <c r="D720" s="247" t="s">
        <v>1715</v>
      </c>
      <c r="E720" s="89" t="s">
        <v>1607</v>
      </c>
      <c r="F720" s="238" t="s">
        <v>48</v>
      </c>
      <c r="G720" s="82">
        <v>13</v>
      </c>
      <c r="H720" s="96" t="s">
        <v>49</v>
      </c>
      <c r="I720" s="96" t="s">
        <v>2</v>
      </c>
      <c r="J720" s="84" t="s">
        <v>1716</v>
      </c>
      <c r="K720" s="84"/>
      <c r="L720" s="84"/>
      <c r="M720" s="307" t="s">
        <v>49</v>
      </c>
    </row>
    <row r="721" spans="1:13" ht="31.5" hidden="1" customHeight="1" x14ac:dyDescent="0.2">
      <c r="A721" s="81">
        <v>720</v>
      </c>
      <c r="B721" s="240" t="s">
        <v>1664</v>
      </c>
      <c r="C721" s="173" t="s">
        <v>1652</v>
      </c>
      <c r="D721" s="90" t="s">
        <v>1663</v>
      </c>
      <c r="E721" s="89" t="s">
        <v>1608</v>
      </c>
      <c r="F721" s="238" t="s">
        <v>48</v>
      </c>
      <c r="G721" s="82">
        <v>13</v>
      </c>
      <c r="H721" s="96" t="s">
        <v>49</v>
      </c>
      <c r="I721" s="96" t="s">
        <v>2</v>
      </c>
      <c r="J721" s="84" t="s">
        <v>2035</v>
      </c>
      <c r="K721" s="84"/>
      <c r="L721" s="84"/>
      <c r="M721" s="307" t="s">
        <v>49</v>
      </c>
    </row>
    <row r="722" spans="1:13" ht="31.5" hidden="1" customHeight="1" x14ac:dyDescent="0.2">
      <c r="A722" s="81">
        <v>721</v>
      </c>
      <c r="B722" s="240" t="s">
        <v>1664</v>
      </c>
      <c r="C722" s="173" t="s">
        <v>1653</v>
      </c>
      <c r="D722" s="90" t="s">
        <v>1665</v>
      </c>
      <c r="E722" s="89" t="s">
        <v>1609</v>
      </c>
      <c r="F722" s="238" t="s">
        <v>48</v>
      </c>
      <c r="G722" s="82">
        <v>13</v>
      </c>
      <c r="H722" s="96" t="s">
        <v>49</v>
      </c>
      <c r="I722" s="96" t="s">
        <v>2</v>
      </c>
      <c r="J722" s="84" t="s">
        <v>2036</v>
      </c>
      <c r="K722" s="84"/>
      <c r="L722" s="84"/>
      <c r="M722" s="307" t="s">
        <v>49</v>
      </c>
    </row>
    <row r="723" spans="1:13" ht="31.5" hidden="1" customHeight="1" x14ac:dyDescent="0.2">
      <c r="A723" s="81">
        <v>722</v>
      </c>
      <c r="B723" s="240" t="s">
        <v>1664</v>
      </c>
      <c r="C723" s="173" t="s">
        <v>1653</v>
      </c>
      <c r="D723" s="89" t="s">
        <v>1666</v>
      </c>
      <c r="E723" s="89" t="s">
        <v>1610</v>
      </c>
      <c r="F723" s="238" t="s">
        <v>48</v>
      </c>
      <c r="G723" s="82">
        <v>13</v>
      </c>
      <c r="H723" s="96" t="s">
        <v>49</v>
      </c>
      <c r="I723" s="96" t="s">
        <v>2</v>
      </c>
      <c r="J723" s="84" t="s">
        <v>1610</v>
      </c>
      <c r="K723" s="84"/>
      <c r="L723" s="84"/>
      <c r="M723" s="307" t="s">
        <v>49</v>
      </c>
    </row>
    <row r="724" spans="1:13" ht="31.5" hidden="1" customHeight="1" x14ac:dyDescent="0.2">
      <c r="A724" s="81">
        <v>723</v>
      </c>
      <c r="B724" s="240" t="s">
        <v>1664</v>
      </c>
      <c r="C724" s="173" t="s">
        <v>1654</v>
      </c>
      <c r="D724" s="90" t="s">
        <v>1667</v>
      </c>
      <c r="E724" s="89" t="s">
        <v>1611</v>
      </c>
      <c r="F724" s="238" t="s">
        <v>48</v>
      </c>
      <c r="G724" s="82">
        <v>13</v>
      </c>
      <c r="H724" s="96" t="s">
        <v>49</v>
      </c>
      <c r="I724" s="96" t="s">
        <v>2</v>
      </c>
      <c r="J724" s="84" t="s">
        <v>1696</v>
      </c>
      <c r="K724" s="84"/>
      <c r="L724" s="84"/>
      <c r="M724" s="307" t="s">
        <v>49</v>
      </c>
    </row>
    <row r="725" spans="1:13" ht="31.5" hidden="1" customHeight="1" x14ac:dyDescent="0.2">
      <c r="A725" s="81">
        <v>724</v>
      </c>
      <c r="B725" s="240" t="s">
        <v>1664</v>
      </c>
      <c r="C725" s="173" t="s">
        <v>1654</v>
      </c>
      <c r="D725" s="90" t="s">
        <v>1667</v>
      </c>
      <c r="E725" s="89" t="s">
        <v>1612</v>
      </c>
      <c r="F725" s="238" t="s">
        <v>48</v>
      </c>
      <c r="G725" s="82">
        <v>13</v>
      </c>
      <c r="H725" s="96" t="s">
        <v>49</v>
      </c>
      <c r="I725" s="96" t="s">
        <v>2</v>
      </c>
      <c r="J725" s="84" t="s">
        <v>1696</v>
      </c>
      <c r="K725" s="84"/>
      <c r="L725" s="84"/>
      <c r="M725" s="307" t="s">
        <v>49</v>
      </c>
    </row>
    <row r="726" spans="1:13" ht="31.5" hidden="1" customHeight="1" x14ac:dyDescent="0.2">
      <c r="A726" s="81">
        <v>725</v>
      </c>
      <c r="B726" s="240" t="s">
        <v>1664</v>
      </c>
      <c r="C726" s="173" t="s">
        <v>1655</v>
      </c>
      <c r="D726" s="153" t="s">
        <v>1663</v>
      </c>
      <c r="E726" s="89" t="s">
        <v>1613</v>
      </c>
      <c r="F726" s="238" t="s">
        <v>48</v>
      </c>
      <c r="G726" s="82">
        <v>13</v>
      </c>
      <c r="H726" s="96" t="s">
        <v>49</v>
      </c>
      <c r="I726" s="96" t="s">
        <v>2</v>
      </c>
      <c r="J726" s="84" t="s">
        <v>2035</v>
      </c>
      <c r="K726" s="84"/>
      <c r="L726" s="84"/>
      <c r="M726" s="307" t="s">
        <v>49</v>
      </c>
    </row>
    <row r="727" spans="1:13" ht="31.5" hidden="1" customHeight="1" x14ac:dyDescent="0.2">
      <c r="A727" s="81">
        <v>726</v>
      </c>
      <c r="B727" s="240" t="s">
        <v>1664</v>
      </c>
      <c r="C727" s="173" t="s">
        <v>1655</v>
      </c>
      <c r="D727" s="153" t="s">
        <v>1663</v>
      </c>
      <c r="E727" s="89" t="s">
        <v>1614</v>
      </c>
      <c r="F727" s="238" t="s">
        <v>48</v>
      </c>
      <c r="G727" s="82">
        <v>13</v>
      </c>
      <c r="H727" s="96" t="s">
        <v>49</v>
      </c>
      <c r="I727" s="96" t="s">
        <v>2</v>
      </c>
      <c r="J727" s="84" t="s">
        <v>2035</v>
      </c>
      <c r="K727" s="84"/>
      <c r="L727" s="84"/>
      <c r="M727" s="307" t="s">
        <v>49</v>
      </c>
    </row>
    <row r="728" spans="1:13" ht="31.5" hidden="1" customHeight="1" x14ac:dyDescent="0.2">
      <c r="A728" s="81">
        <v>727</v>
      </c>
      <c r="B728" s="240" t="s">
        <v>1664</v>
      </c>
      <c r="C728" s="173" t="s">
        <v>1655</v>
      </c>
      <c r="D728" s="153" t="s">
        <v>1665</v>
      </c>
      <c r="E728" s="89" t="s">
        <v>1615</v>
      </c>
      <c r="F728" s="238" t="s">
        <v>48</v>
      </c>
      <c r="G728" s="82">
        <v>13</v>
      </c>
      <c r="H728" s="96" t="s">
        <v>49</v>
      </c>
      <c r="I728" s="96" t="s">
        <v>2</v>
      </c>
      <c r="J728" s="84" t="s">
        <v>2036</v>
      </c>
      <c r="K728" s="84"/>
      <c r="L728" s="84"/>
      <c r="M728" s="307" t="s">
        <v>49</v>
      </c>
    </row>
    <row r="729" spans="1:13" ht="31.5" hidden="1" customHeight="1" x14ac:dyDescent="0.2">
      <c r="A729" s="81">
        <v>728</v>
      </c>
      <c r="B729" s="240" t="s">
        <v>1664</v>
      </c>
      <c r="C729" s="173" t="s">
        <v>1656</v>
      </c>
      <c r="D729" s="111" t="s">
        <v>1840</v>
      </c>
      <c r="E729" s="89" t="s">
        <v>1616</v>
      </c>
      <c r="F729" s="238" t="s">
        <v>48</v>
      </c>
      <c r="G729" s="82">
        <v>13</v>
      </c>
      <c r="H729" s="96" t="s">
        <v>49</v>
      </c>
      <c r="I729" s="96" t="s">
        <v>2</v>
      </c>
      <c r="J729" s="84" t="s">
        <v>1844</v>
      </c>
      <c r="K729" s="84"/>
      <c r="L729" s="84"/>
      <c r="M729" s="307" t="s">
        <v>49</v>
      </c>
    </row>
    <row r="730" spans="1:13" ht="31.5" hidden="1" customHeight="1" x14ac:dyDescent="0.2">
      <c r="A730" s="81">
        <v>729</v>
      </c>
      <c r="B730" s="240" t="s">
        <v>1664</v>
      </c>
      <c r="C730" s="173" t="s">
        <v>1657</v>
      </c>
      <c r="D730" s="247" t="s">
        <v>1715</v>
      </c>
      <c r="E730" s="89" t="s">
        <v>1617</v>
      </c>
      <c r="F730" s="238" t="s">
        <v>48</v>
      </c>
      <c r="G730" s="82">
        <v>13</v>
      </c>
      <c r="H730" s="96" t="s">
        <v>49</v>
      </c>
      <c r="I730" s="96" t="s">
        <v>2</v>
      </c>
      <c r="J730" s="84" t="s">
        <v>1716</v>
      </c>
      <c r="K730" s="84"/>
      <c r="L730" s="84"/>
      <c r="M730" s="307" t="s">
        <v>49</v>
      </c>
    </row>
    <row r="731" spans="1:13" ht="31.5" hidden="1" customHeight="1" x14ac:dyDescent="0.2">
      <c r="A731" s="81">
        <v>730</v>
      </c>
      <c r="B731" s="240" t="s">
        <v>1664</v>
      </c>
      <c r="C731" s="173" t="s">
        <v>1657</v>
      </c>
      <c r="D731" s="247" t="s">
        <v>1715</v>
      </c>
      <c r="E731" s="89" t="s">
        <v>1618</v>
      </c>
      <c r="F731" s="238" t="s">
        <v>48</v>
      </c>
      <c r="G731" s="82">
        <v>13</v>
      </c>
      <c r="H731" s="96" t="s">
        <v>49</v>
      </c>
      <c r="I731" s="96" t="s">
        <v>2</v>
      </c>
      <c r="J731" s="84" t="s">
        <v>1716</v>
      </c>
      <c r="K731" s="84"/>
      <c r="L731" s="84"/>
      <c r="M731" s="307" t="s">
        <v>49</v>
      </c>
    </row>
    <row r="732" spans="1:13" ht="31.5" hidden="1" customHeight="1" x14ac:dyDescent="0.2">
      <c r="A732" s="81">
        <v>731</v>
      </c>
      <c r="B732" s="240" t="s">
        <v>1664</v>
      </c>
      <c r="C732" s="173" t="s">
        <v>1658</v>
      </c>
      <c r="D732" s="247" t="s">
        <v>1715</v>
      </c>
      <c r="E732" s="89" t="s">
        <v>1619</v>
      </c>
      <c r="F732" s="238" t="s">
        <v>48</v>
      </c>
      <c r="G732" s="82">
        <v>13</v>
      </c>
      <c r="H732" s="96" t="s">
        <v>49</v>
      </c>
      <c r="I732" s="96" t="s">
        <v>2</v>
      </c>
      <c r="J732" s="84" t="s">
        <v>1716</v>
      </c>
      <c r="K732" s="84"/>
      <c r="L732" s="84"/>
      <c r="M732" s="307" t="s">
        <v>49</v>
      </c>
    </row>
    <row r="733" spans="1:13" ht="31.5" hidden="1" customHeight="1" x14ac:dyDescent="0.2">
      <c r="A733" s="81">
        <v>732</v>
      </c>
      <c r="B733" s="240" t="s">
        <v>1664</v>
      </c>
      <c r="C733" s="173" t="s">
        <v>1658</v>
      </c>
      <c r="D733" s="247" t="s">
        <v>1715</v>
      </c>
      <c r="E733" s="89" t="s">
        <v>1620</v>
      </c>
      <c r="F733" s="238" t="s">
        <v>48</v>
      </c>
      <c r="G733" s="82">
        <v>13</v>
      </c>
      <c r="H733" s="96" t="s">
        <v>49</v>
      </c>
      <c r="I733" s="96" t="s">
        <v>2</v>
      </c>
      <c r="J733" s="84" t="s">
        <v>1716</v>
      </c>
      <c r="K733" s="84"/>
      <c r="L733" s="84"/>
      <c r="M733" s="307" t="s">
        <v>49</v>
      </c>
    </row>
    <row r="734" spans="1:13" ht="31.5" hidden="1" customHeight="1" x14ac:dyDescent="0.2">
      <c r="A734" s="81">
        <v>733</v>
      </c>
      <c r="B734" s="240" t="s">
        <v>1664</v>
      </c>
      <c r="C734" s="173" t="s">
        <v>1659</v>
      </c>
      <c r="D734" s="150" t="s">
        <v>1841</v>
      </c>
      <c r="E734" s="89" t="s">
        <v>1621</v>
      </c>
      <c r="F734" s="238" t="s">
        <v>48</v>
      </c>
      <c r="G734" s="82">
        <v>13</v>
      </c>
      <c r="H734" s="96" t="s">
        <v>49</v>
      </c>
      <c r="I734" s="96" t="s">
        <v>2</v>
      </c>
      <c r="J734" s="84" t="s">
        <v>1839</v>
      </c>
      <c r="K734" s="84"/>
      <c r="L734" s="84"/>
      <c r="M734" s="307" t="s">
        <v>49</v>
      </c>
    </row>
    <row r="735" spans="1:13" ht="31.5" hidden="1" customHeight="1" x14ac:dyDescent="0.2">
      <c r="A735" s="81">
        <v>734</v>
      </c>
      <c r="B735" s="240" t="s">
        <v>1664</v>
      </c>
      <c r="C735" s="173" t="s">
        <v>1659</v>
      </c>
      <c r="D735" s="120" t="s">
        <v>1841</v>
      </c>
      <c r="E735" s="89" t="s">
        <v>1622</v>
      </c>
      <c r="F735" s="238" t="s">
        <v>48</v>
      </c>
      <c r="G735" s="82">
        <v>13</v>
      </c>
      <c r="H735" s="96" t="s">
        <v>49</v>
      </c>
      <c r="I735" s="96" t="s">
        <v>2</v>
      </c>
      <c r="J735" s="84" t="s">
        <v>1839</v>
      </c>
      <c r="K735" s="84"/>
      <c r="L735" s="84"/>
      <c r="M735" s="307" t="s">
        <v>49</v>
      </c>
    </row>
    <row r="736" spans="1:13" ht="31.5" hidden="1" customHeight="1" x14ac:dyDescent="0.2">
      <c r="A736" s="81">
        <v>735</v>
      </c>
      <c r="B736" s="240" t="s">
        <v>1664</v>
      </c>
      <c r="C736" s="173" t="s">
        <v>1660</v>
      </c>
      <c r="D736" s="120" t="s">
        <v>1841</v>
      </c>
      <c r="E736" s="89" t="s">
        <v>1623</v>
      </c>
      <c r="F736" s="238" t="s">
        <v>48</v>
      </c>
      <c r="G736" s="82">
        <v>13</v>
      </c>
      <c r="H736" s="96" t="s">
        <v>49</v>
      </c>
      <c r="I736" s="96" t="s">
        <v>2</v>
      </c>
      <c r="J736" s="84" t="s">
        <v>1839</v>
      </c>
      <c r="K736" s="84"/>
      <c r="L736" s="84"/>
      <c r="M736" s="307" t="s">
        <v>49</v>
      </c>
    </row>
    <row r="737" spans="1:13" ht="31.5" hidden="1" customHeight="1" x14ac:dyDescent="0.2">
      <c r="A737" s="81">
        <v>736</v>
      </c>
      <c r="B737" s="240" t="s">
        <v>1664</v>
      </c>
      <c r="C737" s="173" t="s">
        <v>1660</v>
      </c>
      <c r="D737" s="150" t="s">
        <v>1841</v>
      </c>
      <c r="E737" s="89" t="s">
        <v>1624</v>
      </c>
      <c r="F737" s="238" t="s">
        <v>48</v>
      </c>
      <c r="G737" s="82">
        <v>13</v>
      </c>
      <c r="H737" s="96" t="s">
        <v>49</v>
      </c>
      <c r="I737" s="96" t="s">
        <v>2</v>
      </c>
      <c r="J737" s="84" t="s">
        <v>1839</v>
      </c>
      <c r="K737" s="84"/>
      <c r="L737" s="84"/>
      <c r="M737" s="307" t="s">
        <v>49</v>
      </c>
    </row>
    <row r="738" spans="1:13" ht="31.5" hidden="1" customHeight="1" x14ac:dyDescent="0.2">
      <c r="A738" s="81">
        <v>737</v>
      </c>
      <c r="B738" s="240" t="s">
        <v>300</v>
      </c>
      <c r="C738" s="173" t="s">
        <v>1661</v>
      </c>
      <c r="D738" s="157" t="s">
        <v>1683</v>
      </c>
      <c r="E738" s="89" t="s">
        <v>1625</v>
      </c>
      <c r="F738" s="238" t="s">
        <v>48</v>
      </c>
      <c r="G738" s="82">
        <v>13</v>
      </c>
      <c r="H738" s="96" t="s">
        <v>49</v>
      </c>
      <c r="I738" s="96" t="s">
        <v>2</v>
      </c>
      <c r="J738" s="84" t="s">
        <v>1684</v>
      </c>
      <c r="K738" s="84"/>
      <c r="L738" s="84"/>
      <c r="M738" s="307" t="s">
        <v>49</v>
      </c>
    </row>
    <row r="739" spans="1:13" s="172" customFormat="1" ht="31.5" hidden="1" customHeight="1" x14ac:dyDescent="0.2">
      <c r="A739" s="81">
        <v>738</v>
      </c>
      <c r="B739" s="240" t="s">
        <v>1664</v>
      </c>
      <c r="C739" s="173" t="s">
        <v>1779</v>
      </c>
      <c r="D739" s="120" t="s">
        <v>1841</v>
      </c>
      <c r="E739" s="89" t="s">
        <v>1719</v>
      </c>
      <c r="F739" s="238" t="s">
        <v>48</v>
      </c>
      <c r="G739" s="82">
        <v>15</v>
      </c>
      <c r="H739" s="96" t="s">
        <v>49</v>
      </c>
      <c r="I739" s="96" t="s">
        <v>2</v>
      </c>
      <c r="J739" s="84" t="s">
        <v>1839</v>
      </c>
      <c r="K739" s="84"/>
      <c r="L739" s="84"/>
      <c r="M739" s="307" t="s">
        <v>49</v>
      </c>
    </row>
    <row r="740" spans="1:13" s="172" customFormat="1" ht="31.5" hidden="1" customHeight="1" x14ac:dyDescent="0.2">
      <c r="A740" s="81">
        <v>739</v>
      </c>
      <c r="B740" s="240" t="s">
        <v>1664</v>
      </c>
      <c r="C740" s="173" t="s">
        <v>1780</v>
      </c>
      <c r="D740" s="150" t="s">
        <v>1841</v>
      </c>
      <c r="E740" s="89" t="s">
        <v>1720</v>
      </c>
      <c r="F740" s="238" t="s">
        <v>48</v>
      </c>
      <c r="G740" s="82">
        <v>15</v>
      </c>
      <c r="H740" s="96" t="s">
        <v>49</v>
      </c>
      <c r="I740" s="96" t="s">
        <v>2</v>
      </c>
      <c r="J740" s="84" t="s">
        <v>1839</v>
      </c>
      <c r="K740" s="84"/>
      <c r="L740" s="84"/>
      <c r="M740" s="307" t="s">
        <v>49</v>
      </c>
    </row>
    <row r="741" spans="1:13" s="172" customFormat="1" ht="31.5" hidden="1" customHeight="1" x14ac:dyDescent="0.2">
      <c r="A741" s="81">
        <v>740</v>
      </c>
      <c r="B741" s="240" t="s">
        <v>1664</v>
      </c>
      <c r="C741" s="173" t="s">
        <v>1781</v>
      </c>
      <c r="D741" s="250" t="s">
        <v>1721</v>
      </c>
      <c r="E741" s="89" t="s">
        <v>1721</v>
      </c>
      <c r="F741" s="238" t="s">
        <v>48</v>
      </c>
      <c r="G741" s="82">
        <v>15</v>
      </c>
      <c r="H741" s="96" t="s">
        <v>49</v>
      </c>
      <c r="I741" s="96" t="s">
        <v>2</v>
      </c>
      <c r="J741" s="84" t="s">
        <v>1721</v>
      </c>
      <c r="K741" s="84"/>
      <c r="L741" s="84"/>
      <c r="M741" s="307" t="s">
        <v>49</v>
      </c>
    </row>
    <row r="742" spans="1:13" s="172" customFormat="1" ht="31.5" hidden="1" customHeight="1" x14ac:dyDescent="0.2">
      <c r="A742" s="81">
        <v>741</v>
      </c>
      <c r="B742" s="240" t="s">
        <v>1664</v>
      </c>
      <c r="C742" s="173" t="s">
        <v>1782</v>
      </c>
      <c r="D742" s="252" t="s">
        <v>1840</v>
      </c>
      <c r="E742" s="153" t="s">
        <v>1722</v>
      </c>
      <c r="F742" s="238" t="s">
        <v>48</v>
      </c>
      <c r="G742" s="82">
        <v>15</v>
      </c>
      <c r="H742" s="96" t="s">
        <v>49</v>
      </c>
      <c r="I742" s="96" t="s">
        <v>2</v>
      </c>
      <c r="J742" s="84" t="s">
        <v>1844</v>
      </c>
      <c r="K742" s="84"/>
      <c r="L742" s="84"/>
      <c r="M742" s="307" t="s">
        <v>49</v>
      </c>
    </row>
    <row r="743" spans="1:13" s="172" customFormat="1" ht="31.5" hidden="1" customHeight="1" x14ac:dyDescent="0.2">
      <c r="A743" s="81">
        <v>742</v>
      </c>
      <c r="B743" s="240" t="s">
        <v>1664</v>
      </c>
      <c r="C743" s="173" t="s">
        <v>1783</v>
      </c>
      <c r="D743" s="250" t="s">
        <v>1823</v>
      </c>
      <c r="E743" s="89" t="s">
        <v>1723</v>
      </c>
      <c r="F743" s="238" t="s">
        <v>48</v>
      </c>
      <c r="G743" s="82">
        <v>15</v>
      </c>
      <c r="H743" s="96" t="s">
        <v>49</v>
      </c>
      <c r="I743" s="96" t="s">
        <v>2</v>
      </c>
      <c r="J743" s="84" t="s">
        <v>1828</v>
      </c>
      <c r="K743" s="84"/>
      <c r="L743" s="84"/>
      <c r="M743" s="307" t="s">
        <v>49</v>
      </c>
    </row>
    <row r="744" spans="1:13" s="172" customFormat="1" ht="31.5" hidden="1" customHeight="1" x14ac:dyDescent="0.2">
      <c r="A744" s="81">
        <v>743</v>
      </c>
      <c r="B744" s="240" t="s">
        <v>1664</v>
      </c>
      <c r="C744" s="242" t="s">
        <v>1842</v>
      </c>
      <c r="D744" s="150" t="s">
        <v>1841</v>
      </c>
      <c r="E744" s="153" t="s">
        <v>1724</v>
      </c>
      <c r="F744" s="238" t="s">
        <v>48</v>
      </c>
      <c r="G744" s="82">
        <v>15</v>
      </c>
      <c r="H744" s="96" t="s">
        <v>49</v>
      </c>
      <c r="I744" s="96" t="s">
        <v>2</v>
      </c>
      <c r="J744" s="84" t="s">
        <v>1839</v>
      </c>
      <c r="K744" s="84"/>
      <c r="L744" s="84"/>
      <c r="M744" s="307" t="s">
        <v>49</v>
      </c>
    </row>
    <row r="745" spans="1:13" s="172" customFormat="1" ht="31.5" hidden="1" customHeight="1" x14ac:dyDescent="0.2">
      <c r="A745" s="81">
        <v>744</v>
      </c>
      <c r="B745" s="240" t="s">
        <v>1664</v>
      </c>
      <c r="C745" s="242" t="s">
        <v>1842</v>
      </c>
      <c r="D745" s="150" t="s">
        <v>1841</v>
      </c>
      <c r="E745" s="89" t="s">
        <v>1725</v>
      </c>
      <c r="F745" s="238" t="s">
        <v>48</v>
      </c>
      <c r="G745" s="82">
        <v>15</v>
      </c>
      <c r="H745" s="96" t="s">
        <v>49</v>
      </c>
      <c r="I745" s="96" t="s">
        <v>2</v>
      </c>
      <c r="J745" s="84" t="s">
        <v>1839</v>
      </c>
      <c r="K745" s="84"/>
      <c r="L745" s="84"/>
      <c r="M745" s="307" t="s">
        <v>49</v>
      </c>
    </row>
    <row r="746" spans="1:13" s="172" customFormat="1" ht="31.5" hidden="1" customHeight="1" x14ac:dyDescent="0.2">
      <c r="A746" s="81">
        <v>745</v>
      </c>
      <c r="B746" s="240" t="s">
        <v>1664</v>
      </c>
      <c r="C746" s="173" t="s">
        <v>1784</v>
      </c>
      <c r="D746" s="250" t="s">
        <v>1823</v>
      </c>
      <c r="E746" s="89" t="s">
        <v>1726</v>
      </c>
      <c r="F746" s="238" t="s">
        <v>48</v>
      </c>
      <c r="G746" s="82">
        <v>15</v>
      </c>
      <c r="H746" s="96" t="s">
        <v>49</v>
      </c>
      <c r="I746" s="96" t="s">
        <v>2</v>
      </c>
      <c r="J746" s="84" t="s">
        <v>1828</v>
      </c>
      <c r="K746" s="84"/>
      <c r="L746" s="84"/>
      <c r="M746" s="307" t="s">
        <v>49</v>
      </c>
    </row>
    <row r="747" spans="1:13" s="172" customFormat="1" ht="31.5" hidden="1" customHeight="1" x14ac:dyDescent="0.2">
      <c r="A747" s="81">
        <v>746</v>
      </c>
      <c r="B747" s="240" t="s">
        <v>1664</v>
      </c>
      <c r="C747" s="173" t="s">
        <v>1785</v>
      </c>
      <c r="D747" s="250" t="s">
        <v>1727</v>
      </c>
      <c r="E747" s="89" t="s">
        <v>1727</v>
      </c>
      <c r="F747" s="238" t="s">
        <v>48</v>
      </c>
      <c r="G747" s="82">
        <v>15</v>
      </c>
      <c r="H747" s="96" t="s">
        <v>49</v>
      </c>
      <c r="I747" s="96" t="s">
        <v>2</v>
      </c>
      <c r="J747" s="84" t="s">
        <v>1727</v>
      </c>
      <c r="K747" s="84"/>
      <c r="L747" s="84"/>
      <c r="M747" s="307" t="s">
        <v>49</v>
      </c>
    </row>
    <row r="748" spans="1:13" s="172" customFormat="1" ht="31.5" hidden="1" customHeight="1" x14ac:dyDescent="0.2">
      <c r="A748" s="81">
        <v>747</v>
      </c>
      <c r="B748" s="240" t="s">
        <v>1664</v>
      </c>
      <c r="C748" s="242" t="s">
        <v>1843</v>
      </c>
      <c r="D748" s="250" t="s">
        <v>1824</v>
      </c>
      <c r="E748" s="89" t="s">
        <v>1728</v>
      </c>
      <c r="F748" s="238" t="s">
        <v>48</v>
      </c>
      <c r="G748" s="82">
        <v>15</v>
      </c>
      <c r="H748" s="96" t="s">
        <v>49</v>
      </c>
      <c r="I748" s="96" t="s">
        <v>2</v>
      </c>
      <c r="J748" s="84" t="s">
        <v>1829</v>
      </c>
      <c r="K748" s="84"/>
      <c r="L748" s="84"/>
      <c r="M748" s="307" t="s">
        <v>49</v>
      </c>
    </row>
    <row r="749" spans="1:13" s="172" customFormat="1" ht="31.5" hidden="1" customHeight="1" x14ac:dyDescent="0.2">
      <c r="A749" s="81">
        <v>748</v>
      </c>
      <c r="B749" s="240" t="s">
        <v>1664</v>
      </c>
      <c r="C749" s="173" t="s">
        <v>1786</v>
      </c>
      <c r="D749" s="250" t="s">
        <v>1824</v>
      </c>
      <c r="E749" s="89" t="s">
        <v>1729</v>
      </c>
      <c r="F749" s="238" t="s">
        <v>48</v>
      </c>
      <c r="G749" s="82">
        <v>15</v>
      </c>
      <c r="H749" s="96" t="s">
        <v>49</v>
      </c>
      <c r="I749" s="96" t="s">
        <v>2</v>
      </c>
      <c r="J749" s="84" t="s">
        <v>1829</v>
      </c>
      <c r="K749" s="84"/>
      <c r="L749" s="84"/>
      <c r="M749" s="307" t="s">
        <v>49</v>
      </c>
    </row>
    <row r="750" spans="1:13" s="172" customFormat="1" ht="31.5" hidden="1" customHeight="1" x14ac:dyDescent="0.2">
      <c r="A750" s="81">
        <v>749</v>
      </c>
      <c r="B750" s="240" t="s">
        <v>1664</v>
      </c>
      <c r="C750" s="173" t="s">
        <v>1787</v>
      </c>
      <c r="D750" s="250" t="s">
        <v>1730</v>
      </c>
      <c r="E750" s="89" t="s">
        <v>1730</v>
      </c>
      <c r="F750" s="238" t="s">
        <v>48</v>
      </c>
      <c r="G750" s="82">
        <v>15</v>
      </c>
      <c r="H750" s="96" t="s">
        <v>49</v>
      </c>
      <c r="I750" s="96" t="s">
        <v>2</v>
      </c>
      <c r="J750" s="84" t="s">
        <v>1730</v>
      </c>
      <c r="K750" s="84"/>
      <c r="L750" s="84"/>
      <c r="M750" s="307" t="s">
        <v>49</v>
      </c>
    </row>
    <row r="751" spans="1:13" s="172" customFormat="1" ht="31.5" hidden="1" customHeight="1" x14ac:dyDescent="0.2">
      <c r="A751" s="81">
        <v>750</v>
      </c>
      <c r="B751" s="240" t="s">
        <v>1664</v>
      </c>
      <c r="C751" s="173" t="s">
        <v>1787</v>
      </c>
      <c r="D751" s="250" t="s">
        <v>1731</v>
      </c>
      <c r="E751" s="89" t="s">
        <v>1731</v>
      </c>
      <c r="F751" s="238" t="s">
        <v>48</v>
      </c>
      <c r="G751" s="82">
        <v>15</v>
      </c>
      <c r="H751" s="96" t="s">
        <v>49</v>
      </c>
      <c r="I751" s="96" t="s">
        <v>2</v>
      </c>
      <c r="J751" s="84" t="s">
        <v>1731</v>
      </c>
      <c r="K751" s="84"/>
      <c r="L751" s="84"/>
      <c r="M751" s="307" t="s">
        <v>49</v>
      </c>
    </row>
    <row r="752" spans="1:13" s="172" customFormat="1" ht="31.5" hidden="1" customHeight="1" x14ac:dyDescent="0.2">
      <c r="A752" s="81">
        <v>751</v>
      </c>
      <c r="B752" s="240" t="s">
        <v>1664</v>
      </c>
      <c r="C752" s="173" t="s">
        <v>1788</v>
      </c>
      <c r="D752" s="171" t="s">
        <v>1815</v>
      </c>
      <c r="E752" s="89" t="s">
        <v>1732</v>
      </c>
      <c r="F752" s="238" t="s">
        <v>48</v>
      </c>
      <c r="G752" s="82">
        <v>15</v>
      </c>
      <c r="H752" s="96" t="s">
        <v>49</v>
      </c>
      <c r="I752" s="96" t="s">
        <v>2</v>
      </c>
      <c r="J752" s="84" t="s">
        <v>1830</v>
      </c>
      <c r="K752" s="84"/>
      <c r="L752" s="84"/>
      <c r="M752" s="307" t="s">
        <v>49</v>
      </c>
    </row>
    <row r="753" spans="1:13" s="172" customFormat="1" ht="31.5" hidden="1" customHeight="1" x14ac:dyDescent="0.2">
      <c r="A753" s="81">
        <v>752</v>
      </c>
      <c r="B753" s="240" t="s">
        <v>1664</v>
      </c>
      <c r="C753" s="173" t="s">
        <v>1788</v>
      </c>
      <c r="D753" s="171" t="s">
        <v>1815</v>
      </c>
      <c r="E753" s="89" t="s">
        <v>1733</v>
      </c>
      <c r="F753" s="238" t="s">
        <v>48</v>
      </c>
      <c r="G753" s="82">
        <v>15</v>
      </c>
      <c r="H753" s="96" t="s">
        <v>49</v>
      </c>
      <c r="I753" s="96" t="s">
        <v>2</v>
      </c>
      <c r="J753" s="84" t="s">
        <v>1830</v>
      </c>
      <c r="K753" s="84"/>
      <c r="L753" s="84"/>
      <c r="M753" s="307" t="s">
        <v>49</v>
      </c>
    </row>
    <row r="754" spans="1:13" s="172" customFormat="1" ht="31.5" hidden="1" customHeight="1" x14ac:dyDescent="0.2">
      <c r="A754" s="81">
        <v>753</v>
      </c>
      <c r="B754" s="240" t="s">
        <v>625</v>
      </c>
      <c r="C754" s="173" t="s">
        <v>1789</v>
      </c>
      <c r="D754" s="171" t="s">
        <v>1712</v>
      </c>
      <c r="E754" s="89" t="s">
        <v>1734</v>
      </c>
      <c r="F754" s="238" t="s">
        <v>48</v>
      </c>
      <c r="G754" s="82">
        <v>15</v>
      </c>
      <c r="H754" s="96" t="s">
        <v>49</v>
      </c>
      <c r="I754" s="96" t="s">
        <v>2</v>
      </c>
      <c r="J754" s="84" t="s">
        <v>1826</v>
      </c>
      <c r="K754" s="84"/>
      <c r="L754" s="84"/>
      <c r="M754" s="307" t="s">
        <v>49</v>
      </c>
    </row>
    <row r="755" spans="1:13" s="172" customFormat="1" ht="31.5" hidden="1" customHeight="1" x14ac:dyDescent="0.2">
      <c r="A755" s="81">
        <v>754</v>
      </c>
      <c r="B755" s="240" t="s">
        <v>625</v>
      </c>
      <c r="C755" s="173" t="s">
        <v>1789</v>
      </c>
      <c r="D755" s="166" t="s">
        <v>1713</v>
      </c>
      <c r="E755" s="89" t="s">
        <v>1735</v>
      </c>
      <c r="F755" s="238" t="s">
        <v>48</v>
      </c>
      <c r="G755" s="82">
        <v>15</v>
      </c>
      <c r="H755" s="96" t="s">
        <v>49</v>
      </c>
      <c r="I755" s="96" t="s">
        <v>2</v>
      </c>
      <c r="J755" s="84" t="s">
        <v>1827</v>
      </c>
      <c r="K755" s="84"/>
      <c r="L755" s="84"/>
      <c r="M755" s="307" t="s">
        <v>49</v>
      </c>
    </row>
    <row r="756" spans="1:13" s="172" customFormat="1" ht="31.5" hidden="1" customHeight="1" x14ac:dyDescent="0.2">
      <c r="A756" s="81">
        <v>755</v>
      </c>
      <c r="B756" s="240" t="s">
        <v>625</v>
      </c>
      <c r="C756" s="173" t="s">
        <v>1789</v>
      </c>
      <c r="D756" s="171" t="s">
        <v>1714</v>
      </c>
      <c r="E756" s="89" t="s">
        <v>1736</v>
      </c>
      <c r="F756" s="238" t="s">
        <v>48</v>
      </c>
      <c r="G756" s="82">
        <v>15</v>
      </c>
      <c r="H756" s="96" t="s">
        <v>49</v>
      </c>
      <c r="I756" s="96" t="s">
        <v>2</v>
      </c>
      <c r="J756" s="84" t="s">
        <v>1825</v>
      </c>
      <c r="K756" s="84"/>
      <c r="L756" s="84"/>
      <c r="M756" s="307" t="s">
        <v>49</v>
      </c>
    </row>
    <row r="757" spans="1:13" s="172" customFormat="1" ht="31.5" hidden="1" customHeight="1" x14ac:dyDescent="0.2">
      <c r="A757" s="81">
        <v>756</v>
      </c>
      <c r="B757" s="240" t="s">
        <v>143</v>
      </c>
      <c r="C757" s="173" t="s">
        <v>1790</v>
      </c>
      <c r="D757" s="282" t="s">
        <v>2037</v>
      </c>
      <c r="E757" s="89" t="s">
        <v>1737</v>
      </c>
      <c r="F757" s="238" t="s">
        <v>48</v>
      </c>
      <c r="G757" s="82">
        <v>15</v>
      </c>
      <c r="H757" s="96" t="s">
        <v>49</v>
      </c>
      <c r="I757" s="96" t="s">
        <v>2</v>
      </c>
      <c r="J757" s="84" t="s">
        <v>2091</v>
      </c>
      <c r="K757" s="84"/>
      <c r="L757" s="84"/>
      <c r="M757" s="307" t="s">
        <v>49</v>
      </c>
    </row>
    <row r="758" spans="1:13" s="172" customFormat="1" ht="31.5" hidden="1" customHeight="1" x14ac:dyDescent="0.2">
      <c r="A758" s="81">
        <v>757</v>
      </c>
      <c r="B758" s="240" t="s">
        <v>143</v>
      </c>
      <c r="C758" s="173" t="s">
        <v>1791</v>
      </c>
      <c r="D758" s="171" t="s">
        <v>2037</v>
      </c>
      <c r="E758" s="89" t="s">
        <v>1738</v>
      </c>
      <c r="F758" s="238" t="s">
        <v>48</v>
      </c>
      <c r="G758" s="82">
        <v>15</v>
      </c>
      <c r="H758" s="96" t="s">
        <v>49</v>
      </c>
      <c r="I758" s="96" t="s">
        <v>2</v>
      </c>
      <c r="J758" s="84" t="s">
        <v>2091</v>
      </c>
      <c r="K758" s="84"/>
      <c r="L758" s="84"/>
      <c r="M758" s="307" t="s">
        <v>49</v>
      </c>
    </row>
    <row r="759" spans="1:13" s="172" customFormat="1" ht="31.5" hidden="1" customHeight="1" x14ac:dyDescent="0.2">
      <c r="A759" s="81">
        <v>758</v>
      </c>
      <c r="B759" s="240" t="s">
        <v>143</v>
      </c>
      <c r="C759" s="173" t="s">
        <v>1792</v>
      </c>
      <c r="D759" s="276" t="s">
        <v>2090</v>
      </c>
      <c r="E759" s="89" t="s">
        <v>1739</v>
      </c>
      <c r="F759" s="238" t="s">
        <v>48</v>
      </c>
      <c r="G759" s="82">
        <v>15</v>
      </c>
      <c r="H759" s="96" t="s">
        <v>49</v>
      </c>
      <c r="I759" s="96" t="s">
        <v>2</v>
      </c>
      <c r="J759" s="84" t="s">
        <v>2134</v>
      </c>
      <c r="K759" s="84"/>
      <c r="L759" s="84"/>
      <c r="M759" s="307" t="s">
        <v>49</v>
      </c>
    </row>
    <row r="760" spans="1:13" s="172" customFormat="1" ht="31.5" hidden="1" customHeight="1" x14ac:dyDescent="0.2">
      <c r="A760" s="81">
        <v>759</v>
      </c>
      <c r="B760" s="240" t="s">
        <v>143</v>
      </c>
      <c r="C760" s="173" t="s">
        <v>1793</v>
      </c>
      <c r="D760" s="171" t="s">
        <v>1814</v>
      </c>
      <c r="E760" s="89" t="s">
        <v>1740</v>
      </c>
      <c r="F760" s="238" t="s">
        <v>48</v>
      </c>
      <c r="G760" s="82">
        <v>15</v>
      </c>
      <c r="H760" s="96" t="s">
        <v>49</v>
      </c>
      <c r="I760" s="96" t="s">
        <v>2</v>
      </c>
      <c r="J760" s="84" t="s">
        <v>1831</v>
      </c>
      <c r="K760" s="84"/>
      <c r="L760" s="84"/>
      <c r="M760" s="307" t="s">
        <v>49</v>
      </c>
    </row>
    <row r="761" spans="1:13" s="172" customFormat="1" ht="31.5" hidden="1" customHeight="1" x14ac:dyDescent="0.2">
      <c r="A761" s="81">
        <v>760</v>
      </c>
      <c r="B761" s="240" t="s">
        <v>143</v>
      </c>
      <c r="C761" s="173" t="s">
        <v>1793</v>
      </c>
      <c r="D761" s="171" t="s">
        <v>1814</v>
      </c>
      <c r="E761" s="89" t="s">
        <v>1741</v>
      </c>
      <c r="F761" s="238" t="s">
        <v>48</v>
      </c>
      <c r="G761" s="82">
        <v>15</v>
      </c>
      <c r="H761" s="96" t="s">
        <v>49</v>
      </c>
      <c r="I761" s="96" t="s">
        <v>2</v>
      </c>
      <c r="J761" s="84" t="s">
        <v>1831</v>
      </c>
      <c r="K761" s="84"/>
      <c r="L761" s="84"/>
      <c r="M761" s="307" t="s">
        <v>49</v>
      </c>
    </row>
    <row r="762" spans="1:13" s="172" customFormat="1" ht="31.5" hidden="1" customHeight="1" x14ac:dyDescent="0.2">
      <c r="A762" s="81">
        <v>761</v>
      </c>
      <c r="B762" s="240" t="s">
        <v>143</v>
      </c>
      <c r="C762" s="173" t="s">
        <v>1794</v>
      </c>
      <c r="D762" s="171" t="s">
        <v>1814</v>
      </c>
      <c r="E762" s="89" t="s">
        <v>1742</v>
      </c>
      <c r="F762" s="238" t="s">
        <v>48</v>
      </c>
      <c r="G762" s="82">
        <v>15</v>
      </c>
      <c r="H762" s="96" t="s">
        <v>49</v>
      </c>
      <c r="I762" s="96" t="s">
        <v>2</v>
      </c>
      <c r="J762" s="84" t="s">
        <v>1831</v>
      </c>
      <c r="K762" s="84"/>
      <c r="L762" s="84"/>
      <c r="M762" s="307" t="s">
        <v>49</v>
      </c>
    </row>
    <row r="763" spans="1:13" s="172" customFormat="1" ht="31.5" hidden="1" customHeight="1" x14ac:dyDescent="0.2">
      <c r="A763" s="81">
        <v>762</v>
      </c>
      <c r="B763" s="240" t="s">
        <v>143</v>
      </c>
      <c r="C763" s="173" t="s">
        <v>1794</v>
      </c>
      <c r="D763" s="171" t="s">
        <v>1814</v>
      </c>
      <c r="E763" s="89" t="s">
        <v>1743</v>
      </c>
      <c r="F763" s="238" t="s">
        <v>48</v>
      </c>
      <c r="G763" s="82">
        <v>15</v>
      </c>
      <c r="H763" s="96" t="s">
        <v>49</v>
      </c>
      <c r="I763" s="96" t="s">
        <v>2</v>
      </c>
      <c r="J763" s="84" t="s">
        <v>1831</v>
      </c>
      <c r="K763" s="84"/>
      <c r="L763" s="84"/>
      <c r="M763" s="307" t="s">
        <v>49</v>
      </c>
    </row>
    <row r="764" spans="1:13" s="172" customFormat="1" ht="31.5" hidden="1" customHeight="1" x14ac:dyDescent="0.2">
      <c r="A764" s="81">
        <v>763</v>
      </c>
      <c r="B764" s="240" t="s">
        <v>143</v>
      </c>
      <c r="C764" s="173" t="s">
        <v>1795</v>
      </c>
      <c r="D764" s="171" t="s">
        <v>1814</v>
      </c>
      <c r="E764" s="89" t="s">
        <v>1744</v>
      </c>
      <c r="F764" s="238" t="s">
        <v>48</v>
      </c>
      <c r="G764" s="82">
        <v>15</v>
      </c>
      <c r="H764" s="96" t="s">
        <v>49</v>
      </c>
      <c r="I764" s="96" t="s">
        <v>2</v>
      </c>
      <c r="J764" s="84" t="s">
        <v>1831</v>
      </c>
      <c r="K764" s="84"/>
      <c r="L764" s="84"/>
      <c r="M764" s="307" t="s">
        <v>49</v>
      </c>
    </row>
    <row r="765" spans="1:13" s="172" customFormat="1" ht="31.5" hidden="1" customHeight="1" x14ac:dyDescent="0.2">
      <c r="A765" s="81">
        <v>764</v>
      </c>
      <c r="B765" s="240" t="s">
        <v>143</v>
      </c>
      <c r="C765" s="173" t="s">
        <v>1795</v>
      </c>
      <c r="D765" s="171" t="s">
        <v>1814</v>
      </c>
      <c r="E765" s="89" t="s">
        <v>1745</v>
      </c>
      <c r="F765" s="238" t="s">
        <v>48</v>
      </c>
      <c r="G765" s="82">
        <v>15</v>
      </c>
      <c r="H765" s="96" t="s">
        <v>49</v>
      </c>
      <c r="I765" s="96" t="s">
        <v>2</v>
      </c>
      <c r="J765" s="84" t="s">
        <v>1831</v>
      </c>
      <c r="K765" s="84"/>
      <c r="L765" s="84"/>
      <c r="M765" s="307" t="s">
        <v>49</v>
      </c>
    </row>
    <row r="766" spans="1:13" s="172" customFormat="1" ht="31.5" hidden="1" customHeight="1" x14ac:dyDescent="0.2">
      <c r="A766" s="81">
        <v>765</v>
      </c>
      <c r="B766" s="240" t="s">
        <v>143</v>
      </c>
      <c r="C766" s="173" t="s">
        <v>1795</v>
      </c>
      <c r="D766" s="270" t="s">
        <v>2038</v>
      </c>
      <c r="E766" s="89" t="s">
        <v>1746</v>
      </c>
      <c r="F766" s="238" t="s">
        <v>48</v>
      </c>
      <c r="G766" s="82">
        <v>15</v>
      </c>
      <c r="H766" s="96" t="s">
        <v>49</v>
      </c>
      <c r="I766" s="96" t="s">
        <v>2</v>
      </c>
      <c r="J766" s="84" t="s">
        <v>2135</v>
      </c>
      <c r="K766" s="84"/>
      <c r="L766" s="84"/>
      <c r="M766" s="307" t="s">
        <v>49</v>
      </c>
    </row>
    <row r="767" spans="1:13" s="172" customFormat="1" ht="31.5" hidden="1" customHeight="1" x14ac:dyDescent="0.2">
      <c r="A767" s="81">
        <v>766</v>
      </c>
      <c r="B767" s="240" t="s">
        <v>143</v>
      </c>
      <c r="C767" s="173" t="s">
        <v>1795</v>
      </c>
      <c r="D767" s="270" t="s">
        <v>2038</v>
      </c>
      <c r="E767" s="89" t="s">
        <v>1747</v>
      </c>
      <c r="F767" s="238" t="s">
        <v>48</v>
      </c>
      <c r="G767" s="82">
        <v>15</v>
      </c>
      <c r="H767" s="96" t="s">
        <v>49</v>
      </c>
      <c r="I767" s="96" t="s">
        <v>2</v>
      </c>
      <c r="J767" s="84" t="s">
        <v>2135</v>
      </c>
      <c r="K767" s="84"/>
      <c r="L767" s="84"/>
      <c r="M767" s="307" t="s">
        <v>49</v>
      </c>
    </row>
    <row r="768" spans="1:13" s="172" customFormat="1" ht="31.5" hidden="1" customHeight="1" x14ac:dyDescent="0.2">
      <c r="A768" s="81">
        <v>767</v>
      </c>
      <c r="B768" s="240" t="s">
        <v>143</v>
      </c>
      <c r="C768" s="173" t="s">
        <v>1796</v>
      </c>
      <c r="D768" s="279" t="s">
        <v>2094</v>
      </c>
      <c r="E768" s="153" t="s">
        <v>1748</v>
      </c>
      <c r="F768" s="238" t="s">
        <v>48</v>
      </c>
      <c r="G768" s="82">
        <v>15</v>
      </c>
      <c r="H768" s="96" t="s">
        <v>49</v>
      </c>
      <c r="I768" s="96" t="s">
        <v>2</v>
      </c>
      <c r="J768" s="84" t="s">
        <v>2136</v>
      </c>
      <c r="K768" s="84"/>
      <c r="L768" s="84"/>
      <c r="M768" s="307" t="s">
        <v>49</v>
      </c>
    </row>
    <row r="769" spans="1:13" s="172" customFormat="1" ht="31.5" hidden="1" customHeight="1" x14ac:dyDescent="0.2">
      <c r="A769" s="81">
        <v>768</v>
      </c>
      <c r="B769" s="240" t="s">
        <v>143</v>
      </c>
      <c r="C769" s="173" t="s">
        <v>1796</v>
      </c>
      <c r="D769" s="279" t="s">
        <v>2095</v>
      </c>
      <c r="E769" s="89" t="s">
        <v>1749</v>
      </c>
      <c r="F769" s="238" t="s">
        <v>48</v>
      </c>
      <c r="G769" s="82">
        <v>15</v>
      </c>
      <c r="H769" s="96" t="s">
        <v>49</v>
      </c>
      <c r="I769" s="96" t="s">
        <v>2</v>
      </c>
      <c r="J769" s="84" t="s">
        <v>2137</v>
      </c>
      <c r="K769" s="84"/>
      <c r="L769" s="84"/>
      <c r="M769" s="307" t="s">
        <v>49</v>
      </c>
    </row>
    <row r="770" spans="1:13" s="172" customFormat="1" ht="31.5" hidden="1" customHeight="1" x14ac:dyDescent="0.2">
      <c r="A770" s="81">
        <v>769</v>
      </c>
      <c r="B770" s="240" t="s">
        <v>1664</v>
      </c>
      <c r="C770" s="173" t="s">
        <v>1797</v>
      </c>
      <c r="D770" s="171" t="s">
        <v>1819</v>
      </c>
      <c r="E770" s="89" t="s">
        <v>1750</v>
      </c>
      <c r="F770" s="238" t="s">
        <v>48</v>
      </c>
      <c r="G770" s="82">
        <v>15</v>
      </c>
      <c r="H770" s="96" t="s">
        <v>49</v>
      </c>
      <c r="I770" s="96" t="s">
        <v>2</v>
      </c>
      <c r="J770" s="84" t="s">
        <v>1832</v>
      </c>
      <c r="K770" s="84"/>
      <c r="L770" s="84"/>
      <c r="M770" s="307" t="s">
        <v>49</v>
      </c>
    </row>
    <row r="771" spans="1:13" s="172" customFormat="1" ht="31.5" hidden="1" customHeight="1" x14ac:dyDescent="0.2">
      <c r="A771" s="81">
        <v>770</v>
      </c>
      <c r="B771" s="240" t="s">
        <v>1664</v>
      </c>
      <c r="C771" s="173" t="s">
        <v>1798</v>
      </c>
      <c r="D771" s="171" t="s">
        <v>1819</v>
      </c>
      <c r="E771" s="89" t="s">
        <v>1751</v>
      </c>
      <c r="F771" s="238" t="s">
        <v>48</v>
      </c>
      <c r="G771" s="82">
        <v>15</v>
      </c>
      <c r="H771" s="96" t="s">
        <v>49</v>
      </c>
      <c r="I771" s="96" t="s">
        <v>2</v>
      </c>
      <c r="J771" s="84" t="s">
        <v>1832</v>
      </c>
      <c r="K771" s="84"/>
      <c r="L771" s="84"/>
      <c r="M771" s="307" t="s">
        <v>49</v>
      </c>
    </row>
    <row r="772" spans="1:13" s="172" customFormat="1" ht="31.5" hidden="1" customHeight="1" x14ac:dyDescent="0.2">
      <c r="A772" s="81">
        <v>771</v>
      </c>
      <c r="B772" s="240" t="s">
        <v>1664</v>
      </c>
      <c r="C772" s="173" t="s">
        <v>1799</v>
      </c>
      <c r="D772" s="171" t="s">
        <v>1819</v>
      </c>
      <c r="E772" s="89" t="s">
        <v>1752</v>
      </c>
      <c r="F772" s="238" t="s">
        <v>48</v>
      </c>
      <c r="G772" s="82">
        <v>15</v>
      </c>
      <c r="H772" s="96" t="s">
        <v>49</v>
      </c>
      <c r="I772" s="96" t="s">
        <v>2</v>
      </c>
      <c r="J772" s="84" t="s">
        <v>1832</v>
      </c>
      <c r="K772" s="84"/>
      <c r="L772" s="84"/>
      <c r="M772" s="307" t="s">
        <v>49</v>
      </c>
    </row>
    <row r="773" spans="1:13" s="172" customFormat="1" ht="31.5" hidden="1" customHeight="1" x14ac:dyDescent="0.2">
      <c r="A773" s="81">
        <v>772</v>
      </c>
      <c r="B773" s="240" t="s">
        <v>1664</v>
      </c>
      <c r="C773" s="173" t="s">
        <v>1799</v>
      </c>
      <c r="D773" s="171" t="s">
        <v>1819</v>
      </c>
      <c r="E773" s="89" t="s">
        <v>1753</v>
      </c>
      <c r="F773" s="238" t="s">
        <v>48</v>
      </c>
      <c r="G773" s="82">
        <v>15</v>
      </c>
      <c r="H773" s="96" t="s">
        <v>49</v>
      </c>
      <c r="I773" s="96" t="s">
        <v>2</v>
      </c>
      <c r="J773" s="84" t="s">
        <v>1832</v>
      </c>
      <c r="K773" s="84"/>
      <c r="L773" s="84"/>
      <c r="M773" s="307" t="s">
        <v>49</v>
      </c>
    </row>
    <row r="774" spans="1:13" s="172" customFormat="1" ht="31.5" hidden="1" customHeight="1" x14ac:dyDescent="0.2">
      <c r="A774" s="81">
        <v>773</v>
      </c>
      <c r="B774" s="240" t="s">
        <v>1664</v>
      </c>
      <c r="C774" s="173" t="s">
        <v>1800</v>
      </c>
      <c r="D774" s="253" t="s">
        <v>1845</v>
      </c>
      <c r="E774" s="153" t="s">
        <v>1754</v>
      </c>
      <c r="F774" s="238" t="s">
        <v>48</v>
      </c>
      <c r="G774" s="82">
        <v>15</v>
      </c>
      <c r="H774" s="96" t="s">
        <v>49</v>
      </c>
      <c r="I774" s="96" t="s">
        <v>2</v>
      </c>
      <c r="J774" s="84" t="s">
        <v>1846</v>
      </c>
      <c r="K774" s="84"/>
      <c r="L774" s="84"/>
      <c r="M774" s="307" t="s">
        <v>49</v>
      </c>
    </row>
    <row r="775" spans="1:13" s="172" customFormat="1" ht="31.5" hidden="1" customHeight="1" x14ac:dyDescent="0.2">
      <c r="A775" s="81">
        <v>774</v>
      </c>
      <c r="B775" s="240" t="s">
        <v>1664</v>
      </c>
      <c r="C775" s="173" t="s">
        <v>1801</v>
      </c>
      <c r="D775" s="171" t="s">
        <v>1819</v>
      </c>
      <c r="E775" s="89" t="s">
        <v>1755</v>
      </c>
      <c r="F775" s="238" t="s">
        <v>48</v>
      </c>
      <c r="G775" s="82">
        <v>15</v>
      </c>
      <c r="H775" s="96" t="s">
        <v>49</v>
      </c>
      <c r="I775" s="96" t="s">
        <v>2</v>
      </c>
      <c r="J775" s="84" t="s">
        <v>1832</v>
      </c>
      <c r="K775" s="84"/>
      <c r="L775" s="84"/>
      <c r="M775" s="307" t="s">
        <v>49</v>
      </c>
    </row>
    <row r="776" spans="1:13" s="172" customFormat="1" ht="31.5" hidden="1" customHeight="1" x14ac:dyDescent="0.2">
      <c r="A776" s="81">
        <v>775</v>
      </c>
      <c r="B776" s="240" t="s">
        <v>143</v>
      </c>
      <c r="C776" s="173" t="s">
        <v>1802</v>
      </c>
      <c r="D776" s="270" t="s">
        <v>2038</v>
      </c>
      <c r="E776" s="89" t="s">
        <v>1756</v>
      </c>
      <c r="F776" s="238" t="s">
        <v>48</v>
      </c>
      <c r="G776" s="82">
        <v>15</v>
      </c>
      <c r="H776" s="96" t="s">
        <v>49</v>
      </c>
      <c r="I776" s="96" t="s">
        <v>2</v>
      </c>
      <c r="J776" s="84" t="s">
        <v>2135</v>
      </c>
      <c r="K776" s="84"/>
      <c r="L776" s="84"/>
      <c r="M776" s="307" t="s">
        <v>49</v>
      </c>
    </row>
    <row r="777" spans="1:13" s="172" customFormat="1" ht="31.5" hidden="1" customHeight="1" x14ac:dyDescent="0.2">
      <c r="A777" s="81">
        <v>776</v>
      </c>
      <c r="B777" s="240" t="s">
        <v>143</v>
      </c>
      <c r="C777" s="173" t="s">
        <v>1802</v>
      </c>
      <c r="D777" s="270" t="s">
        <v>2038</v>
      </c>
      <c r="E777" s="89" t="s">
        <v>1757</v>
      </c>
      <c r="F777" s="238" t="s">
        <v>48</v>
      </c>
      <c r="G777" s="82">
        <v>15</v>
      </c>
      <c r="H777" s="96" t="s">
        <v>49</v>
      </c>
      <c r="I777" s="96" t="s">
        <v>2</v>
      </c>
      <c r="J777" s="84" t="s">
        <v>2135</v>
      </c>
      <c r="K777" s="84"/>
      <c r="L777" s="84"/>
      <c r="M777" s="307" t="s">
        <v>49</v>
      </c>
    </row>
    <row r="778" spans="1:13" s="172" customFormat="1" ht="31.5" hidden="1" customHeight="1" x14ac:dyDescent="0.2">
      <c r="A778" s="81">
        <v>777</v>
      </c>
      <c r="B778" s="240" t="s">
        <v>143</v>
      </c>
      <c r="C778" s="173" t="s">
        <v>1802</v>
      </c>
      <c r="D778" s="270" t="s">
        <v>2038</v>
      </c>
      <c r="E778" s="89" t="s">
        <v>1758</v>
      </c>
      <c r="F778" s="238" t="s">
        <v>48</v>
      </c>
      <c r="G778" s="82">
        <v>15</v>
      </c>
      <c r="H778" s="96" t="s">
        <v>49</v>
      </c>
      <c r="I778" s="96" t="s">
        <v>2</v>
      </c>
      <c r="J778" s="84" t="s">
        <v>2135</v>
      </c>
      <c r="K778" s="84"/>
      <c r="L778" s="84"/>
      <c r="M778" s="307" t="s">
        <v>49</v>
      </c>
    </row>
    <row r="779" spans="1:13" s="172" customFormat="1" ht="31.5" hidden="1" customHeight="1" x14ac:dyDescent="0.2">
      <c r="A779" s="81">
        <v>778</v>
      </c>
      <c r="B779" s="240" t="s">
        <v>143</v>
      </c>
      <c r="C779" s="173" t="s">
        <v>1803</v>
      </c>
      <c r="D779" s="248" t="s">
        <v>1816</v>
      </c>
      <c r="E779" s="89" t="s">
        <v>1759</v>
      </c>
      <c r="F779" s="238" t="s">
        <v>48</v>
      </c>
      <c r="G779" s="82">
        <v>15</v>
      </c>
      <c r="H779" s="96" t="s">
        <v>49</v>
      </c>
      <c r="I779" s="96" t="s">
        <v>2</v>
      </c>
      <c r="J779" s="84" t="s">
        <v>1833</v>
      </c>
      <c r="K779" s="84"/>
      <c r="L779" s="84"/>
      <c r="M779" s="307" t="s">
        <v>49</v>
      </c>
    </row>
    <row r="780" spans="1:13" s="172" customFormat="1" ht="31.5" hidden="1" customHeight="1" x14ac:dyDescent="0.2">
      <c r="A780" s="81">
        <v>779</v>
      </c>
      <c r="B780" s="240" t="s">
        <v>143</v>
      </c>
      <c r="C780" s="173" t="s">
        <v>1803</v>
      </c>
      <c r="D780" s="248" t="s">
        <v>1817</v>
      </c>
      <c r="E780" s="153" t="s">
        <v>1760</v>
      </c>
      <c r="F780" s="238" t="s">
        <v>48</v>
      </c>
      <c r="G780" s="82">
        <v>15</v>
      </c>
      <c r="H780" s="96" t="s">
        <v>49</v>
      </c>
      <c r="I780" s="96" t="s">
        <v>2</v>
      </c>
      <c r="J780" s="84" t="s">
        <v>1834</v>
      </c>
      <c r="K780" s="84"/>
      <c r="L780" s="84"/>
      <c r="M780" s="307" t="s">
        <v>49</v>
      </c>
    </row>
    <row r="781" spans="1:13" s="172" customFormat="1" ht="31.5" hidden="1" customHeight="1" x14ac:dyDescent="0.2">
      <c r="A781" s="81">
        <v>780</v>
      </c>
      <c r="B781" s="240" t="s">
        <v>143</v>
      </c>
      <c r="C781" s="173" t="s">
        <v>1803</v>
      </c>
      <c r="D781" s="248" t="s">
        <v>1816</v>
      </c>
      <c r="E781" s="89" t="s">
        <v>1761</v>
      </c>
      <c r="F781" s="238" t="s">
        <v>48</v>
      </c>
      <c r="G781" s="82">
        <v>15</v>
      </c>
      <c r="H781" s="96" t="s">
        <v>49</v>
      </c>
      <c r="I781" s="96" t="s">
        <v>2</v>
      </c>
      <c r="J781" s="84" t="s">
        <v>1833</v>
      </c>
      <c r="K781" s="84"/>
      <c r="L781" s="84"/>
      <c r="M781" s="307" t="s">
        <v>49</v>
      </c>
    </row>
    <row r="782" spans="1:13" s="172" customFormat="1" ht="31.5" hidden="1" customHeight="1" x14ac:dyDescent="0.2">
      <c r="A782" s="81">
        <v>781</v>
      </c>
      <c r="B782" s="240" t="s">
        <v>143</v>
      </c>
      <c r="C782" s="173" t="s">
        <v>1803</v>
      </c>
      <c r="D782" s="248" t="s">
        <v>1817</v>
      </c>
      <c r="E782" s="153" t="s">
        <v>1762</v>
      </c>
      <c r="F782" s="238" t="s">
        <v>48</v>
      </c>
      <c r="G782" s="82">
        <v>15</v>
      </c>
      <c r="H782" s="96" t="s">
        <v>49</v>
      </c>
      <c r="I782" s="96" t="s">
        <v>2</v>
      </c>
      <c r="J782" s="84" t="s">
        <v>1834</v>
      </c>
      <c r="K782" s="84"/>
      <c r="L782" s="84"/>
      <c r="M782" s="307" t="s">
        <v>49</v>
      </c>
    </row>
    <row r="783" spans="1:13" s="172" customFormat="1" ht="31.5" hidden="1" customHeight="1" x14ac:dyDescent="0.2">
      <c r="A783" s="81">
        <v>782</v>
      </c>
      <c r="B783" s="240" t="s">
        <v>1664</v>
      </c>
      <c r="C783" s="173" t="s">
        <v>1804</v>
      </c>
      <c r="D783" s="249" t="s">
        <v>1821</v>
      </c>
      <c r="E783" s="89" t="s">
        <v>1763</v>
      </c>
      <c r="F783" s="238" t="s">
        <v>48</v>
      </c>
      <c r="G783" s="82">
        <v>15</v>
      </c>
      <c r="H783" s="96" t="s">
        <v>49</v>
      </c>
      <c r="I783" s="96" t="s">
        <v>2</v>
      </c>
      <c r="J783" s="84" t="s">
        <v>1835</v>
      </c>
      <c r="K783" s="84"/>
      <c r="L783" s="84"/>
      <c r="M783" s="307" t="s">
        <v>49</v>
      </c>
    </row>
    <row r="784" spans="1:13" s="172" customFormat="1" ht="31.5" hidden="1" customHeight="1" x14ac:dyDescent="0.2">
      <c r="A784" s="81">
        <v>783</v>
      </c>
      <c r="B784" s="240" t="s">
        <v>1664</v>
      </c>
      <c r="C784" s="173" t="s">
        <v>1804</v>
      </c>
      <c r="D784" s="249" t="s">
        <v>1821</v>
      </c>
      <c r="E784" s="89" t="s">
        <v>1764</v>
      </c>
      <c r="F784" s="238" t="s">
        <v>48</v>
      </c>
      <c r="G784" s="82">
        <v>15</v>
      </c>
      <c r="H784" s="96" t="s">
        <v>49</v>
      </c>
      <c r="I784" s="96" t="s">
        <v>2</v>
      </c>
      <c r="J784" s="84" t="s">
        <v>1835</v>
      </c>
      <c r="K784" s="84"/>
      <c r="L784" s="84"/>
      <c r="M784" s="307" t="s">
        <v>49</v>
      </c>
    </row>
    <row r="785" spans="1:13" s="172" customFormat="1" ht="31.5" hidden="1" customHeight="1" x14ac:dyDescent="0.2">
      <c r="A785" s="81">
        <v>784</v>
      </c>
      <c r="B785" s="240" t="s">
        <v>1664</v>
      </c>
      <c r="C785" s="173" t="s">
        <v>1804</v>
      </c>
      <c r="D785" s="254" t="s">
        <v>1845</v>
      </c>
      <c r="E785" s="89" t="s">
        <v>1765</v>
      </c>
      <c r="F785" s="238" t="s">
        <v>48</v>
      </c>
      <c r="G785" s="82">
        <v>15</v>
      </c>
      <c r="H785" s="96" t="s">
        <v>49</v>
      </c>
      <c r="I785" s="96" t="s">
        <v>2</v>
      </c>
      <c r="J785" s="84" t="s">
        <v>1846</v>
      </c>
      <c r="K785" s="84"/>
      <c r="L785" s="84"/>
      <c r="M785" s="307" t="s">
        <v>49</v>
      </c>
    </row>
    <row r="786" spans="1:13" s="172" customFormat="1" ht="31.5" hidden="1" customHeight="1" x14ac:dyDescent="0.2">
      <c r="A786" s="81">
        <v>785</v>
      </c>
      <c r="B786" s="240" t="s">
        <v>1664</v>
      </c>
      <c r="C786" s="173" t="s">
        <v>1805</v>
      </c>
      <c r="D786" s="250" t="s">
        <v>1821</v>
      </c>
      <c r="E786" s="89" t="s">
        <v>1766</v>
      </c>
      <c r="F786" s="238" t="s">
        <v>48</v>
      </c>
      <c r="G786" s="82">
        <v>15</v>
      </c>
      <c r="H786" s="96" t="s">
        <v>49</v>
      </c>
      <c r="I786" s="96" t="s">
        <v>2</v>
      </c>
      <c r="J786" s="84" t="s">
        <v>1835</v>
      </c>
      <c r="K786" s="84"/>
      <c r="L786" s="84"/>
      <c r="M786" s="307" t="s">
        <v>49</v>
      </c>
    </row>
    <row r="787" spans="1:13" s="172" customFormat="1" ht="31.5" hidden="1" customHeight="1" x14ac:dyDescent="0.2">
      <c r="A787" s="81">
        <v>786</v>
      </c>
      <c r="B787" s="240" t="s">
        <v>1813</v>
      </c>
      <c r="C787" s="173" t="s">
        <v>1806</v>
      </c>
      <c r="D787" s="171" t="s">
        <v>1767</v>
      </c>
      <c r="E787" s="89" t="s">
        <v>1767</v>
      </c>
      <c r="F787" s="238" t="s">
        <v>48</v>
      </c>
      <c r="G787" s="82">
        <v>15</v>
      </c>
      <c r="H787" s="96" t="s">
        <v>49</v>
      </c>
      <c r="I787" s="96" t="s">
        <v>2</v>
      </c>
      <c r="J787" s="84" t="s">
        <v>1767</v>
      </c>
      <c r="K787" s="84"/>
      <c r="L787" s="84"/>
      <c r="M787" s="307" t="s">
        <v>49</v>
      </c>
    </row>
    <row r="788" spans="1:13" s="172" customFormat="1" ht="31.5" hidden="1" customHeight="1" x14ac:dyDescent="0.2">
      <c r="A788" s="81">
        <v>787</v>
      </c>
      <c r="B788" s="240" t="s">
        <v>1813</v>
      </c>
      <c r="C788" s="173" t="s">
        <v>1807</v>
      </c>
      <c r="D788" s="171" t="s">
        <v>1768</v>
      </c>
      <c r="E788" s="89" t="s">
        <v>1768</v>
      </c>
      <c r="F788" s="238" t="s">
        <v>48</v>
      </c>
      <c r="G788" s="82">
        <v>15</v>
      </c>
      <c r="H788" s="96" t="s">
        <v>49</v>
      </c>
      <c r="I788" s="96" t="s">
        <v>2</v>
      </c>
      <c r="J788" s="84" t="s">
        <v>1768</v>
      </c>
      <c r="K788" s="84"/>
      <c r="L788" s="84"/>
      <c r="M788" s="307" t="s">
        <v>49</v>
      </c>
    </row>
    <row r="789" spans="1:13" s="172" customFormat="1" ht="31.5" hidden="1" customHeight="1" x14ac:dyDescent="0.2">
      <c r="A789" s="81">
        <v>788</v>
      </c>
      <c r="B789" s="240" t="s">
        <v>1664</v>
      </c>
      <c r="C789" s="173" t="s">
        <v>1808</v>
      </c>
      <c r="D789" s="250" t="s">
        <v>1820</v>
      </c>
      <c r="E789" s="89" t="s">
        <v>1769</v>
      </c>
      <c r="F789" s="238" t="s">
        <v>48</v>
      </c>
      <c r="G789" s="82">
        <v>15</v>
      </c>
      <c r="H789" s="96" t="s">
        <v>49</v>
      </c>
      <c r="I789" s="96" t="s">
        <v>2</v>
      </c>
      <c r="J789" s="84" t="s">
        <v>1836</v>
      </c>
      <c r="K789" s="84"/>
      <c r="L789" s="84"/>
      <c r="M789" s="307" t="s">
        <v>49</v>
      </c>
    </row>
    <row r="790" spans="1:13" s="172" customFormat="1" ht="31.5" hidden="1" customHeight="1" x14ac:dyDescent="0.2">
      <c r="A790" s="81">
        <v>789</v>
      </c>
      <c r="B790" s="240" t="s">
        <v>1664</v>
      </c>
      <c r="C790" s="173" t="s">
        <v>1809</v>
      </c>
      <c r="D790" s="249" t="s">
        <v>1820</v>
      </c>
      <c r="E790" s="89" t="s">
        <v>1770</v>
      </c>
      <c r="F790" s="238" t="s">
        <v>48</v>
      </c>
      <c r="G790" s="82">
        <v>15</v>
      </c>
      <c r="H790" s="96" t="s">
        <v>49</v>
      </c>
      <c r="I790" s="96" t="s">
        <v>2</v>
      </c>
      <c r="J790" s="84" t="s">
        <v>1836</v>
      </c>
      <c r="K790" s="84"/>
      <c r="L790" s="84"/>
      <c r="M790" s="307" t="s">
        <v>49</v>
      </c>
    </row>
    <row r="791" spans="1:13" s="172" customFormat="1" ht="31.5" hidden="1" customHeight="1" x14ac:dyDescent="0.2">
      <c r="A791" s="81">
        <v>790</v>
      </c>
      <c r="B791" s="240" t="s">
        <v>1664</v>
      </c>
      <c r="C791" s="173" t="s">
        <v>1809</v>
      </c>
      <c r="D791" s="249" t="s">
        <v>1820</v>
      </c>
      <c r="E791" s="89" t="s">
        <v>1771</v>
      </c>
      <c r="F791" s="238" t="s">
        <v>48</v>
      </c>
      <c r="G791" s="82">
        <v>15</v>
      </c>
      <c r="H791" s="96" t="s">
        <v>49</v>
      </c>
      <c r="I791" s="96" t="s">
        <v>2</v>
      </c>
      <c r="J791" s="84" t="s">
        <v>1836</v>
      </c>
      <c r="K791" s="84"/>
      <c r="L791" s="84"/>
      <c r="M791" s="307" t="s">
        <v>49</v>
      </c>
    </row>
    <row r="792" spans="1:13" s="172" customFormat="1" ht="31.5" hidden="1" customHeight="1" x14ac:dyDescent="0.2">
      <c r="A792" s="81">
        <v>791</v>
      </c>
      <c r="B792" s="240" t="s">
        <v>143</v>
      </c>
      <c r="C792" s="173" t="s">
        <v>1810</v>
      </c>
      <c r="D792" s="248" t="s">
        <v>1818</v>
      </c>
      <c r="E792" s="89" t="s">
        <v>1772</v>
      </c>
      <c r="F792" s="238" t="s">
        <v>48</v>
      </c>
      <c r="G792" s="82">
        <v>15</v>
      </c>
      <c r="H792" s="96" t="s">
        <v>49</v>
      </c>
      <c r="I792" s="96" t="s">
        <v>2</v>
      </c>
      <c r="J792" s="84" t="s">
        <v>1837</v>
      </c>
      <c r="K792" s="84"/>
      <c r="L792" s="84"/>
      <c r="M792" s="307" t="s">
        <v>49</v>
      </c>
    </row>
    <row r="793" spans="1:13" s="172" customFormat="1" ht="31.5" hidden="1" customHeight="1" x14ac:dyDescent="0.2">
      <c r="A793" s="81">
        <v>792</v>
      </c>
      <c r="B793" s="240" t="s">
        <v>143</v>
      </c>
      <c r="C793" s="173" t="s">
        <v>1810</v>
      </c>
      <c r="D793" s="248" t="s">
        <v>1818</v>
      </c>
      <c r="E793" s="89" t="s">
        <v>1773</v>
      </c>
      <c r="F793" s="238" t="s">
        <v>48</v>
      </c>
      <c r="G793" s="82">
        <v>15</v>
      </c>
      <c r="H793" s="96" t="s">
        <v>49</v>
      </c>
      <c r="I793" s="96" t="s">
        <v>2</v>
      </c>
      <c r="J793" s="84" t="s">
        <v>1837</v>
      </c>
      <c r="K793" s="84"/>
      <c r="L793" s="84"/>
      <c r="M793" s="307" t="s">
        <v>49</v>
      </c>
    </row>
    <row r="794" spans="1:13" s="172" customFormat="1" ht="31.5" hidden="1" customHeight="1" x14ac:dyDescent="0.2">
      <c r="A794" s="81">
        <v>793</v>
      </c>
      <c r="B794" s="240" t="s">
        <v>143</v>
      </c>
      <c r="C794" s="173" t="s">
        <v>1810</v>
      </c>
      <c r="D794" s="248" t="s">
        <v>1818</v>
      </c>
      <c r="E794" s="89" t="s">
        <v>1774</v>
      </c>
      <c r="F794" s="238" t="s">
        <v>48</v>
      </c>
      <c r="G794" s="82">
        <v>15</v>
      </c>
      <c r="H794" s="96" t="s">
        <v>49</v>
      </c>
      <c r="I794" s="96" t="s">
        <v>2</v>
      </c>
      <c r="J794" s="84" t="s">
        <v>1837</v>
      </c>
      <c r="K794" s="84"/>
      <c r="L794" s="84"/>
      <c r="M794" s="307" t="s">
        <v>49</v>
      </c>
    </row>
    <row r="795" spans="1:13" s="172" customFormat="1" ht="31.5" hidden="1" customHeight="1" x14ac:dyDescent="0.2">
      <c r="A795" s="81">
        <v>794</v>
      </c>
      <c r="B795" s="240" t="s">
        <v>143</v>
      </c>
      <c r="C795" s="173" t="s">
        <v>1810</v>
      </c>
      <c r="D795" s="248" t="s">
        <v>1818</v>
      </c>
      <c r="E795" s="89" t="s">
        <v>1775</v>
      </c>
      <c r="F795" s="238" t="s">
        <v>48</v>
      </c>
      <c r="G795" s="82">
        <v>15</v>
      </c>
      <c r="H795" s="96" t="s">
        <v>49</v>
      </c>
      <c r="I795" s="96" t="s">
        <v>2</v>
      </c>
      <c r="J795" s="84" t="s">
        <v>1837</v>
      </c>
      <c r="K795" s="84"/>
      <c r="L795" s="84"/>
      <c r="M795" s="307" t="s">
        <v>49</v>
      </c>
    </row>
    <row r="796" spans="1:13" s="172" customFormat="1" ht="31.5" hidden="1" customHeight="1" x14ac:dyDescent="0.2">
      <c r="A796" s="81">
        <v>795</v>
      </c>
      <c r="B796" s="240" t="s">
        <v>143</v>
      </c>
      <c r="C796" s="173" t="s">
        <v>1811</v>
      </c>
      <c r="D796" s="249" t="s">
        <v>1822</v>
      </c>
      <c r="E796" s="89" t="s">
        <v>1776</v>
      </c>
      <c r="F796" s="238" t="s">
        <v>48</v>
      </c>
      <c r="G796" s="82">
        <v>15</v>
      </c>
      <c r="H796" s="96" t="s">
        <v>49</v>
      </c>
      <c r="I796" s="96" t="s">
        <v>2</v>
      </c>
      <c r="J796" s="84" t="s">
        <v>1776</v>
      </c>
      <c r="K796" s="84"/>
      <c r="L796" s="84"/>
      <c r="M796" s="307" t="s">
        <v>49</v>
      </c>
    </row>
    <row r="797" spans="1:13" s="172" customFormat="1" ht="31.5" hidden="1" customHeight="1" x14ac:dyDescent="0.2">
      <c r="A797" s="81">
        <v>796</v>
      </c>
      <c r="B797" s="240" t="s">
        <v>143</v>
      </c>
      <c r="C797" s="173" t="s">
        <v>1812</v>
      </c>
      <c r="D797" s="251" t="s">
        <v>1777</v>
      </c>
      <c r="E797" s="89" t="s">
        <v>1777</v>
      </c>
      <c r="F797" s="238" t="s">
        <v>48</v>
      </c>
      <c r="G797" s="82">
        <v>15</v>
      </c>
      <c r="H797" s="96" t="s">
        <v>49</v>
      </c>
      <c r="I797" s="96" t="s">
        <v>2</v>
      </c>
      <c r="J797" s="84" t="s">
        <v>1838</v>
      </c>
      <c r="K797" s="84"/>
      <c r="L797" s="84"/>
      <c r="M797" s="307" t="s">
        <v>49</v>
      </c>
    </row>
    <row r="798" spans="1:13" s="172" customFormat="1" ht="31.5" hidden="1" customHeight="1" x14ac:dyDescent="0.2">
      <c r="A798" s="81">
        <v>797</v>
      </c>
      <c r="B798" s="240" t="s">
        <v>143</v>
      </c>
      <c r="C798" s="173" t="s">
        <v>1812</v>
      </c>
      <c r="D798" s="251" t="s">
        <v>1777</v>
      </c>
      <c r="E798" s="89" t="s">
        <v>1778</v>
      </c>
      <c r="F798" s="238" t="s">
        <v>48</v>
      </c>
      <c r="G798" s="82">
        <v>15</v>
      </c>
      <c r="H798" s="96" t="s">
        <v>49</v>
      </c>
      <c r="I798" s="96" t="s">
        <v>2</v>
      </c>
      <c r="J798" s="84" t="s">
        <v>1838</v>
      </c>
      <c r="K798" s="84"/>
      <c r="L798" s="84"/>
      <c r="M798" s="307" t="s">
        <v>49</v>
      </c>
    </row>
    <row r="799" spans="1:13" ht="31.5" hidden="1" customHeight="1" x14ac:dyDescent="0.2">
      <c r="A799" s="81">
        <v>798</v>
      </c>
      <c r="B799" s="240" t="s">
        <v>1664</v>
      </c>
      <c r="C799" s="153" t="s">
        <v>1943</v>
      </c>
      <c r="D799" s="256" t="s">
        <v>1847</v>
      </c>
      <c r="E799" s="153" t="s">
        <v>1847</v>
      </c>
      <c r="F799" s="238" t="s">
        <v>48</v>
      </c>
      <c r="G799" s="87">
        <v>16</v>
      </c>
      <c r="H799" s="96" t="s">
        <v>49</v>
      </c>
      <c r="I799" s="96" t="s">
        <v>2</v>
      </c>
      <c r="J799" s="84" t="s">
        <v>2009</v>
      </c>
      <c r="K799" s="84"/>
      <c r="L799" s="84"/>
      <c r="M799" s="307" t="s">
        <v>49</v>
      </c>
    </row>
    <row r="800" spans="1:13" ht="31.5" hidden="1" customHeight="1" x14ac:dyDescent="0.2">
      <c r="A800" s="81">
        <v>799</v>
      </c>
      <c r="B800" s="240" t="s">
        <v>1664</v>
      </c>
      <c r="C800" s="89" t="s">
        <v>1943</v>
      </c>
      <c r="D800" s="256" t="s">
        <v>1847</v>
      </c>
      <c r="E800" s="89" t="s">
        <v>1848</v>
      </c>
      <c r="F800" s="238" t="s">
        <v>48</v>
      </c>
      <c r="G800" s="87">
        <v>16</v>
      </c>
      <c r="H800" s="96" t="s">
        <v>49</v>
      </c>
      <c r="I800" s="96" t="s">
        <v>2</v>
      </c>
      <c r="J800" s="84" t="s">
        <v>2009</v>
      </c>
      <c r="K800" s="84"/>
      <c r="L800" s="84"/>
      <c r="M800" s="307" t="s">
        <v>49</v>
      </c>
    </row>
    <row r="801" spans="1:13" ht="31.5" hidden="1" customHeight="1" x14ac:dyDescent="0.2">
      <c r="A801" s="81">
        <v>800</v>
      </c>
      <c r="B801" s="240" t="s">
        <v>1664</v>
      </c>
      <c r="C801" s="89" t="s">
        <v>1944</v>
      </c>
      <c r="D801" s="287" t="s">
        <v>2315</v>
      </c>
      <c r="E801" s="89" t="s">
        <v>1849</v>
      </c>
      <c r="F801" s="238" t="s">
        <v>48</v>
      </c>
      <c r="G801" s="87">
        <v>16</v>
      </c>
      <c r="H801" s="96" t="s">
        <v>49</v>
      </c>
      <c r="I801" s="96" t="s">
        <v>2</v>
      </c>
      <c r="J801" s="84" t="s">
        <v>2356</v>
      </c>
      <c r="K801" s="84"/>
      <c r="L801" s="84"/>
      <c r="M801" s="307" t="s">
        <v>49</v>
      </c>
    </row>
    <row r="802" spans="1:13" ht="31.5" hidden="1" customHeight="1" x14ac:dyDescent="0.2">
      <c r="A802" s="81">
        <v>801</v>
      </c>
      <c r="B802" s="240" t="s">
        <v>1664</v>
      </c>
      <c r="C802" s="89" t="s">
        <v>1944</v>
      </c>
      <c r="D802" s="287" t="s">
        <v>2315</v>
      </c>
      <c r="E802" s="89" t="s">
        <v>1850</v>
      </c>
      <c r="F802" s="238" t="s">
        <v>48</v>
      </c>
      <c r="G802" s="87">
        <v>16</v>
      </c>
      <c r="H802" s="96" t="s">
        <v>49</v>
      </c>
      <c r="I802" s="96" t="s">
        <v>2</v>
      </c>
      <c r="J802" s="84" t="s">
        <v>2356</v>
      </c>
      <c r="K802" s="84"/>
      <c r="L802" s="84"/>
      <c r="M802" s="307" t="s">
        <v>49</v>
      </c>
    </row>
    <row r="803" spans="1:13" ht="31.5" hidden="1" customHeight="1" x14ac:dyDescent="0.2">
      <c r="A803" s="81">
        <v>802</v>
      </c>
      <c r="B803" s="240" t="s">
        <v>1664</v>
      </c>
      <c r="C803" s="89" t="s">
        <v>1945</v>
      </c>
      <c r="D803" s="259" t="s">
        <v>1992</v>
      </c>
      <c r="E803" s="89" t="s">
        <v>1851</v>
      </c>
      <c r="F803" s="238" t="s">
        <v>48</v>
      </c>
      <c r="G803" s="87">
        <v>16</v>
      </c>
      <c r="H803" s="96" t="s">
        <v>49</v>
      </c>
      <c r="I803" s="96" t="s">
        <v>2</v>
      </c>
      <c r="J803" s="84" t="s">
        <v>2010</v>
      </c>
      <c r="K803" s="84"/>
      <c r="L803" s="84"/>
      <c r="M803" s="307" t="s">
        <v>49</v>
      </c>
    </row>
    <row r="804" spans="1:13" ht="31.5" hidden="1" customHeight="1" x14ac:dyDescent="0.2">
      <c r="A804" s="81">
        <v>803</v>
      </c>
      <c r="B804" s="240" t="s">
        <v>1664</v>
      </c>
      <c r="C804" s="89" t="s">
        <v>1945</v>
      </c>
      <c r="D804" s="259" t="s">
        <v>1992</v>
      </c>
      <c r="E804" s="89" t="s">
        <v>1852</v>
      </c>
      <c r="F804" s="238" t="s">
        <v>48</v>
      </c>
      <c r="G804" s="87">
        <v>16</v>
      </c>
      <c r="H804" s="96" t="s">
        <v>49</v>
      </c>
      <c r="I804" s="96" t="s">
        <v>2</v>
      </c>
      <c r="J804" s="84" t="s">
        <v>2010</v>
      </c>
      <c r="K804" s="84"/>
      <c r="L804" s="84"/>
      <c r="M804" s="307" t="s">
        <v>49</v>
      </c>
    </row>
    <row r="805" spans="1:13" ht="31.5" hidden="1" customHeight="1" x14ac:dyDescent="0.2">
      <c r="A805" s="81">
        <v>804</v>
      </c>
      <c r="B805" s="240" t="s">
        <v>1664</v>
      </c>
      <c r="C805" s="89" t="s">
        <v>1946</v>
      </c>
      <c r="D805" s="256" t="s">
        <v>1989</v>
      </c>
      <c r="E805" s="89" t="s">
        <v>1853</v>
      </c>
      <c r="F805" s="238" t="s">
        <v>48</v>
      </c>
      <c r="G805" s="87">
        <v>16</v>
      </c>
      <c r="H805" s="96" t="s">
        <v>49</v>
      </c>
      <c r="I805" s="96" t="s">
        <v>2</v>
      </c>
      <c r="J805" s="84" t="s">
        <v>2011</v>
      </c>
      <c r="K805" s="84"/>
      <c r="L805" s="84"/>
      <c r="M805" s="307" t="s">
        <v>49</v>
      </c>
    </row>
    <row r="806" spans="1:13" ht="31.5" hidden="1" customHeight="1" x14ac:dyDescent="0.2">
      <c r="A806" s="81">
        <v>805</v>
      </c>
      <c r="B806" s="240" t="s">
        <v>1664</v>
      </c>
      <c r="C806" s="89" t="s">
        <v>1946</v>
      </c>
      <c r="D806" s="256" t="s">
        <v>1989</v>
      </c>
      <c r="E806" s="89" t="s">
        <v>1854</v>
      </c>
      <c r="F806" s="238" t="s">
        <v>48</v>
      </c>
      <c r="G806" s="87">
        <v>16</v>
      </c>
      <c r="H806" s="96" t="s">
        <v>49</v>
      </c>
      <c r="I806" s="96" t="s">
        <v>2</v>
      </c>
      <c r="J806" s="84" t="s">
        <v>2011</v>
      </c>
      <c r="K806" s="84"/>
      <c r="L806" s="84"/>
      <c r="M806" s="307" t="s">
        <v>49</v>
      </c>
    </row>
    <row r="807" spans="1:13" ht="31.5" hidden="1" customHeight="1" x14ac:dyDescent="0.2">
      <c r="A807" s="81">
        <v>806</v>
      </c>
      <c r="B807" s="240" t="s">
        <v>1664</v>
      </c>
      <c r="C807" s="89" t="s">
        <v>1947</v>
      </c>
      <c r="D807" s="259" t="s">
        <v>1993</v>
      </c>
      <c r="E807" s="89" t="s">
        <v>1855</v>
      </c>
      <c r="F807" s="238" t="s">
        <v>48</v>
      </c>
      <c r="G807" s="87">
        <v>16</v>
      </c>
      <c r="H807" s="96" t="s">
        <v>49</v>
      </c>
      <c r="I807" s="96" t="s">
        <v>2</v>
      </c>
      <c r="J807" s="84" t="s">
        <v>2012</v>
      </c>
      <c r="K807" s="84"/>
      <c r="L807" s="84"/>
      <c r="M807" s="307" t="s">
        <v>49</v>
      </c>
    </row>
    <row r="808" spans="1:13" ht="31.5" hidden="1" customHeight="1" x14ac:dyDescent="0.2">
      <c r="A808" s="81">
        <v>807</v>
      </c>
      <c r="B808" s="240" t="s">
        <v>1664</v>
      </c>
      <c r="C808" s="89" t="s">
        <v>1947</v>
      </c>
      <c r="D808" s="259" t="s">
        <v>1993</v>
      </c>
      <c r="E808" s="89" t="s">
        <v>1856</v>
      </c>
      <c r="F808" s="238" t="s">
        <v>48</v>
      </c>
      <c r="G808" s="87">
        <v>16</v>
      </c>
      <c r="H808" s="96" t="s">
        <v>49</v>
      </c>
      <c r="I808" s="96" t="s">
        <v>2</v>
      </c>
      <c r="J808" s="84" t="s">
        <v>2012</v>
      </c>
      <c r="K808" s="84"/>
      <c r="L808" s="84"/>
      <c r="M808" s="307" t="s">
        <v>49</v>
      </c>
    </row>
    <row r="809" spans="1:13" ht="31.5" hidden="1" customHeight="1" x14ac:dyDescent="0.2">
      <c r="A809" s="81">
        <v>808</v>
      </c>
      <c r="B809" s="240" t="s">
        <v>1664</v>
      </c>
      <c r="C809" s="89" t="s">
        <v>1948</v>
      </c>
      <c r="D809" s="256" t="s">
        <v>1857</v>
      </c>
      <c r="E809" s="89" t="s">
        <v>1857</v>
      </c>
      <c r="F809" s="238" t="s">
        <v>48</v>
      </c>
      <c r="G809" s="87">
        <v>16</v>
      </c>
      <c r="H809" s="96" t="s">
        <v>49</v>
      </c>
      <c r="I809" s="96" t="s">
        <v>2</v>
      </c>
      <c r="J809" s="84" t="s">
        <v>1857</v>
      </c>
      <c r="K809" s="84"/>
      <c r="L809" s="84"/>
      <c r="M809" s="307" t="s">
        <v>49</v>
      </c>
    </row>
    <row r="810" spans="1:13" ht="31.5" hidden="1" customHeight="1" x14ac:dyDescent="0.2">
      <c r="A810" s="81">
        <v>809</v>
      </c>
      <c r="B810" s="240" t="s">
        <v>1664</v>
      </c>
      <c r="C810" s="89" t="s">
        <v>1949</v>
      </c>
      <c r="D810" s="291" t="s">
        <v>2318</v>
      </c>
      <c r="E810" s="89" t="s">
        <v>1858</v>
      </c>
      <c r="F810" s="238" t="s">
        <v>48</v>
      </c>
      <c r="G810" s="87">
        <v>16</v>
      </c>
      <c r="H810" s="96" t="s">
        <v>49</v>
      </c>
      <c r="I810" s="96" t="s">
        <v>2</v>
      </c>
      <c r="J810" s="84" t="s">
        <v>2357</v>
      </c>
      <c r="K810" s="84"/>
      <c r="L810" s="84"/>
      <c r="M810" s="307" t="s">
        <v>49</v>
      </c>
    </row>
    <row r="811" spans="1:13" ht="31.5" hidden="1" customHeight="1" x14ac:dyDescent="0.2">
      <c r="A811" s="81">
        <v>810</v>
      </c>
      <c r="B811" s="240" t="s">
        <v>1664</v>
      </c>
      <c r="C811" s="89" t="s">
        <v>1950</v>
      </c>
      <c r="D811" s="259" t="s">
        <v>1859</v>
      </c>
      <c r="E811" s="89" t="s">
        <v>1859</v>
      </c>
      <c r="F811" s="238" t="s">
        <v>48</v>
      </c>
      <c r="G811" s="87">
        <v>16</v>
      </c>
      <c r="H811" s="96" t="s">
        <v>49</v>
      </c>
      <c r="I811" s="96" t="s">
        <v>2</v>
      </c>
      <c r="J811" s="84" t="s">
        <v>1859</v>
      </c>
      <c r="K811" s="84"/>
      <c r="L811" s="84"/>
      <c r="M811" s="307" t="s">
        <v>49</v>
      </c>
    </row>
    <row r="812" spans="1:13" ht="31.5" hidden="1" customHeight="1" x14ac:dyDescent="0.2">
      <c r="A812" s="81">
        <v>811</v>
      </c>
      <c r="B812" s="240" t="s">
        <v>143</v>
      </c>
      <c r="C812" s="89" t="s">
        <v>1951</v>
      </c>
      <c r="D812" s="261" t="s">
        <v>1998</v>
      </c>
      <c r="E812" s="89" t="s">
        <v>1860</v>
      </c>
      <c r="F812" s="238" t="s">
        <v>48</v>
      </c>
      <c r="G812" s="87">
        <v>16</v>
      </c>
      <c r="H812" s="96" t="s">
        <v>49</v>
      </c>
      <c r="I812" s="96" t="s">
        <v>2</v>
      </c>
      <c r="J812" s="84" t="s">
        <v>1860</v>
      </c>
      <c r="K812" s="84"/>
      <c r="L812" s="84"/>
      <c r="M812" s="307" t="s">
        <v>49</v>
      </c>
    </row>
    <row r="813" spans="1:13" ht="31.5" hidden="1" customHeight="1" x14ac:dyDescent="0.2">
      <c r="A813" s="81">
        <v>812</v>
      </c>
      <c r="B813" s="240" t="s">
        <v>143</v>
      </c>
      <c r="C813" s="89" t="s">
        <v>1952</v>
      </c>
      <c r="D813" s="261" t="s">
        <v>1999</v>
      </c>
      <c r="E813" s="89" t="s">
        <v>1861</v>
      </c>
      <c r="F813" s="238" t="s">
        <v>48</v>
      </c>
      <c r="G813" s="87">
        <v>16</v>
      </c>
      <c r="H813" s="96" t="s">
        <v>49</v>
      </c>
      <c r="I813" s="96" t="s">
        <v>2</v>
      </c>
      <c r="J813" s="84" t="s">
        <v>2013</v>
      </c>
      <c r="K813" s="84"/>
      <c r="L813" s="84"/>
      <c r="M813" s="307" t="s">
        <v>49</v>
      </c>
    </row>
    <row r="814" spans="1:13" ht="31.5" hidden="1" customHeight="1" x14ac:dyDescent="0.2">
      <c r="A814" s="81">
        <v>813</v>
      </c>
      <c r="B814" s="240" t="s">
        <v>143</v>
      </c>
      <c r="C814" s="89" t="s">
        <v>1952</v>
      </c>
      <c r="D814" s="261" t="s">
        <v>1999</v>
      </c>
      <c r="E814" s="89" t="s">
        <v>1862</v>
      </c>
      <c r="F814" s="238" t="s">
        <v>48</v>
      </c>
      <c r="G814" s="87">
        <v>16</v>
      </c>
      <c r="H814" s="96" t="s">
        <v>49</v>
      </c>
      <c r="I814" s="96" t="s">
        <v>2</v>
      </c>
      <c r="J814" s="84" t="s">
        <v>2013</v>
      </c>
      <c r="K814" s="84"/>
      <c r="L814" s="84"/>
      <c r="M814" s="307" t="s">
        <v>49</v>
      </c>
    </row>
    <row r="815" spans="1:13" ht="31.5" hidden="1" customHeight="1" x14ac:dyDescent="0.2">
      <c r="A815" s="81">
        <v>814</v>
      </c>
      <c r="B815" s="240" t="s">
        <v>143</v>
      </c>
      <c r="C815" s="89" t="s">
        <v>1953</v>
      </c>
      <c r="D815" s="261" t="s">
        <v>2000</v>
      </c>
      <c r="E815" s="89" t="s">
        <v>1863</v>
      </c>
      <c r="F815" s="238" t="s">
        <v>48</v>
      </c>
      <c r="G815" s="87">
        <v>16</v>
      </c>
      <c r="H815" s="96" t="s">
        <v>49</v>
      </c>
      <c r="I815" s="96" t="s">
        <v>2</v>
      </c>
      <c r="J815" s="84" t="s">
        <v>1863</v>
      </c>
      <c r="K815" s="84"/>
      <c r="L815" s="84"/>
      <c r="M815" s="307" t="s">
        <v>49</v>
      </c>
    </row>
    <row r="816" spans="1:13" ht="31.5" hidden="1" customHeight="1" x14ac:dyDescent="0.2">
      <c r="A816" s="81">
        <v>815</v>
      </c>
      <c r="B816" s="240" t="s">
        <v>143</v>
      </c>
      <c r="C816" s="89" t="s">
        <v>1954</v>
      </c>
      <c r="D816" s="261" t="s">
        <v>2001</v>
      </c>
      <c r="E816" s="89" t="s">
        <v>1864</v>
      </c>
      <c r="F816" s="238" t="s">
        <v>48</v>
      </c>
      <c r="G816" s="87">
        <v>16</v>
      </c>
      <c r="H816" s="96" t="s">
        <v>49</v>
      </c>
      <c r="I816" s="96" t="s">
        <v>2</v>
      </c>
      <c r="J816" s="84" t="s">
        <v>2014</v>
      </c>
      <c r="K816" s="84"/>
      <c r="L816" s="84"/>
      <c r="M816" s="307" t="s">
        <v>49</v>
      </c>
    </row>
    <row r="817" spans="1:13" ht="31.5" hidden="1" customHeight="1" x14ac:dyDescent="0.2">
      <c r="A817" s="81">
        <v>816</v>
      </c>
      <c r="B817" s="240" t="s">
        <v>143</v>
      </c>
      <c r="C817" s="89" t="s">
        <v>1954</v>
      </c>
      <c r="D817" s="261" t="s">
        <v>2001</v>
      </c>
      <c r="E817" s="89" t="s">
        <v>1865</v>
      </c>
      <c r="F817" s="238" t="s">
        <v>48</v>
      </c>
      <c r="G817" s="87">
        <v>16</v>
      </c>
      <c r="H817" s="96" t="s">
        <v>49</v>
      </c>
      <c r="I817" s="96" t="s">
        <v>2</v>
      </c>
      <c r="J817" s="84" t="s">
        <v>2014</v>
      </c>
      <c r="K817" s="84"/>
      <c r="L817" s="84"/>
      <c r="M817" s="307" t="s">
        <v>49</v>
      </c>
    </row>
    <row r="818" spans="1:13" ht="31.5" hidden="1" customHeight="1" x14ac:dyDescent="0.2">
      <c r="A818" s="81">
        <v>817</v>
      </c>
      <c r="B818" s="240" t="s">
        <v>1664</v>
      </c>
      <c r="C818" s="89" t="s">
        <v>1955</v>
      </c>
      <c r="D818" s="259" t="s">
        <v>1994</v>
      </c>
      <c r="E818" s="89" t="s">
        <v>1866</v>
      </c>
      <c r="F818" s="238" t="s">
        <v>48</v>
      </c>
      <c r="G818" s="87">
        <v>16</v>
      </c>
      <c r="H818" s="96" t="s">
        <v>49</v>
      </c>
      <c r="I818" s="96" t="s">
        <v>2</v>
      </c>
      <c r="J818" s="84" t="s">
        <v>2015</v>
      </c>
      <c r="K818" s="84"/>
      <c r="L818" s="84"/>
      <c r="M818" s="307" t="s">
        <v>49</v>
      </c>
    </row>
    <row r="819" spans="1:13" ht="31.5" hidden="1" customHeight="1" x14ac:dyDescent="0.2">
      <c r="A819" s="81">
        <v>818</v>
      </c>
      <c r="B819" s="240" t="s">
        <v>1664</v>
      </c>
      <c r="C819" s="89" t="s">
        <v>1955</v>
      </c>
      <c r="D819" s="259" t="s">
        <v>1994</v>
      </c>
      <c r="E819" s="89" t="s">
        <v>1867</v>
      </c>
      <c r="F819" s="238" t="s">
        <v>48</v>
      </c>
      <c r="G819" s="87">
        <v>16</v>
      </c>
      <c r="H819" s="96" t="s">
        <v>49</v>
      </c>
      <c r="I819" s="96" t="s">
        <v>2</v>
      </c>
      <c r="J819" s="84" t="s">
        <v>2015</v>
      </c>
      <c r="K819" s="84"/>
      <c r="L819" s="84"/>
      <c r="M819" s="307" t="s">
        <v>49</v>
      </c>
    </row>
    <row r="820" spans="1:13" ht="31.5" hidden="1" customHeight="1" x14ac:dyDescent="0.2">
      <c r="A820" s="81">
        <v>819</v>
      </c>
      <c r="B820" s="240" t="s">
        <v>1664</v>
      </c>
      <c r="C820" s="89" t="s">
        <v>1955</v>
      </c>
      <c r="D820" s="259" t="s">
        <v>1995</v>
      </c>
      <c r="E820" s="89" t="s">
        <v>1868</v>
      </c>
      <c r="F820" s="238" t="s">
        <v>48</v>
      </c>
      <c r="G820" s="87">
        <v>16</v>
      </c>
      <c r="H820" s="96" t="s">
        <v>49</v>
      </c>
      <c r="I820" s="96" t="s">
        <v>2</v>
      </c>
      <c r="J820" s="84" t="s">
        <v>1868</v>
      </c>
      <c r="K820" s="84"/>
      <c r="L820" s="84"/>
      <c r="M820" s="307" t="s">
        <v>49</v>
      </c>
    </row>
    <row r="821" spans="1:13" ht="31.5" hidden="1" customHeight="1" x14ac:dyDescent="0.2">
      <c r="A821" s="81">
        <v>820</v>
      </c>
      <c r="B821" s="240" t="s">
        <v>1664</v>
      </c>
      <c r="C821" s="153" t="s">
        <v>1956</v>
      </c>
      <c r="D821" s="257" t="s">
        <v>1869</v>
      </c>
      <c r="E821" s="153" t="s">
        <v>1869</v>
      </c>
      <c r="F821" s="238" t="s">
        <v>48</v>
      </c>
      <c r="G821" s="87">
        <v>16</v>
      </c>
      <c r="H821" s="96" t="s">
        <v>49</v>
      </c>
      <c r="I821" s="96" t="s">
        <v>2</v>
      </c>
      <c r="J821" s="84" t="s">
        <v>1869</v>
      </c>
      <c r="K821" s="84"/>
      <c r="L821" s="84"/>
      <c r="M821" s="307" t="s">
        <v>49</v>
      </c>
    </row>
    <row r="822" spans="1:13" ht="31.5" hidden="1" customHeight="1" x14ac:dyDescent="0.2">
      <c r="A822" s="81">
        <v>821</v>
      </c>
      <c r="B822" s="240" t="s">
        <v>1664</v>
      </c>
      <c r="C822" s="89" t="s">
        <v>1957</v>
      </c>
      <c r="D822" s="260" t="s">
        <v>2317</v>
      </c>
      <c r="E822" s="89" t="s">
        <v>1870</v>
      </c>
      <c r="F822" s="238" t="s">
        <v>48</v>
      </c>
      <c r="G822" s="87">
        <v>16</v>
      </c>
      <c r="H822" s="96" t="s">
        <v>49</v>
      </c>
      <c r="I822" s="96" t="s">
        <v>2</v>
      </c>
      <c r="J822" s="84" t="s">
        <v>2358</v>
      </c>
      <c r="K822" s="84"/>
      <c r="L822" s="84"/>
      <c r="M822" s="307" t="s">
        <v>49</v>
      </c>
    </row>
    <row r="823" spans="1:13" ht="31.5" hidden="1" customHeight="1" x14ac:dyDescent="0.2">
      <c r="A823" s="81">
        <v>822</v>
      </c>
      <c r="B823" s="240" t="s">
        <v>143</v>
      </c>
      <c r="C823" s="89" t="s">
        <v>1958</v>
      </c>
      <c r="D823" s="261" t="s">
        <v>2002</v>
      </c>
      <c r="E823" s="89" t="s">
        <v>1871</v>
      </c>
      <c r="F823" s="238" t="s">
        <v>48</v>
      </c>
      <c r="G823" s="87">
        <v>16</v>
      </c>
      <c r="H823" s="96" t="s">
        <v>49</v>
      </c>
      <c r="I823" s="96" t="s">
        <v>2</v>
      </c>
      <c r="J823" s="84" t="s">
        <v>2016</v>
      </c>
      <c r="K823" s="84"/>
      <c r="L823" s="84"/>
      <c r="M823" s="307" t="s">
        <v>49</v>
      </c>
    </row>
    <row r="824" spans="1:13" ht="31.5" hidden="1" customHeight="1" x14ac:dyDescent="0.2">
      <c r="A824" s="81">
        <v>823</v>
      </c>
      <c r="B824" s="240" t="s">
        <v>143</v>
      </c>
      <c r="C824" s="89" t="s">
        <v>1958</v>
      </c>
      <c r="D824" s="261" t="s">
        <v>2002</v>
      </c>
      <c r="E824" s="89" t="s">
        <v>1872</v>
      </c>
      <c r="F824" s="238" t="s">
        <v>48</v>
      </c>
      <c r="G824" s="87">
        <v>16</v>
      </c>
      <c r="H824" s="96" t="s">
        <v>49</v>
      </c>
      <c r="I824" s="96" t="s">
        <v>2</v>
      </c>
      <c r="J824" s="84" t="s">
        <v>2016</v>
      </c>
      <c r="K824" s="84"/>
      <c r="L824" s="84"/>
      <c r="M824" s="307" t="s">
        <v>49</v>
      </c>
    </row>
    <row r="825" spans="1:13" ht="31.5" hidden="1" customHeight="1" x14ac:dyDescent="0.2">
      <c r="A825" s="81">
        <v>824</v>
      </c>
      <c r="B825" s="240" t="s">
        <v>143</v>
      </c>
      <c r="C825" s="89" t="s">
        <v>1959</v>
      </c>
      <c r="D825" s="261" t="s">
        <v>2002</v>
      </c>
      <c r="E825" s="89" t="s">
        <v>1873</v>
      </c>
      <c r="F825" s="238" t="s">
        <v>48</v>
      </c>
      <c r="G825" s="87">
        <v>16</v>
      </c>
      <c r="H825" s="96" t="s">
        <v>49</v>
      </c>
      <c r="I825" s="96" t="s">
        <v>2</v>
      </c>
      <c r="J825" s="84" t="s">
        <v>2016</v>
      </c>
      <c r="K825" s="84"/>
      <c r="L825" s="84"/>
      <c r="M825" s="307" t="s">
        <v>49</v>
      </c>
    </row>
    <row r="826" spans="1:13" ht="31.5" hidden="1" customHeight="1" x14ac:dyDescent="0.2">
      <c r="A826" s="81">
        <v>825</v>
      </c>
      <c r="B826" s="240" t="s">
        <v>143</v>
      </c>
      <c r="C826" s="89" t="s">
        <v>1959</v>
      </c>
      <c r="D826" s="261" t="s">
        <v>2002</v>
      </c>
      <c r="E826" s="89" t="s">
        <v>1874</v>
      </c>
      <c r="F826" s="238" t="s">
        <v>48</v>
      </c>
      <c r="G826" s="87">
        <v>16</v>
      </c>
      <c r="H826" s="96" t="s">
        <v>49</v>
      </c>
      <c r="I826" s="96" t="s">
        <v>2</v>
      </c>
      <c r="J826" s="84" t="s">
        <v>2016</v>
      </c>
      <c r="K826" s="84"/>
      <c r="L826" s="84"/>
      <c r="M826" s="307" t="s">
        <v>49</v>
      </c>
    </row>
    <row r="827" spans="1:13" ht="31.5" hidden="1" customHeight="1" x14ac:dyDescent="0.2">
      <c r="A827" s="81">
        <v>826</v>
      </c>
      <c r="B827" s="240" t="s">
        <v>143</v>
      </c>
      <c r="C827" s="89" t="s">
        <v>1959</v>
      </c>
      <c r="D827" s="261" t="s">
        <v>2002</v>
      </c>
      <c r="E827" s="89" t="s">
        <v>1875</v>
      </c>
      <c r="F827" s="238" t="s">
        <v>48</v>
      </c>
      <c r="G827" s="87">
        <v>16</v>
      </c>
      <c r="H827" s="96" t="s">
        <v>49</v>
      </c>
      <c r="I827" s="96" t="s">
        <v>2</v>
      </c>
      <c r="J827" s="84" t="s">
        <v>2016</v>
      </c>
      <c r="K827" s="84"/>
      <c r="L827" s="84"/>
      <c r="M827" s="307" t="s">
        <v>49</v>
      </c>
    </row>
    <row r="828" spans="1:13" ht="31.5" hidden="1" customHeight="1" x14ac:dyDescent="0.2">
      <c r="A828" s="81">
        <v>827</v>
      </c>
      <c r="B828" s="240" t="s">
        <v>143</v>
      </c>
      <c r="C828" s="89" t="s">
        <v>1959</v>
      </c>
      <c r="D828" s="261" t="s">
        <v>2002</v>
      </c>
      <c r="E828" s="89" t="s">
        <v>1876</v>
      </c>
      <c r="F828" s="238" t="s">
        <v>48</v>
      </c>
      <c r="G828" s="87">
        <v>16</v>
      </c>
      <c r="H828" s="96" t="s">
        <v>49</v>
      </c>
      <c r="I828" s="96" t="s">
        <v>2</v>
      </c>
      <c r="J828" s="84" t="s">
        <v>2016</v>
      </c>
      <c r="K828" s="84"/>
      <c r="L828" s="84"/>
      <c r="M828" s="307" t="s">
        <v>49</v>
      </c>
    </row>
    <row r="829" spans="1:13" ht="31.5" hidden="1" customHeight="1" x14ac:dyDescent="0.2">
      <c r="A829" s="81">
        <v>828</v>
      </c>
      <c r="B829" s="240" t="s">
        <v>1664</v>
      </c>
      <c r="C829" s="89" t="s">
        <v>1960</v>
      </c>
      <c r="D829" s="290" t="s">
        <v>2316</v>
      </c>
      <c r="E829" s="89" t="s">
        <v>1877</v>
      </c>
      <c r="F829" s="238" t="s">
        <v>48</v>
      </c>
      <c r="G829" s="87">
        <v>16</v>
      </c>
      <c r="H829" s="96" t="s">
        <v>49</v>
      </c>
      <c r="I829" s="96" t="s">
        <v>2</v>
      </c>
      <c r="J829" s="84" t="s">
        <v>2359</v>
      </c>
      <c r="K829" s="84"/>
      <c r="L829" s="84"/>
      <c r="M829" s="307" t="s">
        <v>49</v>
      </c>
    </row>
    <row r="830" spans="1:13" ht="31.5" hidden="1" customHeight="1" x14ac:dyDescent="0.2">
      <c r="A830" s="81">
        <v>829</v>
      </c>
      <c r="B830" s="240" t="s">
        <v>1664</v>
      </c>
      <c r="C830" s="89" t="s">
        <v>1961</v>
      </c>
      <c r="D830" s="258" t="s">
        <v>1996</v>
      </c>
      <c r="E830" s="89" t="s">
        <v>1878</v>
      </c>
      <c r="F830" s="238" t="s">
        <v>48</v>
      </c>
      <c r="G830" s="87">
        <v>16</v>
      </c>
      <c r="H830" s="96" t="s">
        <v>49</v>
      </c>
      <c r="I830" s="96" t="s">
        <v>2</v>
      </c>
      <c r="J830" s="84" t="s">
        <v>2017</v>
      </c>
      <c r="K830" s="84"/>
      <c r="L830" s="84"/>
      <c r="M830" s="307" t="s">
        <v>49</v>
      </c>
    </row>
    <row r="831" spans="1:13" ht="31.5" hidden="1" customHeight="1" x14ac:dyDescent="0.2">
      <c r="A831" s="81">
        <v>830</v>
      </c>
      <c r="B831" s="240" t="s">
        <v>1664</v>
      </c>
      <c r="C831" s="89" t="s">
        <v>1961</v>
      </c>
      <c r="D831" s="258" t="s">
        <v>1996</v>
      </c>
      <c r="E831" s="89" t="s">
        <v>1879</v>
      </c>
      <c r="F831" s="238" t="s">
        <v>48</v>
      </c>
      <c r="G831" s="87">
        <v>16</v>
      </c>
      <c r="H831" s="96" t="s">
        <v>49</v>
      </c>
      <c r="I831" s="96" t="s">
        <v>2</v>
      </c>
      <c r="J831" s="84" t="s">
        <v>2017</v>
      </c>
      <c r="K831" s="84"/>
      <c r="L831" s="84"/>
      <c r="M831" s="307" t="s">
        <v>49</v>
      </c>
    </row>
    <row r="832" spans="1:13" ht="31.5" hidden="1" customHeight="1" x14ac:dyDescent="0.2">
      <c r="A832" s="81">
        <v>831</v>
      </c>
      <c r="B832" s="240" t="s">
        <v>1664</v>
      </c>
      <c r="C832" s="89" t="s">
        <v>1962</v>
      </c>
      <c r="D832" s="258" t="s">
        <v>1997</v>
      </c>
      <c r="E832" s="89" t="s">
        <v>1880</v>
      </c>
      <c r="F832" s="238" t="s">
        <v>48</v>
      </c>
      <c r="G832" s="87">
        <v>16</v>
      </c>
      <c r="H832" s="96" t="s">
        <v>49</v>
      </c>
      <c r="I832" s="96" t="s">
        <v>2</v>
      </c>
      <c r="J832" s="84" t="s">
        <v>1880</v>
      </c>
      <c r="K832" s="84"/>
      <c r="L832" s="84"/>
      <c r="M832" s="307" t="s">
        <v>49</v>
      </c>
    </row>
    <row r="833" spans="1:13" ht="31.5" hidden="1" customHeight="1" x14ac:dyDescent="0.2">
      <c r="A833" s="81">
        <v>832</v>
      </c>
      <c r="B833" s="240" t="s">
        <v>1664</v>
      </c>
      <c r="C833" s="89" t="s">
        <v>1963</v>
      </c>
      <c r="D833" s="287" t="s">
        <v>2315</v>
      </c>
      <c r="E833" s="153" t="s">
        <v>1881</v>
      </c>
      <c r="F833" s="238" t="s">
        <v>48</v>
      </c>
      <c r="G833" s="87">
        <v>16</v>
      </c>
      <c r="H833" s="96" t="s">
        <v>49</v>
      </c>
      <c r="I833" s="96" t="s">
        <v>2</v>
      </c>
      <c r="J833" s="84" t="s">
        <v>2356</v>
      </c>
      <c r="K833" s="84"/>
      <c r="L833" s="84"/>
      <c r="M833" s="307" t="s">
        <v>49</v>
      </c>
    </row>
    <row r="834" spans="1:13" ht="31.5" hidden="1" customHeight="1" x14ac:dyDescent="0.2">
      <c r="A834" s="81">
        <v>833</v>
      </c>
      <c r="B834" s="240" t="s">
        <v>1664</v>
      </c>
      <c r="C834" s="89" t="s">
        <v>1963</v>
      </c>
      <c r="D834" s="287" t="s">
        <v>2315</v>
      </c>
      <c r="E834" s="89" t="s">
        <v>1882</v>
      </c>
      <c r="F834" s="238" t="s">
        <v>48</v>
      </c>
      <c r="G834" s="87">
        <v>16</v>
      </c>
      <c r="H834" s="96" t="s">
        <v>49</v>
      </c>
      <c r="I834" s="96" t="s">
        <v>2</v>
      </c>
      <c r="J834" s="84" t="s">
        <v>2356</v>
      </c>
      <c r="K834" s="84"/>
      <c r="L834" s="84"/>
      <c r="M834" s="307" t="s">
        <v>49</v>
      </c>
    </row>
    <row r="835" spans="1:13" ht="31.5" hidden="1" customHeight="1" x14ac:dyDescent="0.2">
      <c r="A835" s="81">
        <v>834</v>
      </c>
      <c r="B835" s="240" t="s">
        <v>143</v>
      </c>
      <c r="C835" s="89" t="s">
        <v>1964</v>
      </c>
      <c r="D835" s="262" t="s">
        <v>1883</v>
      </c>
      <c r="E835" s="89" t="s">
        <v>1883</v>
      </c>
      <c r="F835" s="238" t="s">
        <v>48</v>
      </c>
      <c r="G835" s="87">
        <v>16</v>
      </c>
      <c r="H835" s="96" t="s">
        <v>49</v>
      </c>
      <c r="I835" s="96" t="s">
        <v>2</v>
      </c>
      <c r="J835" s="84" t="s">
        <v>1883</v>
      </c>
      <c r="K835" s="84"/>
      <c r="L835" s="84"/>
      <c r="M835" s="307" t="s">
        <v>49</v>
      </c>
    </row>
    <row r="836" spans="1:13" ht="31.5" hidden="1" customHeight="1" x14ac:dyDescent="0.2">
      <c r="A836" s="81">
        <v>835</v>
      </c>
      <c r="B836" s="263" t="s">
        <v>1813</v>
      </c>
      <c r="C836" s="89" t="s">
        <v>1965</v>
      </c>
      <c r="D836" s="259" t="s">
        <v>2003</v>
      </c>
      <c r="E836" s="89" t="s">
        <v>1884</v>
      </c>
      <c r="F836" s="238" t="s">
        <v>48</v>
      </c>
      <c r="G836" s="87">
        <v>16</v>
      </c>
      <c r="H836" s="96" t="s">
        <v>49</v>
      </c>
      <c r="I836" s="96" t="s">
        <v>2</v>
      </c>
      <c r="J836" s="84" t="s">
        <v>2031</v>
      </c>
      <c r="K836" s="84"/>
      <c r="L836" s="84"/>
      <c r="M836" s="307" t="s">
        <v>49</v>
      </c>
    </row>
    <row r="837" spans="1:13" ht="31.5" hidden="1" customHeight="1" x14ac:dyDescent="0.2">
      <c r="A837" s="81">
        <v>836</v>
      </c>
      <c r="B837" s="265" t="s">
        <v>1813</v>
      </c>
      <c r="C837" s="89" t="s">
        <v>1966</v>
      </c>
      <c r="D837" s="264" t="s">
        <v>2004</v>
      </c>
      <c r="E837" s="89" t="s">
        <v>1885</v>
      </c>
      <c r="F837" s="238" t="s">
        <v>48</v>
      </c>
      <c r="G837" s="87">
        <v>16</v>
      </c>
      <c r="H837" s="96" t="s">
        <v>49</v>
      </c>
      <c r="I837" s="96" t="s">
        <v>2</v>
      </c>
      <c r="J837" s="84" t="s">
        <v>2018</v>
      </c>
      <c r="K837" s="84"/>
      <c r="L837" s="84"/>
      <c r="M837" s="307" t="s">
        <v>49</v>
      </c>
    </row>
    <row r="838" spans="1:13" ht="31.5" hidden="1" customHeight="1" x14ac:dyDescent="0.2">
      <c r="A838" s="81">
        <v>837</v>
      </c>
      <c r="B838" s="265" t="s">
        <v>1813</v>
      </c>
      <c r="C838" s="89" t="s">
        <v>1966</v>
      </c>
      <c r="D838" s="264" t="s">
        <v>2004</v>
      </c>
      <c r="E838" s="89" t="s">
        <v>1886</v>
      </c>
      <c r="F838" s="238" t="s">
        <v>48</v>
      </c>
      <c r="G838" s="87">
        <v>16</v>
      </c>
      <c r="H838" s="96" t="s">
        <v>49</v>
      </c>
      <c r="I838" s="96" t="s">
        <v>2</v>
      </c>
      <c r="J838" s="84" t="s">
        <v>2018</v>
      </c>
      <c r="K838" s="84"/>
      <c r="L838" s="84"/>
      <c r="M838" s="307" t="s">
        <v>49</v>
      </c>
    </row>
    <row r="839" spans="1:13" ht="31.5" hidden="1" customHeight="1" x14ac:dyDescent="0.2">
      <c r="A839" s="81">
        <v>838</v>
      </c>
      <c r="B839" s="265" t="s">
        <v>1813</v>
      </c>
      <c r="C839" s="89" t="s">
        <v>1967</v>
      </c>
      <c r="D839" s="264" t="s">
        <v>2005</v>
      </c>
      <c r="E839" s="89" t="s">
        <v>1887</v>
      </c>
      <c r="F839" s="238" t="s">
        <v>48</v>
      </c>
      <c r="G839" s="87">
        <v>16</v>
      </c>
      <c r="H839" s="96" t="s">
        <v>49</v>
      </c>
      <c r="I839" s="96" t="s">
        <v>2</v>
      </c>
      <c r="J839" s="84" t="s">
        <v>2019</v>
      </c>
      <c r="K839" s="84"/>
      <c r="L839" s="84"/>
      <c r="M839" s="307" t="s">
        <v>49</v>
      </c>
    </row>
    <row r="840" spans="1:13" ht="31.5" hidden="1" customHeight="1" x14ac:dyDescent="0.2">
      <c r="A840" s="81">
        <v>839</v>
      </c>
      <c r="B840" s="265" t="s">
        <v>1813</v>
      </c>
      <c r="C840" s="89" t="s">
        <v>1967</v>
      </c>
      <c r="D840" s="264" t="s">
        <v>2005</v>
      </c>
      <c r="E840" s="89" t="s">
        <v>1888</v>
      </c>
      <c r="F840" s="238" t="s">
        <v>48</v>
      </c>
      <c r="G840" s="87">
        <v>16</v>
      </c>
      <c r="H840" s="96" t="s">
        <v>49</v>
      </c>
      <c r="I840" s="96" t="s">
        <v>2</v>
      </c>
      <c r="J840" s="84" t="s">
        <v>2019</v>
      </c>
      <c r="K840" s="84"/>
      <c r="L840" s="84"/>
      <c r="M840" s="307" t="s">
        <v>49</v>
      </c>
    </row>
    <row r="841" spans="1:13" ht="31.5" hidden="1" customHeight="1" x14ac:dyDescent="0.2">
      <c r="A841" s="81">
        <v>840</v>
      </c>
      <c r="B841" s="265" t="s">
        <v>1813</v>
      </c>
      <c r="C841" s="89" t="s">
        <v>1967</v>
      </c>
      <c r="D841" s="264" t="s">
        <v>2005</v>
      </c>
      <c r="E841" s="89" t="s">
        <v>1889</v>
      </c>
      <c r="F841" s="238" t="s">
        <v>48</v>
      </c>
      <c r="G841" s="87">
        <v>16</v>
      </c>
      <c r="H841" s="96" t="s">
        <v>49</v>
      </c>
      <c r="I841" s="96" t="s">
        <v>2</v>
      </c>
      <c r="J841" s="84" t="s">
        <v>2019</v>
      </c>
      <c r="K841" s="84"/>
      <c r="L841" s="84"/>
      <c r="M841" s="307" t="s">
        <v>49</v>
      </c>
    </row>
    <row r="842" spans="1:13" ht="31.5" hidden="1" customHeight="1" x14ac:dyDescent="0.2">
      <c r="A842" s="81">
        <v>841</v>
      </c>
      <c r="B842" s="265" t="s">
        <v>1813</v>
      </c>
      <c r="C842" s="89" t="s">
        <v>1968</v>
      </c>
      <c r="D842" s="264" t="s">
        <v>2006</v>
      </c>
      <c r="E842" s="89" t="s">
        <v>1890</v>
      </c>
      <c r="F842" s="238" t="s">
        <v>48</v>
      </c>
      <c r="G842" s="87">
        <v>16</v>
      </c>
      <c r="H842" s="96" t="s">
        <v>49</v>
      </c>
      <c r="I842" s="96" t="s">
        <v>2</v>
      </c>
      <c r="J842" s="84" t="s">
        <v>2020</v>
      </c>
      <c r="K842" s="84"/>
      <c r="L842" s="84"/>
      <c r="M842" s="307" t="s">
        <v>49</v>
      </c>
    </row>
    <row r="843" spans="1:13" ht="31.5" hidden="1" customHeight="1" x14ac:dyDescent="0.2">
      <c r="A843" s="81">
        <v>842</v>
      </c>
      <c r="B843" s="265" t="s">
        <v>1813</v>
      </c>
      <c r="C843" s="89" t="s">
        <v>1968</v>
      </c>
      <c r="D843" s="264" t="s">
        <v>2006</v>
      </c>
      <c r="E843" s="89" t="s">
        <v>1891</v>
      </c>
      <c r="F843" s="238" t="s">
        <v>48</v>
      </c>
      <c r="G843" s="87">
        <v>16</v>
      </c>
      <c r="H843" s="96" t="s">
        <v>49</v>
      </c>
      <c r="I843" s="96" t="s">
        <v>2</v>
      </c>
      <c r="J843" s="84" t="s">
        <v>2020</v>
      </c>
      <c r="K843" s="84"/>
      <c r="L843" s="84"/>
      <c r="M843" s="307" t="s">
        <v>49</v>
      </c>
    </row>
    <row r="844" spans="1:13" ht="31.5" hidden="1" customHeight="1" x14ac:dyDescent="0.2">
      <c r="A844" s="81">
        <v>843</v>
      </c>
      <c r="B844" s="265" t="s">
        <v>1813</v>
      </c>
      <c r="C844" s="89" t="s">
        <v>1968</v>
      </c>
      <c r="D844" s="264" t="s">
        <v>2006</v>
      </c>
      <c r="E844" s="89" t="s">
        <v>1892</v>
      </c>
      <c r="F844" s="238" t="s">
        <v>48</v>
      </c>
      <c r="G844" s="87">
        <v>16</v>
      </c>
      <c r="H844" s="96" t="s">
        <v>49</v>
      </c>
      <c r="I844" s="96" t="s">
        <v>2</v>
      </c>
      <c r="J844" s="84" t="s">
        <v>2020</v>
      </c>
      <c r="K844" s="84"/>
      <c r="L844" s="84"/>
      <c r="M844" s="307" t="s">
        <v>49</v>
      </c>
    </row>
    <row r="845" spans="1:13" ht="31.5" hidden="1" customHeight="1" x14ac:dyDescent="0.2">
      <c r="A845" s="81">
        <v>844</v>
      </c>
      <c r="B845" s="265" t="s">
        <v>1813</v>
      </c>
      <c r="C845" s="89" t="s">
        <v>1968</v>
      </c>
      <c r="D845" s="264" t="s">
        <v>2006</v>
      </c>
      <c r="E845" s="89" t="s">
        <v>1893</v>
      </c>
      <c r="F845" s="238" t="s">
        <v>48</v>
      </c>
      <c r="G845" s="87">
        <v>16</v>
      </c>
      <c r="H845" s="96" t="s">
        <v>49</v>
      </c>
      <c r="I845" s="96" t="s">
        <v>2</v>
      </c>
      <c r="J845" s="84" t="s">
        <v>2020</v>
      </c>
      <c r="K845" s="84"/>
      <c r="L845" s="84"/>
      <c r="M845" s="307" t="s">
        <v>49</v>
      </c>
    </row>
    <row r="846" spans="1:13" ht="31.5" hidden="1" customHeight="1" x14ac:dyDescent="0.2">
      <c r="A846" s="81">
        <v>845</v>
      </c>
      <c r="B846" s="265" t="s">
        <v>1813</v>
      </c>
      <c r="C846" s="89" t="s">
        <v>1969</v>
      </c>
      <c r="D846" s="269" t="s">
        <v>2026</v>
      </c>
      <c r="E846" s="89" t="s">
        <v>1894</v>
      </c>
      <c r="F846" s="238" t="s">
        <v>48</v>
      </c>
      <c r="G846" s="87">
        <v>16</v>
      </c>
      <c r="H846" s="96" t="s">
        <v>49</v>
      </c>
      <c r="I846" s="96" t="s">
        <v>2</v>
      </c>
      <c r="J846" s="84" t="s">
        <v>2032</v>
      </c>
      <c r="K846" s="84"/>
      <c r="L846" s="84"/>
      <c r="M846" s="307" t="s">
        <v>49</v>
      </c>
    </row>
    <row r="847" spans="1:13" ht="31.5" hidden="1" customHeight="1" x14ac:dyDescent="0.2">
      <c r="A847" s="81">
        <v>846</v>
      </c>
      <c r="B847" s="265" t="s">
        <v>1813</v>
      </c>
      <c r="C847" s="89" t="s">
        <v>1969</v>
      </c>
      <c r="D847" s="269" t="s">
        <v>2026</v>
      </c>
      <c r="E847" s="89" t="s">
        <v>1895</v>
      </c>
      <c r="F847" s="238" t="s">
        <v>48</v>
      </c>
      <c r="G847" s="87">
        <v>16</v>
      </c>
      <c r="H847" s="96" t="s">
        <v>49</v>
      </c>
      <c r="I847" s="96" t="s">
        <v>2</v>
      </c>
      <c r="J847" s="84" t="s">
        <v>2032</v>
      </c>
      <c r="K847" s="84"/>
      <c r="L847" s="84"/>
      <c r="M847" s="307" t="s">
        <v>49</v>
      </c>
    </row>
    <row r="848" spans="1:13" ht="31.5" hidden="1" customHeight="1" x14ac:dyDescent="0.2">
      <c r="A848" s="81">
        <v>847</v>
      </c>
      <c r="B848" s="265" t="s">
        <v>1813</v>
      </c>
      <c r="C848" s="89" t="s">
        <v>1969</v>
      </c>
      <c r="D848" s="269" t="s">
        <v>2027</v>
      </c>
      <c r="E848" s="89" t="s">
        <v>1896</v>
      </c>
      <c r="F848" s="238" t="s">
        <v>48</v>
      </c>
      <c r="G848" s="87">
        <v>16</v>
      </c>
      <c r="H848" s="96" t="s">
        <v>49</v>
      </c>
      <c r="I848" s="96" t="s">
        <v>2</v>
      </c>
      <c r="J848" s="84" t="s">
        <v>1896</v>
      </c>
      <c r="K848" s="84"/>
      <c r="L848" s="84"/>
      <c r="M848" s="307" t="s">
        <v>49</v>
      </c>
    </row>
    <row r="849" spans="1:13" ht="31.5" hidden="1" customHeight="1" x14ac:dyDescent="0.2">
      <c r="A849" s="81">
        <v>848</v>
      </c>
      <c r="B849" s="265" t="s">
        <v>1813</v>
      </c>
      <c r="C849" s="89" t="s">
        <v>1969</v>
      </c>
      <c r="D849" s="269" t="s">
        <v>2026</v>
      </c>
      <c r="E849" s="89" t="s">
        <v>1897</v>
      </c>
      <c r="F849" s="238" t="s">
        <v>48</v>
      </c>
      <c r="G849" s="87">
        <v>16</v>
      </c>
      <c r="H849" s="96" t="s">
        <v>49</v>
      </c>
      <c r="I849" s="96" t="s">
        <v>2</v>
      </c>
      <c r="J849" s="84" t="s">
        <v>2032</v>
      </c>
      <c r="K849" s="84"/>
      <c r="L849" s="84"/>
      <c r="M849" s="307" t="s">
        <v>49</v>
      </c>
    </row>
    <row r="850" spans="1:13" ht="31.5" hidden="1" customHeight="1" x14ac:dyDescent="0.2">
      <c r="A850" s="81">
        <v>849</v>
      </c>
      <c r="B850" s="265" t="s">
        <v>1813</v>
      </c>
      <c r="C850" s="89" t="s">
        <v>1969</v>
      </c>
      <c r="D850" s="269" t="s">
        <v>2026</v>
      </c>
      <c r="E850" s="89" t="s">
        <v>1898</v>
      </c>
      <c r="F850" s="238" t="s">
        <v>48</v>
      </c>
      <c r="G850" s="87">
        <v>16</v>
      </c>
      <c r="H850" s="96" t="s">
        <v>49</v>
      </c>
      <c r="I850" s="96" t="s">
        <v>2</v>
      </c>
      <c r="J850" s="84" t="s">
        <v>2032</v>
      </c>
      <c r="K850" s="84"/>
      <c r="L850" s="84"/>
      <c r="M850" s="307" t="s">
        <v>49</v>
      </c>
    </row>
    <row r="851" spans="1:13" ht="31.5" hidden="1" customHeight="1" x14ac:dyDescent="0.2">
      <c r="A851" s="81">
        <v>850</v>
      </c>
      <c r="B851" s="265" t="s">
        <v>1813</v>
      </c>
      <c r="C851" s="89" t="s">
        <v>1969</v>
      </c>
      <c r="D851" s="269" t="s">
        <v>2028</v>
      </c>
      <c r="E851" s="89" t="s">
        <v>1899</v>
      </c>
      <c r="F851" s="238" t="s">
        <v>48</v>
      </c>
      <c r="G851" s="87">
        <v>16</v>
      </c>
      <c r="H851" s="96" t="s">
        <v>49</v>
      </c>
      <c r="I851" s="96" t="s">
        <v>2</v>
      </c>
      <c r="J851" s="84" t="s">
        <v>1899</v>
      </c>
      <c r="K851" s="84"/>
      <c r="L851" s="84"/>
      <c r="M851" s="307" t="s">
        <v>49</v>
      </c>
    </row>
    <row r="852" spans="1:13" ht="31.5" hidden="1" customHeight="1" x14ac:dyDescent="0.2">
      <c r="A852" s="81">
        <v>851</v>
      </c>
      <c r="B852" s="265" t="s">
        <v>1813</v>
      </c>
      <c r="C852" s="89" t="s">
        <v>1970</v>
      </c>
      <c r="D852" s="264" t="s">
        <v>2007</v>
      </c>
      <c r="E852" s="89" t="s">
        <v>1900</v>
      </c>
      <c r="F852" s="238" t="s">
        <v>48</v>
      </c>
      <c r="G852" s="87">
        <v>16</v>
      </c>
      <c r="H852" s="96" t="s">
        <v>49</v>
      </c>
      <c r="I852" s="96" t="s">
        <v>2</v>
      </c>
      <c r="J852" s="84" t="s">
        <v>2021</v>
      </c>
      <c r="K852" s="84"/>
      <c r="L852" s="84"/>
      <c r="M852" s="307" t="s">
        <v>49</v>
      </c>
    </row>
    <row r="853" spans="1:13" ht="31.5" hidden="1" customHeight="1" x14ac:dyDescent="0.2">
      <c r="A853" s="81">
        <v>852</v>
      </c>
      <c r="B853" s="265" t="s">
        <v>1813</v>
      </c>
      <c r="C853" s="89" t="s">
        <v>1970</v>
      </c>
      <c r="D853" s="264" t="s">
        <v>2007</v>
      </c>
      <c r="E853" s="89" t="s">
        <v>1901</v>
      </c>
      <c r="F853" s="238" t="s">
        <v>48</v>
      </c>
      <c r="G853" s="87">
        <v>16</v>
      </c>
      <c r="H853" s="96" t="s">
        <v>49</v>
      </c>
      <c r="I853" s="96" t="s">
        <v>2</v>
      </c>
      <c r="J853" s="84" t="s">
        <v>2021</v>
      </c>
      <c r="K853" s="84"/>
      <c r="L853" s="84"/>
      <c r="M853" s="307" t="s">
        <v>49</v>
      </c>
    </row>
    <row r="854" spans="1:13" ht="31.5" hidden="1" customHeight="1" x14ac:dyDescent="0.2">
      <c r="A854" s="81">
        <v>853</v>
      </c>
      <c r="B854" s="265" t="s">
        <v>1813</v>
      </c>
      <c r="C854" s="89" t="s">
        <v>1970</v>
      </c>
      <c r="D854" s="264" t="s">
        <v>2007</v>
      </c>
      <c r="E854" s="89" t="s">
        <v>1902</v>
      </c>
      <c r="F854" s="238" t="s">
        <v>48</v>
      </c>
      <c r="G854" s="87">
        <v>16</v>
      </c>
      <c r="H854" s="96" t="s">
        <v>49</v>
      </c>
      <c r="I854" s="96" t="s">
        <v>2</v>
      </c>
      <c r="J854" s="84" t="s">
        <v>2021</v>
      </c>
      <c r="K854" s="84"/>
      <c r="L854" s="84"/>
      <c r="M854" s="307" t="s">
        <v>49</v>
      </c>
    </row>
    <row r="855" spans="1:13" ht="31.5" hidden="1" customHeight="1" x14ac:dyDescent="0.2">
      <c r="A855" s="81">
        <v>854</v>
      </c>
      <c r="B855" s="265" t="s">
        <v>1813</v>
      </c>
      <c r="C855" s="89" t="s">
        <v>1970</v>
      </c>
      <c r="D855" s="264" t="s">
        <v>2007</v>
      </c>
      <c r="E855" s="89" t="s">
        <v>1903</v>
      </c>
      <c r="F855" s="238" t="s">
        <v>48</v>
      </c>
      <c r="G855" s="87">
        <v>16</v>
      </c>
      <c r="H855" s="96" t="s">
        <v>49</v>
      </c>
      <c r="I855" s="96" t="s">
        <v>2</v>
      </c>
      <c r="J855" s="84" t="s">
        <v>2021</v>
      </c>
      <c r="K855" s="84"/>
      <c r="L855" s="84"/>
      <c r="M855" s="307" t="s">
        <v>49</v>
      </c>
    </row>
    <row r="856" spans="1:13" ht="31.5" hidden="1" customHeight="1" x14ac:dyDescent="0.2">
      <c r="A856" s="81">
        <v>855</v>
      </c>
      <c r="B856" s="265" t="s">
        <v>1813</v>
      </c>
      <c r="C856" s="89" t="s">
        <v>1970</v>
      </c>
      <c r="D856" s="264" t="s">
        <v>2007</v>
      </c>
      <c r="E856" s="89" t="s">
        <v>1904</v>
      </c>
      <c r="F856" s="238" t="s">
        <v>48</v>
      </c>
      <c r="G856" s="87">
        <v>16</v>
      </c>
      <c r="H856" s="96" t="s">
        <v>49</v>
      </c>
      <c r="I856" s="96" t="s">
        <v>2</v>
      </c>
      <c r="J856" s="84" t="s">
        <v>2021</v>
      </c>
      <c r="K856" s="84"/>
      <c r="L856" s="84"/>
      <c r="M856" s="307" t="s">
        <v>49</v>
      </c>
    </row>
    <row r="857" spans="1:13" ht="31.5" hidden="1" customHeight="1" x14ac:dyDescent="0.2">
      <c r="A857" s="81">
        <v>856</v>
      </c>
      <c r="B857" s="265" t="s">
        <v>1813</v>
      </c>
      <c r="C857" s="89" t="s">
        <v>1970</v>
      </c>
      <c r="D857" s="264" t="s">
        <v>1905</v>
      </c>
      <c r="E857" s="89" t="s">
        <v>1905</v>
      </c>
      <c r="F857" s="238" t="s">
        <v>48</v>
      </c>
      <c r="G857" s="87">
        <v>16</v>
      </c>
      <c r="H857" s="96" t="s">
        <v>49</v>
      </c>
      <c r="I857" s="96" t="s">
        <v>2</v>
      </c>
      <c r="J857" s="84" t="s">
        <v>1905</v>
      </c>
      <c r="K857" s="84"/>
      <c r="L857" s="84"/>
      <c r="M857" s="307" t="s">
        <v>49</v>
      </c>
    </row>
    <row r="858" spans="1:13" ht="31.5" hidden="1" customHeight="1" x14ac:dyDescent="0.2">
      <c r="A858" s="81">
        <v>857</v>
      </c>
      <c r="B858" s="265" t="s">
        <v>1813</v>
      </c>
      <c r="C858" s="89" t="s">
        <v>1970</v>
      </c>
      <c r="D858" s="264" t="s">
        <v>2007</v>
      </c>
      <c r="E858" s="89" t="s">
        <v>1906</v>
      </c>
      <c r="F858" s="238" t="s">
        <v>48</v>
      </c>
      <c r="G858" s="87">
        <v>16</v>
      </c>
      <c r="H858" s="96" t="s">
        <v>49</v>
      </c>
      <c r="I858" s="96" t="s">
        <v>2</v>
      </c>
      <c r="J858" s="84" t="s">
        <v>2021</v>
      </c>
      <c r="K858" s="84"/>
      <c r="L858" s="84"/>
      <c r="M858" s="307" t="s">
        <v>49</v>
      </c>
    </row>
    <row r="859" spans="1:13" ht="31.5" hidden="1" customHeight="1" x14ac:dyDescent="0.2">
      <c r="A859" s="81">
        <v>858</v>
      </c>
      <c r="B859" s="265" t="s">
        <v>1813</v>
      </c>
      <c r="C859" s="89" t="s">
        <v>1971</v>
      </c>
      <c r="D859" s="256" t="s">
        <v>2029</v>
      </c>
      <c r="E859" s="89" t="s">
        <v>1907</v>
      </c>
      <c r="F859" s="238" t="s">
        <v>48</v>
      </c>
      <c r="G859" s="87">
        <v>16</v>
      </c>
      <c r="H859" s="96" t="s">
        <v>49</v>
      </c>
      <c r="I859" s="96" t="s">
        <v>2</v>
      </c>
      <c r="J859" s="84" t="s">
        <v>2033</v>
      </c>
      <c r="K859" s="84"/>
      <c r="L859" s="84"/>
      <c r="M859" s="307" t="s">
        <v>49</v>
      </c>
    </row>
    <row r="860" spans="1:13" ht="31.5" hidden="1" customHeight="1" x14ac:dyDescent="0.2">
      <c r="A860" s="81">
        <v>859</v>
      </c>
      <c r="B860" s="265" t="s">
        <v>1813</v>
      </c>
      <c r="C860" s="89" t="s">
        <v>1971</v>
      </c>
      <c r="D860" s="256" t="s">
        <v>2029</v>
      </c>
      <c r="E860" s="89" t="s">
        <v>1908</v>
      </c>
      <c r="F860" s="238" t="s">
        <v>48</v>
      </c>
      <c r="G860" s="87">
        <v>16</v>
      </c>
      <c r="H860" s="96" t="s">
        <v>49</v>
      </c>
      <c r="I860" s="96" t="s">
        <v>2</v>
      </c>
      <c r="J860" s="84" t="s">
        <v>2033</v>
      </c>
      <c r="K860" s="84"/>
      <c r="L860" s="84"/>
      <c r="M860" s="307" t="s">
        <v>49</v>
      </c>
    </row>
    <row r="861" spans="1:13" ht="31.5" hidden="1" customHeight="1" x14ac:dyDescent="0.2">
      <c r="A861" s="81">
        <v>860</v>
      </c>
      <c r="B861" s="265" t="s">
        <v>1813</v>
      </c>
      <c r="C861" s="89" t="s">
        <v>1971</v>
      </c>
      <c r="D861" s="256" t="s">
        <v>2030</v>
      </c>
      <c r="E861" s="89" t="s">
        <v>1909</v>
      </c>
      <c r="F861" s="238" t="s">
        <v>48</v>
      </c>
      <c r="G861" s="87">
        <v>16</v>
      </c>
      <c r="H861" s="96" t="s">
        <v>49</v>
      </c>
      <c r="I861" s="96" t="s">
        <v>2</v>
      </c>
      <c r="J861" s="84" t="s">
        <v>1909</v>
      </c>
      <c r="K861" s="84"/>
      <c r="L861" s="84"/>
      <c r="M861" s="307" t="s">
        <v>49</v>
      </c>
    </row>
    <row r="862" spans="1:13" ht="31.5" hidden="1" customHeight="1" x14ac:dyDescent="0.2">
      <c r="A862" s="81">
        <v>861</v>
      </c>
      <c r="B862" s="265" t="s">
        <v>1813</v>
      </c>
      <c r="C862" s="89" t="s">
        <v>1971</v>
      </c>
      <c r="D862" s="256" t="s">
        <v>2029</v>
      </c>
      <c r="E862" s="89" t="s">
        <v>1910</v>
      </c>
      <c r="F862" s="238" t="s">
        <v>48</v>
      </c>
      <c r="G862" s="87">
        <v>16</v>
      </c>
      <c r="H862" s="96" t="s">
        <v>49</v>
      </c>
      <c r="I862" s="96" t="s">
        <v>2</v>
      </c>
      <c r="J862" s="84" t="s">
        <v>2033</v>
      </c>
      <c r="K862" s="84"/>
      <c r="L862" s="84"/>
      <c r="M862" s="307" t="s">
        <v>49</v>
      </c>
    </row>
    <row r="863" spans="1:13" ht="31.5" hidden="1" customHeight="1" x14ac:dyDescent="0.2">
      <c r="A863" s="81">
        <v>862</v>
      </c>
      <c r="B863" s="265" t="s">
        <v>1813</v>
      </c>
      <c r="C863" s="89" t="s">
        <v>1971</v>
      </c>
      <c r="D863" s="256" t="s">
        <v>2029</v>
      </c>
      <c r="E863" s="89" t="s">
        <v>1911</v>
      </c>
      <c r="F863" s="238" t="s">
        <v>48</v>
      </c>
      <c r="G863" s="87">
        <v>16</v>
      </c>
      <c r="H863" s="96" t="s">
        <v>49</v>
      </c>
      <c r="I863" s="96" t="s">
        <v>2</v>
      </c>
      <c r="J863" s="84" t="s">
        <v>2033</v>
      </c>
      <c r="K863" s="84"/>
      <c r="L863" s="84"/>
      <c r="M863" s="307" t="s">
        <v>49</v>
      </c>
    </row>
    <row r="864" spans="1:13" ht="31.5" hidden="1" customHeight="1" x14ac:dyDescent="0.2">
      <c r="A864" s="81">
        <v>863</v>
      </c>
      <c r="B864" s="265" t="s">
        <v>1813</v>
      </c>
      <c r="C864" s="89" t="s">
        <v>1971</v>
      </c>
      <c r="D864" s="256" t="s">
        <v>1912</v>
      </c>
      <c r="E864" s="89" t="s">
        <v>1912</v>
      </c>
      <c r="F864" s="238" t="s">
        <v>48</v>
      </c>
      <c r="G864" s="87">
        <v>16</v>
      </c>
      <c r="H864" s="96" t="s">
        <v>49</v>
      </c>
      <c r="I864" s="96" t="s">
        <v>2</v>
      </c>
      <c r="J864" s="84" t="s">
        <v>1912</v>
      </c>
      <c r="K864" s="84"/>
      <c r="L864" s="84"/>
      <c r="M864" s="307" t="s">
        <v>49</v>
      </c>
    </row>
    <row r="865" spans="1:13" ht="31.5" hidden="1" customHeight="1" x14ac:dyDescent="0.2">
      <c r="A865" s="81">
        <v>864</v>
      </c>
      <c r="B865" s="265" t="s">
        <v>1813</v>
      </c>
      <c r="C865" s="89" t="s">
        <v>1972</v>
      </c>
      <c r="D865" s="256" t="s">
        <v>2003</v>
      </c>
      <c r="E865" s="89" t="s">
        <v>1913</v>
      </c>
      <c r="F865" s="238" t="s">
        <v>48</v>
      </c>
      <c r="G865" s="87">
        <v>16</v>
      </c>
      <c r="H865" s="96" t="s">
        <v>49</v>
      </c>
      <c r="I865" s="96" t="s">
        <v>2</v>
      </c>
      <c r="J865" s="84" t="s">
        <v>2031</v>
      </c>
      <c r="K865" s="84"/>
      <c r="L865" s="84"/>
      <c r="M865" s="307" t="s">
        <v>49</v>
      </c>
    </row>
    <row r="866" spans="1:13" ht="31.5" hidden="1" customHeight="1" x14ac:dyDescent="0.2">
      <c r="A866" s="81">
        <v>865</v>
      </c>
      <c r="B866" s="240" t="s">
        <v>1813</v>
      </c>
      <c r="C866" s="89" t="s">
        <v>1973</v>
      </c>
      <c r="D866" s="255" t="s">
        <v>1988</v>
      </c>
      <c r="E866" s="89" t="s">
        <v>1914</v>
      </c>
      <c r="F866" s="238" t="s">
        <v>48</v>
      </c>
      <c r="G866" s="87">
        <v>16</v>
      </c>
      <c r="H866" s="96" t="s">
        <v>49</v>
      </c>
      <c r="I866" s="96" t="s">
        <v>2</v>
      </c>
      <c r="J866" s="84" t="s">
        <v>2022</v>
      </c>
      <c r="K866" s="84"/>
      <c r="L866" s="84"/>
      <c r="M866" s="307" t="s">
        <v>49</v>
      </c>
    </row>
    <row r="867" spans="1:13" ht="31.5" hidden="1" customHeight="1" x14ac:dyDescent="0.2">
      <c r="A867" s="81">
        <v>866</v>
      </c>
      <c r="B867" s="240" t="s">
        <v>1813</v>
      </c>
      <c r="C867" s="89" t="s">
        <v>1974</v>
      </c>
      <c r="D867" s="255" t="s">
        <v>1988</v>
      </c>
      <c r="E867" s="89" t="s">
        <v>1915</v>
      </c>
      <c r="F867" s="238" t="s">
        <v>48</v>
      </c>
      <c r="G867" s="87">
        <v>16</v>
      </c>
      <c r="H867" s="96" t="s">
        <v>49</v>
      </c>
      <c r="I867" s="96" t="s">
        <v>2</v>
      </c>
      <c r="J867" s="84" t="s">
        <v>2022</v>
      </c>
      <c r="K867" s="84"/>
      <c r="L867" s="84"/>
      <c r="M867" s="307" t="s">
        <v>49</v>
      </c>
    </row>
    <row r="868" spans="1:13" ht="31.5" hidden="1" customHeight="1" x14ac:dyDescent="0.2">
      <c r="A868" s="81">
        <v>867</v>
      </c>
      <c r="B868" s="240" t="s">
        <v>1813</v>
      </c>
      <c r="C868" s="89" t="s">
        <v>1974</v>
      </c>
      <c r="D868" s="255" t="s">
        <v>1988</v>
      </c>
      <c r="E868" s="89" t="s">
        <v>1916</v>
      </c>
      <c r="F868" s="238" t="s">
        <v>48</v>
      </c>
      <c r="G868" s="87">
        <v>16</v>
      </c>
      <c r="H868" s="96" t="s">
        <v>49</v>
      </c>
      <c r="I868" s="96" t="s">
        <v>2</v>
      </c>
      <c r="J868" s="84" t="s">
        <v>2022</v>
      </c>
      <c r="K868" s="84"/>
      <c r="L868" s="84"/>
      <c r="M868" s="307" t="s">
        <v>49</v>
      </c>
    </row>
    <row r="869" spans="1:13" ht="31.5" hidden="1" customHeight="1" x14ac:dyDescent="0.2">
      <c r="A869" s="81">
        <v>868</v>
      </c>
      <c r="B869" s="240" t="s">
        <v>1813</v>
      </c>
      <c r="C869" s="89" t="s">
        <v>1975</v>
      </c>
      <c r="D869" s="281" t="s">
        <v>2122</v>
      </c>
      <c r="E869" s="89" t="s">
        <v>1917</v>
      </c>
      <c r="F869" s="238" t="s">
        <v>48</v>
      </c>
      <c r="G869" s="87">
        <v>16</v>
      </c>
      <c r="H869" s="96" t="s">
        <v>49</v>
      </c>
      <c r="I869" s="96" t="s">
        <v>2</v>
      </c>
      <c r="J869" s="84" t="s">
        <v>2138</v>
      </c>
      <c r="K869" s="84"/>
      <c r="L869" s="84"/>
      <c r="M869" s="307" t="s">
        <v>49</v>
      </c>
    </row>
    <row r="870" spans="1:13" ht="31.5" hidden="1" customHeight="1" x14ac:dyDescent="0.2">
      <c r="A870" s="81">
        <v>869</v>
      </c>
      <c r="B870" s="240" t="s">
        <v>1813</v>
      </c>
      <c r="C870" s="89" t="s">
        <v>1975</v>
      </c>
      <c r="D870" s="281" t="s">
        <v>2122</v>
      </c>
      <c r="E870" s="89" t="s">
        <v>1918</v>
      </c>
      <c r="F870" s="238" t="s">
        <v>48</v>
      </c>
      <c r="G870" s="87">
        <v>16</v>
      </c>
      <c r="H870" s="96" t="s">
        <v>49</v>
      </c>
      <c r="I870" s="96" t="s">
        <v>2</v>
      </c>
      <c r="J870" s="84" t="s">
        <v>2138</v>
      </c>
      <c r="K870" s="84"/>
      <c r="L870" s="84"/>
      <c r="M870" s="307" t="s">
        <v>49</v>
      </c>
    </row>
    <row r="871" spans="1:13" ht="31.5" hidden="1" customHeight="1" x14ac:dyDescent="0.2">
      <c r="A871" s="81">
        <v>870</v>
      </c>
      <c r="B871" s="240" t="s">
        <v>143</v>
      </c>
      <c r="C871" s="89" t="s">
        <v>1976</v>
      </c>
      <c r="D871" s="153" t="s">
        <v>1984</v>
      </c>
      <c r="E871" s="89" t="s">
        <v>1919</v>
      </c>
      <c r="F871" s="238" t="s">
        <v>48</v>
      </c>
      <c r="G871" s="87">
        <v>16</v>
      </c>
      <c r="H871" s="96" t="s">
        <v>49</v>
      </c>
      <c r="I871" s="96" t="s">
        <v>2</v>
      </c>
      <c r="J871" s="84" t="s">
        <v>1985</v>
      </c>
      <c r="K871" s="266" t="s">
        <v>2008</v>
      </c>
      <c r="L871" s="84"/>
      <c r="M871" s="307" t="s">
        <v>49</v>
      </c>
    </row>
    <row r="872" spans="1:13" ht="31.5" hidden="1" customHeight="1" x14ac:dyDescent="0.2">
      <c r="A872" s="81">
        <v>871</v>
      </c>
      <c r="B872" s="240" t="s">
        <v>143</v>
      </c>
      <c r="C872" s="89" t="s">
        <v>1976</v>
      </c>
      <c r="D872" s="153" t="s">
        <v>1984</v>
      </c>
      <c r="E872" s="89" t="s">
        <v>1920</v>
      </c>
      <c r="F872" s="238" t="s">
        <v>48</v>
      </c>
      <c r="G872" s="87">
        <v>16</v>
      </c>
      <c r="H872" s="96" t="s">
        <v>49</v>
      </c>
      <c r="I872" s="96" t="s">
        <v>2</v>
      </c>
      <c r="J872" s="84" t="s">
        <v>1985</v>
      </c>
      <c r="K872" s="266" t="s">
        <v>2008</v>
      </c>
      <c r="L872" s="84"/>
      <c r="M872" s="307" t="s">
        <v>49</v>
      </c>
    </row>
    <row r="873" spans="1:13" ht="31.5" hidden="1" customHeight="1" x14ac:dyDescent="0.2">
      <c r="A873" s="81">
        <v>872</v>
      </c>
      <c r="B873" s="240" t="s">
        <v>1813</v>
      </c>
      <c r="C873" s="89" t="s">
        <v>1977</v>
      </c>
      <c r="D873" s="281" t="s">
        <v>2122</v>
      </c>
      <c r="E873" s="89" t="s">
        <v>1921</v>
      </c>
      <c r="F873" s="238" t="s">
        <v>48</v>
      </c>
      <c r="G873" s="87">
        <v>16</v>
      </c>
      <c r="H873" s="96" t="s">
        <v>49</v>
      </c>
      <c r="I873" s="96" t="s">
        <v>2</v>
      </c>
      <c r="J873" s="84" t="s">
        <v>2138</v>
      </c>
      <c r="K873" s="84"/>
      <c r="L873" s="84"/>
      <c r="M873" s="307" t="s">
        <v>49</v>
      </c>
    </row>
    <row r="874" spans="1:13" ht="31.5" hidden="1" customHeight="1" x14ac:dyDescent="0.2">
      <c r="A874" s="81">
        <v>873</v>
      </c>
      <c r="B874" s="240" t="s">
        <v>1813</v>
      </c>
      <c r="C874" s="89" t="s">
        <v>1977</v>
      </c>
      <c r="D874" s="281" t="s">
        <v>2122</v>
      </c>
      <c r="E874" s="89" t="s">
        <v>1922</v>
      </c>
      <c r="F874" s="238" t="s">
        <v>48</v>
      </c>
      <c r="G874" s="87">
        <v>16</v>
      </c>
      <c r="H874" s="96" t="s">
        <v>49</v>
      </c>
      <c r="I874" s="96" t="s">
        <v>2</v>
      </c>
      <c r="J874" s="84" t="s">
        <v>2138</v>
      </c>
      <c r="K874" s="84"/>
      <c r="L874" s="84"/>
      <c r="M874" s="307" t="s">
        <v>49</v>
      </c>
    </row>
    <row r="875" spans="1:13" ht="31.5" hidden="1" customHeight="1" x14ac:dyDescent="0.2">
      <c r="A875" s="81">
        <v>874</v>
      </c>
      <c r="B875" s="240" t="s">
        <v>143</v>
      </c>
      <c r="C875" s="89" t="s">
        <v>1978</v>
      </c>
      <c r="D875" s="281" t="s">
        <v>2119</v>
      </c>
      <c r="E875" s="153" t="s">
        <v>1923</v>
      </c>
      <c r="F875" s="238" t="s">
        <v>48</v>
      </c>
      <c r="G875" s="87">
        <v>16</v>
      </c>
      <c r="H875" s="96" t="s">
        <v>49</v>
      </c>
      <c r="I875" s="96" t="s">
        <v>2</v>
      </c>
      <c r="J875" s="84" t="s">
        <v>2148</v>
      </c>
      <c r="K875" s="84"/>
      <c r="L875" s="84"/>
      <c r="M875" s="307" t="s">
        <v>49</v>
      </c>
    </row>
    <row r="876" spans="1:13" ht="31.5" hidden="1" customHeight="1" x14ac:dyDescent="0.2">
      <c r="A876" s="81">
        <v>875</v>
      </c>
      <c r="B876" s="240" t="s">
        <v>143</v>
      </c>
      <c r="C876" s="89" t="s">
        <v>1978</v>
      </c>
      <c r="D876" s="153" t="s">
        <v>1983</v>
      </c>
      <c r="E876" s="89" t="s">
        <v>1924</v>
      </c>
      <c r="F876" s="238" t="s">
        <v>48</v>
      </c>
      <c r="G876" s="87">
        <v>16</v>
      </c>
      <c r="H876" s="96" t="s">
        <v>49</v>
      </c>
      <c r="I876" s="96" t="s">
        <v>2</v>
      </c>
      <c r="J876" s="84" t="s">
        <v>1986</v>
      </c>
      <c r="K876" s="84"/>
      <c r="L876" s="84"/>
      <c r="M876" s="307" t="s">
        <v>49</v>
      </c>
    </row>
    <row r="877" spans="1:13" ht="31.5" hidden="1" customHeight="1" x14ac:dyDescent="0.2">
      <c r="A877" s="81">
        <v>876</v>
      </c>
      <c r="B877" s="240" t="s">
        <v>143</v>
      </c>
      <c r="C877" s="89" t="s">
        <v>1978</v>
      </c>
      <c r="D877" s="153" t="s">
        <v>1983</v>
      </c>
      <c r="E877" s="89" t="s">
        <v>1925</v>
      </c>
      <c r="F877" s="238" t="s">
        <v>48</v>
      </c>
      <c r="G877" s="87">
        <v>16</v>
      </c>
      <c r="H877" s="96" t="s">
        <v>49</v>
      </c>
      <c r="I877" s="96" t="s">
        <v>2</v>
      </c>
      <c r="J877" s="84" t="s">
        <v>1986</v>
      </c>
      <c r="K877" s="84"/>
      <c r="L877" s="84"/>
      <c r="M877" s="307" t="s">
        <v>49</v>
      </c>
    </row>
    <row r="878" spans="1:13" ht="31.5" hidden="1" customHeight="1" x14ac:dyDescent="0.2">
      <c r="A878" s="81">
        <v>880</v>
      </c>
      <c r="B878" s="240" t="s">
        <v>143</v>
      </c>
      <c r="C878" s="153" t="s">
        <v>1982</v>
      </c>
      <c r="D878" s="255" t="s">
        <v>1987</v>
      </c>
      <c r="E878" s="89" t="s">
        <v>1929</v>
      </c>
      <c r="F878" s="238" t="s">
        <v>48</v>
      </c>
      <c r="G878" s="87">
        <v>16</v>
      </c>
      <c r="H878" s="96" t="s">
        <v>49</v>
      </c>
      <c r="I878" s="96" t="s">
        <v>2</v>
      </c>
      <c r="J878" s="84" t="s">
        <v>2023</v>
      </c>
      <c r="K878" s="84"/>
      <c r="L878" s="84"/>
      <c r="M878" s="307" t="s">
        <v>49</v>
      </c>
    </row>
    <row r="879" spans="1:13" ht="31.5" hidden="1" customHeight="1" x14ac:dyDescent="0.2">
      <c r="A879" s="81">
        <v>881</v>
      </c>
      <c r="B879" s="240" t="s">
        <v>143</v>
      </c>
      <c r="C879" s="153" t="s">
        <v>1982</v>
      </c>
      <c r="D879" s="255" t="s">
        <v>1987</v>
      </c>
      <c r="E879" s="89" t="s">
        <v>1930</v>
      </c>
      <c r="F879" s="238" t="s">
        <v>48</v>
      </c>
      <c r="G879" s="87">
        <v>16</v>
      </c>
      <c r="H879" s="96" t="s">
        <v>49</v>
      </c>
      <c r="I879" s="96" t="s">
        <v>2</v>
      </c>
      <c r="J879" s="84" t="s">
        <v>2023</v>
      </c>
      <c r="K879" s="84"/>
      <c r="L879" s="84"/>
      <c r="M879" s="307" t="s">
        <v>49</v>
      </c>
    </row>
    <row r="880" spans="1:13" ht="31.5" hidden="1" customHeight="1" x14ac:dyDescent="0.2">
      <c r="A880" s="81">
        <v>882</v>
      </c>
      <c r="B880" s="240" t="s">
        <v>143</v>
      </c>
      <c r="C880" s="153" t="s">
        <v>1982</v>
      </c>
      <c r="D880" s="255" t="s">
        <v>1987</v>
      </c>
      <c r="E880" s="89" t="s">
        <v>1931</v>
      </c>
      <c r="F880" s="238" t="s">
        <v>48</v>
      </c>
      <c r="G880" s="87">
        <v>16</v>
      </c>
      <c r="H880" s="96" t="s">
        <v>49</v>
      </c>
      <c r="I880" s="96" t="s">
        <v>2</v>
      </c>
      <c r="J880" s="84" t="s">
        <v>2023</v>
      </c>
      <c r="K880" s="84"/>
      <c r="L880" s="84"/>
      <c r="M880" s="307" t="s">
        <v>49</v>
      </c>
    </row>
    <row r="881" spans="1:13" ht="31.5" hidden="1" customHeight="1" x14ac:dyDescent="0.2">
      <c r="A881" s="81">
        <v>883</v>
      </c>
      <c r="B881" s="240" t="s">
        <v>143</v>
      </c>
      <c r="C881" s="153" t="s">
        <v>1982</v>
      </c>
      <c r="D881" s="255" t="s">
        <v>1987</v>
      </c>
      <c r="E881" s="89" t="s">
        <v>1932</v>
      </c>
      <c r="F881" s="238" t="s">
        <v>48</v>
      </c>
      <c r="G881" s="87">
        <v>16</v>
      </c>
      <c r="H881" s="96" t="s">
        <v>49</v>
      </c>
      <c r="I881" s="96" t="s">
        <v>2</v>
      </c>
      <c r="J881" s="84" t="s">
        <v>2023</v>
      </c>
      <c r="K881" s="84"/>
      <c r="L881" s="84"/>
      <c r="M881" s="307" t="s">
        <v>49</v>
      </c>
    </row>
    <row r="882" spans="1:13" ht="31.5" hidden="1" customHeight="1" x14ac:dyDescent="0.2">
      <c r="A882" s="81">
        <v>884</v>
      </c>
      <c r="B882" s="240" t="s">
        <v>143</v>
      </c>
      <c r="C882" s="153" t="s">
        <v>1982</v>
      </c>
      <c r="D882" s="255" t="s">
        <v>1987</v>
      </c>
      <c r="E882" s="89" t="s">
        <v>1933</v>
      </c>
      <c r="F882" s="238" t="s">
        <v>48</v>
      </c>
      <c r="G882" s="87">
        <v>16</v>
      </c>
      <c r="H882" s="96" t="s">
        <v>49</v>
      </c>
      <c r="I882" s="96" t="s">
        <v>2</v>
      </c>
      <c r="J882" s="84" t="s">
        <v>2023</v>
      </c>
      <c r="K882" s="84"/>
      <c r="L882" s="84"/>
      <c r="M882" s="307" t="s">
        <v>49</v>
      </c>
    </row>
    <row r="883" spans="1:13" ht="31.5" hidden="1" customHeight="1" x14ac:dyDescent="0.2">
      <c r="A883" s="81">
        <v>885</v>
      </c>
      <c r="B883" s="240" t="s">
        <v>143</v>
      </c>
      <c r="C883" s="153" t="s">
        <v>1982</v>
      </c>
      <c r="D883" s="255" t="s">
        <v>1987</v>
      </c>
      <c r="E883" s="89" t="s">
        <v>1934</v>
      </c>
      <c r="F883" s="238" t="s">
        <v>48</v>
      </c>
      <c r="G883" s="87">
        <v>16</v>
      </c>
      <c r="H883" s="96" t="s">
        <v>49</v>
      </c>
      <c r="I883" s="96" t="s">
        <v>2</v>
      </c>
      <c r="J883" s="84" t="s">
        <v>2023</v>
      </c>
      <c r="K883" s="84"/>
      <c r="L883" s="84"/>
      <c r="M883" s="307" t="s">
        <v>49</v>
      </c>
    </row>
    <row r="884" spans="1:13" ht="31.5" hidden="1" customHeight="1" x14ac:dyDescent="0.2">
      <c r="A884" s="81">
        <v>886</v>
      </c>
      <c r="B884" s="240" t="s">
        <v>1664</v>
      </c>
      <c r="C884" s="89" t="s">
        <v>1980</v>
      </c>
      <c r="D884" s="258" t="s">
        <v>1991</v>
      </c>
      <c r="E884" s="153" t="s">
        <v>1935</v>
      </c>
      <c r="F884" s="238" t="s">
        <v>48</v>
      </c>
      <c r="G884" s="87">
        <v>16</v>
      </c>
      <c r="H884" s="96" t="s">
        <v>49</v>
      </c>
      <c r="I884" s="96" t="s">
        <v>2</v>
      </c>
      <c r="J884" s="84" t="s">
        <v>2024</v>
      </c>
      <c r="K884" s="84"/>
      <c r="L884" s="84"/>
      <c r="M884" s="307" t="s">
        <v>49</v>
      </c>
    </row>
    <row r="885" spans="1:13" ht="31.5" hidden="1" customHeight="1" x14ac:dyDescent="0.2">
      <c r="A885" s="81">
        <v>887</v>
      </c>
      <c r="B885" s="240" t="s">
        <v>1664</v>
      </c>
      <c r="C885" s="89" t="s">
        <v>1980</v>
      </c>
      <c r="D885" s="258" t="s">
        <v>1991</v>
      </c>
      <c r="E885" s="89" t="s">
        <v>1936</v>
      </c>
      <c r="F885" s="238" t="s">
        <v>48</v>
      </c>
      <c r="G885" s="87">
        <v>16</v>
      </c>
      <c r="H885" s="96" t="s">
        <v>49</v>
      </c>
      <c r="I885" s="96" t="s">
        <v>2</v>
      </c>
      <c r="J885" s="84" t="s">
        <v>2024</v>
      </c>
      <c r="K885" s="84"/>
      <c r="L885" s="84"/>
      <c r="M885" s="307" t="s">
        <v>49</v>
      </c>
    </row>
    <row r="886" spans="1:13" ht="31.5" hidden="1" customHeight="1" x14ac:dyDescent="0.2">
      <c r="A886" s="81">
        <v>888</v>
      </c>
      <c r="B886" s="240" t="s">
        <v>1664</v>
      </c>
      <c r="C886" s="89" t="s">
        <v>1981</v>
      </c>
      <c r="D886" s="257" t="s">
        <v>1990</v>
      </c>
      <c r="E886" s="89" t="s">
        <v>1937</v>
      </c>
      <c r="F886" s="238" t="s">
        <v>48</v>
      </c>
      <c r="G886" s="87">
        <v>16</v>
      </c>
      <c r="H886" s="96" t="s">
        <v>49</v>
      </c>
      <c r="I886" s="96" t="s">
        <v>2</v>
      </c>
      <c r="J886" s="84" t="s">
        <v>2025</v>
      </c>
      <c r="K886" s="84"/>
      <c r="L886" s="84"/>
      <c r="M886" s="307" t="s">
        <v>49</v>
      </c>
    </row>
    <row r="887" spans="1:13" ht="31.5" hidden="1" customHeight="1" x14ac:dyDescent="0.2">
      <c r="A887" s="81">
        <v>889</v>
      </c>
      <c r="B887" s="240" t="s">
        <v>1664</v>
      </c>
      <c r="C887" s="89" t="s">
        <v>1981</v>
      </c>
      <c r="D887" s="257" t="s">
        <v>1990</v>
      </c>
      <c r="E887" s="89" t="s">
        <v>1938</v>
      </c>
      <c r="F887" s="238" t="s">
        <v>48</v>
      </c>
      <c r="G887" s="87">
        <v>16</v>
      </c>
      <c r="H887" s="96" t="s">
        <v>49</v>
      </c>
      <c r="I887" s="96" t="s">
        <v>2</v>
      </c>
      <c r="J887" s="84" t="s">
        <v>2025</v>
      </c>
      <c r="K887" s="84"/>
      <c r="L887" s="84"/>
      <c r="M887" s="307" t="s">
        <v>49</v>
      </c>
    </row>
    <row r="888" spans="1:13" ht="31.5" hidden="1" customHeight="1" x14ac:dyDescent="0.2">
      <c r="A888" s="81">
        <v>890</v>
      </c>
      <c r="B888" s="240" t="s">
        <v>1664</v>
      </c>
      <c r="C888" s="89" t="s">
        <v>1981</v>
      </c>
      <c r="D888" s="257" t="s">
        <v>1990</v>
      </c>
      <c r="E888" s="89" t="s">
        <v>1939</v>
      </c>
      <c r="F888" s="238" t="s">
        <v>48</v>
      </c>
      <c r="G888" s="87">
        <v>16</v>
      </c>
      <c r="H888" s="96" t="s">
        <v>49</v>
      </c>
      <c r="I888" s="96" t="s">
        <v>2</v>
      </c>
      <c r="J888" s="84" t="s">
        <v>2025</v>
      </c>
      <c r="K888" s="84"/>
      <c r="L888" s="84"/>
      <c r="M888" s="307" t="s">
        <v>49</v>
      </c>
    </row>
    <row r="889" spans="1:13" ht="31.5" hidden="1" customHeight="1" x14ac:dyDescent="0.2">
      <c r="A889" s="81">
        <v>891</v>
      </c>
      <c r="B889" s="240" t="s">
        <v>1664</v>
      </c>
      <c r="C889" s="89" t="s">
        <v>1981</v>
      </c>
      <c r="D889" s="257" t="s">
        <v>1990</v>
      </c>
      <c r="E889" s="89" t="s">
        <v>1940</v>
      </c>
      <c r="F889" s="238" t="s">
        <v>48</v>
      </c>
      <c r="G889" s="87">
        <v>16</v>
      </c>
      <c r="H889" s="96" t="s">
        <v>49</v>
      </c>
      <c r="I889" s="96" t="s">
        <v>2</v>
      </c>
      <c r="J889" s="84" t="s">
        <v>2025</v>
      </c>
      <c r="K889" s="84"/>
      <c r="L889" s="84"/>
      <c r="M889" s="307" t="s">
        <v>49</v>
      </c>
    </row>
    <row r="890" spans="1:13" ht="31.5" hidden="1" customHeight="1" x14ac:dyDescent="0.2">
      <c r="A890" s="81">
        <v>892</v>
      </c>
      <c r="B890" s="240" t="s">
        <v>1664</v>
      </c>
      <c r="C890" s="89" t="s">
        <v>1981</v>
      </c>
      <c r="D890" s="257" t="s">
        <v>1990</v>
      </c>
      <c r="E890" s="89" t="s">
        <v>1941</v>
      </c>
      <c r="F890" s="238" t="s">
        <v>48</v>
      </c>
      <c r="G890" s="87">
        <v>16</v>
      </c>
      <c r="H890" s="96" t="s">
        <v>49</v>
      </c>
      <c r="I890" s="96" t="s">
        <v>2</v>
      </c>
      <c r="J890" s="84" t="s">
        <v>2025</v>
      </c>
      <c r="K890" s="84"/>
      <c r="L890" s="84"/>
      <c r="M890" s="307" t="s">
        <v>49</v>
      </c>
    </row>
    <row r="891" spans="1:13" ht="31.5" hidden="1" customHeight="1" x14ac:dyDescent="0.2">
      <c r="A891" s="81">
        <v>893</v>
      </c>
      <c r="B891" s="240" t="s">
        <v>1664</v>
      </c>
      <c r="C891" s="89" t="s">
        <v>1981</v>
      </c>
      <c r="D891" s="257" t="s">
        <v>1990</v>
      </c>
      <c r="E891" s="89" t="s">
        <v>1942</v>
      </c>
      <c r="F891" s="238" t="s">
        <v>48</v>
      </c>
      <c r="G891" s="87">
        <v>16</v>
      </c>
      <c r="H891" s="96" t="s">
        <v>49</v>
      </c>
      <c r="I891" s="96" t="s">
        <v>2</v>
      </c>
      <c r="J891" s="84" t="s">
        <v>2025</v>
      </c>
      <c r="K891" s="84"/>
      <c r="L891" s="84"/>
      <c r="M891" s="307" t="s">
        <v>49</v>
      </c>
    </row>
    <row r="892" spans="1:13" ht="29.25" hidden="1" customHeight="1" x14ac:dyDescent="0.2">
      <c r="A892" s="81">
        <v>894</v>
      </c>
      <c r="B892" s="240" t="s">
        <v>1664</v>
      </c>
      <c r="C892" s="271" t="s">
        <v>2072</v>
      </c>
      <c r="D892" s="281" t="s">
        <v>2123</v>
      </c>
      <c r="E892" s="271" t="s">
        <v>2039</v>
      </c>
      <c r="F892" s="238" t="s">
        <v>48</v>
      </c>
      <c r="G892" s="87">
        <v>17</v>
      </c>
      <c r="H892" s="96" t="s">
        <v>49</v>
      </c>
      <c r="I892" s="96" t="s">
        <v>2</v>
      </c>
      <c r="J892" s="86" t="s">
        <v>2139</v>
      </c>
      <c r="M892" s="307" t="s">
        <v>49</v>
      </c>
    </row>
    <row r="893" spans="1:13" ht="29.25" hidden="1" customHeight="1" x14ac:dyDescent="0.2">
      <c r="A893" s="81">
        <v>895</v>
      </c>
      <c r="B893" s="283" t="s">
        <v>1664</v>
      </c>
      <c r="C893" s="271" t="s">
        <v>2073</v>
      </c>
      <c r="D893" s="281" t="s">
        <v>2040</v>
      </c>
      <c r="E893" s="271" t="s">
        <v>2040</v>
      </c>
      <c r="F893" s="238" t="s">
        <v>48</v>
      </c>
      <c r="G893" s="87">
        <v>17</v>
      </c>
      <c r="H893" s="96" t="s">
        <v>49</v>
      </c>
      <c r="I893" s="96" t="s">
        <v>2</v>
      </c>
      <c r="J893" s="86" t="s">
        <v>2040</v>
      </c>
      <c r="M893" s="307" t="s">
        <v>49</v>
      </c>
    </row>
    <row r="894" spans="1:13" ht="29.25" hidden="1" customHeight="1" x14ac:dyDescent="0.2">
      <c r="A894" s="81">
        <v>896</v>
      </c>
      <c r="B894" s="283" t="s">
        <v>1664</v>
      </c>
      <c r="C894" s="271" t="s">
        <v>2074</v>
      </c>
      <c r="D894" s="281" t="s">
        <v>2125</v>
      </c>
      <c r="E894" s="271" t="s">
        <v>2041</v>
      </c>
      <c r="F894" s="238" t="s">
        <v>48</v>
      </c>
      <c r="G894" s="87">
        <v>17</v>
      </c>
      <c r="H894" s="96" t="s">
        <v>49</v>
      </c>
      <c r="I894" s="96" t="s">
        <v>2</v>
      </c>
      <c r="J894" s="86" t="s">
        <v>2140</v>
      </c>
      <c r="M894" s="307" t="s">
        <v>49</v>
      </c>
    </row>
    <row r="895" spans="1:13" ht="29.25" hidden="1" customHeight="1" x14ac:dyDescent="0.2">
      <c r="A895" s="81">
        <v>897</v>
      </c>
      <c r="B895" s="283" t="s">
        <v>1664</v>
      </c>
      <c r="C895" s="271" t="s">
        <v>2074</v>
      </c>
      <c r="D895" s="281" t="s">
        <v>2125</v>
      </c>
      <c r="E895" s="271" t="s">
        <v>2042</v>
      </c>
      <c r="F895" s="238" t="s">
        <v>48</v>
      </c>
      <c r="G895" s="87">
        <v>17</v>
      </c>
      <c r="H895" s="96" t="s">
        <v>49</v>
      </c>
      <c r="I895" s="96" t="s">
        <v>2</v>
      </c>
      <c r="J895" s="86" t="s">
        <v>2140</v>
      </c>
      <c r="M895" s="307" t="s">
        <v>49</v>
      </c>
    </row>
    <row r="896" spans="1:13" ht="29.25" hidden="1" customHeight="1" x14ac:dyDescent="0.2">
      <c r="A896" s="81">
        <v>898</v>
      </c>
      <c r="B896" s="283" t="s">
        <v>1664</v>
      </c>
      <c r="C896" s="271" t="s">
        <v>2074</v>
      </c>
      <c r="D896" s="281" t="s">
        <v>2125</v>
      </c>
      <c r="E896" s="271" t="s">
        <v>2043</v>
      </c>
      <c r="F896" s="238" t="s">
        <v>48</v>
      </c>
      <c r="G896" s="87">
        <v>17</v>
      </c>
      <c r="H896" s="96" t="s">
        <v>49</v>
      </c>
      <c r="I896" s="96" t="s">
        <v>2</v>
      </c>
      <c r="J896" s="86" t="s">
        <v>2140</v>
      </c>
      <c r="M896" s="307" t="s">
        <v>49</v>
      </c>
    </row>
    <row r="897" spans="1:13" ht="29.25" hidden="1" customHeight="1" x14ac:dyDescent="0.2">
      <c r="A897" s="81">
        <v>899</v>
      </c>
      <c r="B897" s="283" t="s">
        <v>1664</v>
      </c>
      <c r="C897" s="271" t="s">
        <v>2075</v>
      </c>
      <c r="D897" s="281" t="s">
        <v>2125</v>
      </c>
      <c r="E897" s="271" t="s">
        <v>2044</v>
      </c>
      <c r="F897" s="238" t="s">
        <v>48</v>
      </c>
      <c r="G897" s="87">
        <v>17</v>
      </c>
      <c r="H897" s="96" t="s">
        <v>49</v>
      </c>
      <c r="I897" s="96" t="s">
        <v>2</v>
      </c>
      <c r="J897" s="86" t="s">
        <v>2140</v>
      </c>
      <c r="M897" s="307" t="s">
        <v>49</v>
      </c>
    </row>
    <row r="898" spans="1:13" ht="29.25" hidden="1" customHeight="1" x14ac:dyDescent="0.2">
      <c r="A898" s="81">
        <v>900</v>
      </c>
      <c r="B898" s="283" t="s">
        <v>1664</v>
      </c>
      <c r="C898" s="271" t="s">
        <v>2076</v>
      </c>
      <c r="D898" s="281" t="s">
        <v>2124</v>
      </c>
      <c r="E898" s="271" t="s">
        <v>2045</v>
      </c>
      <c r="F898" s="238" t="s">
        <v>48</v>
      </c>
      <c r="G898" s="87">
        <v>17</v>
      </c>
      <c r="H898" s="96" t="s">
        <v>49</v>
      </c>
      <c r="I898" s="96" t="s">
        <v>2</v>
      </c>
      <c r="J898" s="86" t="s">
        <v>2141</v>
      </c>
      <c r="M898" s="307" t="s">
        <v>49</v>
      </c>
    </row>
    <row r="899" spans="1:13" ht="29.25" hidden="1" customHeight="1" x14ac:dyDescent="0.2">
      <c r="A899" s="81">
        <v>901</v>
      </c>
      <c r="B899" s="283" t="s">
        <v>1664</v>
      </c>
      <c r="C899" s="271" t="s">
        <v>2076</v>
      </c>
      <c r="D899" s="281" t="s">
        <v>2124</v>
      </c>
      <c r="E899" s="271" t="s">
        <v>2046</v>
      </c>
      <c r="F899" s="238" t="s">
        <v>48</v>
      </c>
      <c r="G899" s="87">
        <v>17</v>
      </c>
      <c r="H899" s="96" t="s">
        <v>49</v>
      </c>
      <c r="I899" s="96" t="s">
        <v>2</v>
      </c>
      <c r="J899" s="86" t="s">
        <v>2141</v>
      </c>
      <c r="M899" s="307" t="s">
        <v>49</v>
      </c>
    </row>
    <row r="900" spans="1:13" ht="29.25" hidden="1" customHeight="1" x14ac:dyDescent="0.2">
      <c r="A900" s="81">
        <v>902</v>
      </c>
      <c r="B900" s="240" t="s">
        <v>143</v>
      </c>
      <c r="C900" s="271" t="s">
        <v>1979</v>
      </c>
      <c r="D900" s="281" t="s">
        <v>2093</v>
      </c>
      <c r="E900" s="274" t="s">
        <v>1926</v>
      </c>
      <c r="F900" s="238" t="s">
        <v>48</v>
      </c>
      <c r="G900" s="87">
        <v>17</v>
      </c>
      <c r="H900" s="96" t="s">
        <v>49</v>
      </c>
      <c r="I900" s="96" t="s">
        <v>2</v>
      </c>
      <c r="J900" s="86" t="s">
        <v>2142</v>
      </c>
      <c r="M900" s="307" t="s">
        <v>49</v>
      </c>
    </row>
    <row r="901" spans="1:13" ht="29.25" hidden="1" customHeight="1" x14ac:dyDescent="0.2">
      <c r="A901" s="81">
        <v>903</v>
      </c>
      <c r="B901" s="240" t="s">
        <v>143</v>
      </c>
      <c r="C901" s="271" t="s">
        <v>1979</v>
      </c>
      <c r="D901" s="273" t="s">
        <v>2093</v>
      </c>
      <c r="E901" s="274" t="s">
        <v>1927</v>
      </c>
      <c r="F901" s="238" t="s">
        <v>48</v>
      </c>
      <c r="G901" s="87">
        <v>17</v>
      </c>
      <c r="H901" s="96" t="s">
        <v>49</v>
      </c>
      <c r="I901" s="96" t="s">
        <v>2</v>
      </c>
      <c r="J901" s="86" t="s">
        <v>2142</v>
      </c>
      <c r="M901" s="307" t="s">
        <v>49</v>
      </c>
    </row>
    <row r="902" spans="1:13" ht="29.25" hidden="1" customHeight="1" x14ac:dyDescent="0.2">
      <c r="A902" s="81">
        <v>904</v>
      </c>
      <c r="B902" s="240" t="s">
        <v>143</v>
      </c>
      <c r="C902" s="271" t="s">
        <v>1979</v>
      </c>
      <c r="D902" s="273" t="s">
        <v>2093</v>
      </c>
      <c r="E902" s="274" t="s">
        <v>1928</v>
      </c>
      <c r="F902" s="238" t="s">
        <v>48</v>
      </c>
      <c r="G902" s="87">
        <v>17</v>
      </c>
      <c r="H902" s="96" t="s">
        <v>49</v>
      </c>
      <c r="I902" s="96" t="s">
        <v>2</v>
      </c>
      <c r="J902" s="86" t="s">
        <v>2142</v>
      </c>
      <c r="M902" s="307" t="s">
        <v>49</v>
      </c>
    </row>
    <row r="903" spans="1:13" ht="29.25" hidden="1" customHeight="1" x14ac:dyDescent="0.2">
      <c r="A903" s="81">
        <v>905</v>
      </c>
      <c r="B903" s="240" t="s">
        <v>143</v>
      </c>
      <c r="C903" s="271" t="s">
        <v>1979</v>
      </c>
      <c r="D903" s="273" t="s">
        <v>2093</v>
      </c>
      <c r="E903" s="274" t="s">
        <v>2047</v>
      </c>
      <c r="F903" s="238" t="s">
        <v>48</v>
      </c>
      <c r="G903" s="87">
        <v>17</v>
      </c>
      <c r="H903" s="96" t="s">
        <v>49</v>
      </c>
      <c r="I903" s="96" t="s">
        <v>2</v>
      </c>
      <c r="J903" s="86" t="s">
        <v>2142</v>
      </c>
      <c r="M903" s="307" t="s">
        <v>49</v>
      </c>
    </row>
    <row r="904" spans="1:13" ht="29.25" hidden="1" customHeight="1" x14ac:dyDescent="0.2">
      <c r="A904" s="81">
        <v>906</v>
      </c>
      <c r="B904" s="240" t="s">
        <v>1664</v>
      </c>
      <c r="C904" s="271" t="s">
        <v>2077</v>
      </c>
      <c r="D904" s="281" t="s">
        <v>2123</v>
      </c>
      <c r="E904" s="271" t="s">
        <v>2048</v>
      </c>
      <c r="F904" s="238" t="s">
        <v>48</v>
      </c>
      <c r="G904" s="87">
        <v>17</v>
      </c>
      <c r="H904" s="96" t="s">
        <v>49</v>
      </c>
      <c r="I904" s="96" t="s">
        <v>2</v>
      </c>
      <c r="J904" s="86" t="s">
        <v>2139</v>
      </c>
      <c r="M904" s="307" t="s">
        <v>49</v>
      </c>
    </row>
    <row r="905" spans="1:13" ht="29.25" hidden="1" customHeight="1" x14ac:dyDescent="0.2">
      <c r="A905" s="81">
        <v>907</v>
      </c>
      <c r="B905" s="240" t="s">
        <v>1664</v>
      </c>
      <c r="C905" s="271" t="s">
        <v>2077</v>
      </c>
      <c r="D905" s="281" t="s">
        <v>2123</v>
      </c>
      <c r="E905" s="271" t="s">
        <v>2049</v>
      </c>
      <c r="F905" s="238" t="s">
        <v>48</v>
      </c>
      <c r="G905" s="87">
        <v>17</v>
      </c>
      <c r="H905" s="96" t="s">
        <v>49</v>
      </c>
      <c r="I905" s="96" t="s">
        <v>2</v>
      </c>
      <c r="J905" s="86" t="s">
        <v>2139</v>
      </c>
      <c r="M905" s="307" t="s">
        <v>49</v>
      </c>
    </row>
    <row r="906" spans="1:13" ht="29.25" hidden="1" customHeight="1" x14ac:dyDescent="0.2">
      <c r="A906" s="81">
        <v>908</v>
      </c>
      <c r="B906" s="240" t="s">
        <v>143</v>
      </c>
      <c r="C906" s="271" t="s">
        <v>2078</v>
      </c>
      <c r="D906" s="272" t="s">
        <v>2037</v>
      </c>
      <c r="E906" s="271" t="s">
        <v>2050</v>
      </c>
      <c r="F906" s="238" t="s">
        <v>48</v>
      </c>
      <c r="G906" s="87">
        <v>17</v>
      </c>
      <c r="H906" s="96" t="s">
        <v>49</v>
      </c>
      <c r="I906" s="96" t="s">
        <v>2</v>
      </c>
      <c r="J906" s="86" t="s">
        <v>2091</v>
      </c>
      <c r="M906" s="307" t="s">
        <v>49</v>
      </c>
    </row>
    <row r="907" spans="1:13" ht="29.25" hidden="1" customHeight="1" x14ac:dyDescent="0.2">
      <c r="A907" s="81">
        <v>909</v>
      </c>
      <c r="B907" s="240" t="s">
        <v>143</v>
      </c>
      <c r="C907" s="277" t="s">
        <v>2079</v>
      </c>
      <c r="D907" s="280" t="s">
        <v>2094</v>
      </c>
      <c r="E907" s="274" t="s">
        <v>2051</v>
      </c>
      <c r="F907" s="238" t="s">
        <v>48</v>
      </c>
      <c r="G907" s="87">
        <v>17</v>
      </c>
      <c r="H907" s="96" t="s">
        <v>49</v>
      </c>
      <c r="I907" s="96" t="s">
        <v>2</v>
      </c>
      <c r="J907" s="86" t="s">
        <v>2136</v>
      </c>
      <c r="M907" s="307" t="s">
        <v>49</v>
      </c>
    </row>
    <row r="908" spans="1:13" ht="29.25" hidden="1" customHeight="1" x14ac:dyDescent="0.2">
      <c r="A908" s="81">
        <v>910</v>
      </c>
      <c r="B908" s="240" t="s">
        <v>143</v>
      </c>
      <c r="C908" s="277" t="s">
        <v>2079</v>
      </c>
      <c r="D908" s="280" t="s">
        <v>2095</v>
      </c>
      <c r="E908" s="274" t="s">
        <v>2052</v>
      </c>
      <c r="F908" s="238" t="s">
        <v>48</v>
      </c>
      <c r="G908" s="87">
        <v>17</v>
      </c>
      <c r="H908" s="96" t="s">
        <v>49</v>
      </c>
      <c r="I908" s="96" t="s">
        <v>2</v>
      </c>
      <c r="J908" s="86" t="s">
        <v>2137</v>
      </c>
      <c r="M908" s="307" t="s">
        <v>49</v>
      </c>
    </row>
    <row r="909" spans="1:13" ht="29.25" hidden="1" customHeight="1" x14ac:dyDescent="0.2">
      <c r="A909" s="81">
        <v>911</v>
      </c>
      <c r="B909" s="240" t="s">
        <v>143</v>
      </c>
      <c r="C909" s="277" t="s">
        <v>2080</v>
      </c>
      <c r="D909" s="272" t="s">
        <v>2090</v>
      </c>
      <c r="E909" s="271" t="s">
        <v>2053</v>
      </c>
      <c r="F909" s="238" t="s">
        <v>48</v>
      </c>
      <c r="G909" s="87">
        <v>17</v>
      </c>
      <c r="H909" s="96" t="s">
        <v>49</v>
      </c>
      <c r="I909" s="96" t="s">
        <v>2</v>
      </c>
      <c r="J909" s="86" t="s">
        <v>2134</v>
      </c>
      <c r="M909" s="307" t="s">
        <v>49</v>
      </c>
    </row>
    <row r="910" spans="1:13" ht="29.25" hidden="1" customHeight="1" x14ac:dyDescent="0.2">
      <c r="A910" s="81">
        <v>912</v>
      </c>
      <c r="B910" s="240" t="s">
        <v>143</v>
      </c>
      <c r="C910" s="271" t="s">
        <v>2081</v>
      </c>
      <c r="D910" s="272" t="s">
        <v>2038</v>
      </c>
      <c r="E910" s="271" t="s">
        <v>2054</v>
      </c>
      <c r="F910" s="238" t="s">
        <v>48</v>
      </c>
      <c r="G910" s="87">
        <v>17</v>
      </c>
      <c r="H910" s="96" t="s">
        <v>49</v>
      </c>
      <c r="I910" s="96" t="s">
        <v>2</v>
      </c>
      <c r="J910" s="86" t="s">
        <v>2135</v>
      </c>
      <c r="M910" s="307" t="s">
        <v>49</v>
      </c>
    </row>
    <row r="911" spans="1:13" ht="29.25" hidden="1" customHeight="1" x14ac:dyDescent="0.2">
      <c r="A911" s="81">
        <v>913</v>
      </c>
      <c r="B911" s="240" t="s">
        <v>143</v>
      </c>
      <c r="C911" s="271" t="s">
        <v>2081</v>
      </c>
      <c r="D911" s="272" t="s">
        <v>2038</v>
      </c>
      <c r="E911" s="271" t="s">
        <v>2055</v>
      </c>
      <c r="F911" s="238" t="s">
        <v>48</v>
      </c>
      <c r="G911" s="87">
        <v>17</v>
      </c>
      <c r="H911" s="96" t="s">
        <v>49</v>
      </c>
      <c r="I911" s="96" t="s">
        <v>2</v>
      </c>
      <c r="J911" s="86" t="s">
        <v>2135</v>
      </c>
      <c r="M911" s="307" t="s">
        <v>49</v>
      </c>
    </row>
    <row r="912" spans="1:13" ht="29.25" hidden="1" customHeight="1" x14ac:dyDescent="0.2">
      <c r="A912" s="81">
        <v>914</v>
      </c>
      <c r="B912" s="240" t="s">
        <v>143</v>
      </c>
      <c r="C912" s="271" t="s">
        <v>2081</v>
      </c>
      <c r="D912" s="272" t="s">
        <v>2038</v>
      </c>
      <c r="E912" s="271" t="s">
        <v>2056</v>
      </c>
      <c r="F912" s="238" t="s">
        <v>48</v>
      </c>
      <c r="G912" s="87">
        <v>17</v>
      </c>
      <c r="H912" s="96" t="s">
        <v>49</v>
      </c>
      <c r="I912" s="96" t="s">
        <v>2</v>
      </c>
      <c r="J912" s="86" t="s">
        <v>2135</v>
      </c>
      <c r="M912" s="307" t="s">
        <v>49</v>
      </c>
    </row>
    <row r="913" spans="1:13" ht="29.25" hidden="1" customHeight="1" x14ac:dyDescent="0.2">
      <c r="A913" s="81">
        <v>915</v>
      </c>
      <c r="B913" s="240" t="s">
        <v>143</v>
      </c>
      <c r="C913" s="271" t="s">
        <v>2082</v>
      </c>
      <c r="D913" s="287" t="s">
        <v>2149</v>
      </c>
      <c r="E913" s="271" t="s">
        <v>2057</v>
      </c>
      <c r="F913" s="238" t="s">
        <v>48</v>
      </c>
      <c r="G913" s="87">
        <v>17</v>
      </c>
      <c r="H913" s="96" t="s">
        <v>49</v>
      </c>
      <c r="I913" s="96" t="s">
        <v>2</v>
      </c>
      <c r="J913" s="86" t="s">
        <v>2092</v>
      </c>
      <c r="M913" s="307" t="s">
        <v>49</v>
      </c>
    </row>
    <row r="914" spans="1:13" ht="29.25" hidden="1" customHeight="1" x14ac:dyDescent="0.2">
      <c r="A914" s="81">
        <v>916</v>
      </c>
      <c r="B914" s="240" t="s">
        <v>143</v>
      </c>
      <c r="C914" s="271" t="s">
        <v>2082</v>
      </c>
      <c r="D914" s="287" t="s">
        <v>2149</v>
      </c>
      <c r="E914" s="271" t="s">
        <v>2058</v>
      </c>
      <c r="F914" s="238" t="s">
        <v>48</v>
      </c>
      <c r="G914" s="87">
        <v>17</v>
      </c>
      <c r="H914" s="96" t="s">
        <v>49</v>
      </c>
      <c r="I914" s="96" t="s">
        <v>2</v>
      </c>
      <c r="J914" s="86" t="s">
        <v>2092</v>
      </c>
      <c r="M914" s="307" t="s">
        <v>49</v>
      </c>
    </row>
    <row r="915" spans="1:13" ht="29.25" hidden="1" customHeight="1" x14ac:dyDescent="0.2">
      <c r="A915" s="81">
        <v>917</v>
      </c>
      <c r="B915" s="240" t="s">
        <v>143</v>
      </c>
      <c r="C915" s="271" t="s">
        <v>2082</v>
      </c>
      <c r="D915" s="287" t="s">
        <v>2149</v>
      </c>
      <c r="E915" s="271" t="s">
        <v>2059</v>
      </c>
      <c r="F915" s="238" t="s">
        <v>48</v>
      </c>
      <c r="G915" s="87">
        <v>17</v>
      </c>
      <c r="H915" s="96" t="s">
        <v>49</v>
      </c>
      <c r="I915" s="96" t="s">
        <v>2</v>
      </c>
      <c r="J915" s="86" t="s">
        <v>2092</v>
      </c>
      <c r="M915" s="307" t="s">
        <v>49</v>
      </c>
    </row>
    <row r="916" spans="1:13" ht="29.25" hidden="1" customHeight="1" x14ac:dyDescent="0.2">
      <c r="A916" s="81">
        <v>918</v>
      </c>
      <c r="B916" s="240" t="s">
        <v>143</v>
      </c>
      <c r="C916" s="271" t="s">
        <v>2082</v>
      </c>
      <c r="D916" s="287" t="s">
        <v>2149</v>
      </c>
      <c r="E916" s="271" t="s">
        <v>2060</v>
      </c>
      <c r="F916" s="238" t="s">
        <v>48</v>
      </c>
      <c r="G916" s="87">
        <v>17</v>
      </c>
      <c r="H916" s="96" t="s">
        <v>49</v>
      </c>
      <c r="I916" s="96" t="s">
        <v>2</v>
      </c>
      <c r="J916" s="86" t="s">
        <v>2092</v>
      </c>
      <c r="M916" s="307" t="s">
        <v>49</v>
      </c>
    </row>
    <row r="917" spans="1:13" ht="29.25" hidden="1" customHeight="1" x14ac:dyDescent="0.2">
      <c r="A917" s="81">
        <v>919</v>
      </c>
      <c r="B917" s="240" t="s">
        <v>143</v>
      </c>
      <c r="C917" s="271" t="s">
        <v>2083</v>
      </c>
      <c r="D917" s="281" t="s">
        <v>2120</v>
      </c>
      <c r="E917" s="271" t="s">
        <v>2061</v>
      </c>
      <c r="F917" s="238" t="s">
        <v>48</v>
      </c>
      <c r="G917" s="87">
        <v>17</v>
      </c>
      <c r="H917" s="96" t="s">
        <v>49</v>
      </c>
      <c r="I917" s="96" t="s">
        <v>2</v>
      </c>
      <c r="J917" s="86" t="s">
        <v>2143</v>
      </c>
      <c r="M917" s="307" t="s">
        <v>49</v>
      </c>
    </row>
    <row r="918" spans="1:13" ht="29.25" hidden="1" customHeight="1" x14ac:dyDescent="0.2">
      <c r="A918" s="81">
        <v>920</v>
      </c>
      <c r="B918" s="240" t="s">
        <v>143</v>
      </c>
      <c r="C918" s="271" t="s">
        <v>2083</v>
      </c>
      <c r="D918" s="281" t="s">
        <v>2120</v>
      </c>
      <c r="E918" s="271" t="s">
        <v>2062</v>
      </c>
      <c r="F918" s="238" t="s">
        <v>48</v>
      </c>
      <c r="G918" s="87">
        <v>17</v>
      </c>
      <c r="H918" s="96" t="s">
        <v>49</v>
      </c>
      <c r="I918" s="96" t="s">
        <v>2</v>
      </c>
      <c r="J918" s="86" t="s">
        <v>2143</v>
      </c>
      <c r="M918" s="307" t="s">
        <v>49</v>
      </c>
    </row>
    <row r="919" spans="1:13" ht="29.25" hidden="1" customHeight="1" x14ac:dyDescent="0.2">
      <c r="A919" s="81">
        <v>921</v>
      </c>
      <c r="B919" s="283" t="s">
        <v>1664</v>
      </c>
      <c r="C919" s="271" t="s">
        <v>2084</v>
      </c>
      <c r="D919" s="281" t="s">
        <v>2126</v>
      </c>
      <c r="E919" s="271" t="s">
        <v>2063</v>
      </c>
      <c r="F919" s="238" t="s">
        <v>48</v>
      </c>
      <c r="G919" s="87">
        <v>17</v>
      </c>
      <c r="H919" s="96" t="s">
        <v>49</v>
      </c>
      <c r="I919" s="96" t="s">
        <v>2</v>
      </c>
      <c r="J919" s="86" t="s">
        <v>2144</v>
      </c>
      <c r="M919" s="307" t="s">
        <v>49</v>
      </c>
    </row>
    <row r="920" spans="1:13" ht="29.25" hidden="1" customHeight="1" x14ac:dyDescent="0.2">
      <c r="A920" s="81">
        <v>922</v>
      </c>
      <c r="B920" s="283" t="s">
        <v>1664</v>
      </c>
      <c r="C920" s="271" t="s">
        <v>2084</v>
      </c>
      <c r="D920" s="281" t="s">
        <v>2126</v>
      </c>
      <c r="E920" s="271" t="s">
        <v>2064</v>
      </c>
      <c r="F920" s="238" t="s">
        <v>48</v>
      </c>
      <c r="G920" s="87">
        <v>17</v>
      </c>
      <c r="H920" s="96" t="s">
        <v>49</v>
      </c>
      <c r="I920" s="96" t="s">
        <v>2</v>
      </c>
      <c r="J920" s="86" t="s">
        <v>2144</v>
      </c>
      <c r="M920" s="307" t="s">
        <v>49</v>
      </c>
    </row>
    <row r="921" spans="1:13" ht="29.25" hidden="1" customHeight="1" x14ac:dyDescent="0.2">
      <c r="A921" s="81">
        <v>923</v>
      </c>
      <c r="B921" s="283" t="s">
        <v>1664</v>
      </c>
      <c r="C921" s="271" t="s">
        <v>2085</v>
      </c>
      <c r="D921" s="281" t="s">
        <v>2127</v>
      </c>
      <c r="E921" s="271" t="s">
        <v>2065</v>
      </c>
      <c r="F921" s="238" t="s">
        <v>48</v>
      </c>
      <c r="G921" s="87">
        <v>17</v>
      </c>
      <c r="H921" s="96" t="s">
        <v>49</v>
      </c>
      <c r="I921" s="96" t="s">
        <v>2</v>
      </c>
      <c r="J921" s="86" t="s">
        <v>2145</v>
      </c>
      <c r="M921" s="307" t="s">
        <v>49</v>
      </c>
    </row>
    <row r="922" spans="1:13" ht="29.25" hidden="1" customHeight="1" x14ac:dyDescent="0.2">
      <c r="A922" s="81">
        <v>924</v>
      </c>
      <c r="B922" s="283" t="s">
        <v>1664</v>
      </c>
      <c r="C922" s="271" t="s">
        <v>2085</v>
      </c>
      <c r="D922" s="281" t="s">
        <v>2127</v>
      </c>
      <c r="E922" s="271" t="s">
        <v>2066</v>
      </c>
      <c r="F922" s="238" t="s">
        <v>48</v>
      </c>
      <c r="G922" s="87">
        <v>17</v>
      </c>
      <c r="H922" s="96" t="s">
        <v>49</v>
      </c>
      <c r="I922" s="96" t="s">
        <v>2</v>
      </c>
      <c r="J922" s="86" t="s">
        <v>2145</v>
      </c>
      <c r="M922" s="307" t="s">
        <v>49</v>
      </c>
    </row>
    <row r="923" spans="1:13" ht="29.25" hidden="1" customHeight="1" x14ac:dyDescent="0.2">
      <c r="A923" s="81">
        <v>925</v>
      </c>
      <c r="B923" s="283" t="s">
        <v>1664</v>
      </c>
      <c r="C923" s="271" t="s">
        <v>2086</v>
      </c>
      <c r="D923" s="281" t="s">
        <v>2128</v>
      </c>
      <c r="E923" s="271" t="s">
        <v>2067</v>
      </c>
      <c r="F923" s="238" t="s">
        <v>48</v>
      </c>
      <c r="G923" s="87">
        <v>17</v>
      </c>
      <c r="H923" s="96" t="s">
        <v>49</v>
      </c>
      <c r="I923" s="96" t="s">
        <v>2</v>
      </c>
      <c r="J923" s="86" t="s">
        <v>2067</v>
      </c>
      <c r="M923" s="307" t="s">
        <v>49</v>
      </c>
    </row>
    <row r="924" spans="1:13" ht="29.25" hidden="1" customHeight="1" x14ac:dyDescent="0.2">
      <c r="A924" s="81">
        <v>926</v>
      </c>
      <c r="B924" s="283" t="s">
        <v>1664</v>
      </c>
      <c r="C924" s="271" t="s">
        <v>2086</v>
      </c>
      <c r="D924" s="281" t="s">
        <v>2129</v>
      </c>
      <c r="E924" s="271" t="s">
        <v>2068</v>
      </c>
      <c r="F924" s="238" t="s">
        <v>48</v>
      </c>
      <c r="G924" s="87">
        <v>17</v>
      </c>
      <c r="H924" s="96" t="s">
        <v>49</v>
      </c>
      <c r="I924" s="96" t="s">
        <v>2</v>
      </c>
      <c r="J924" s="86" t="s">
        <v>2068</v>
      </c>
      <c r="M924" s="307" t="s">
        <v>49</v>
      </c>
    </row>
    <row r="925" spans="1:13" ht="29.25" hidden="1" customHeight="1" x14ac:dyDescent="0.2">
      <c r="A925" s="81">
        <v>927</v>
      </c>
      <c r="B925" s="283" t="s">
        <v>1664</v>
      </c>
      <c r="C925" s="271" t="s">
        <v>2087</v>
      </c>
      <c r="D925" s="281" t="s">
        <v>2130</v>
      </c>
      <c r="E925" s="271" t="s">
        <v>2069</v>
      </c>
      <c r="F925" s="238" t="s">
        <v>48</v>
      </c>
      <c r="G925" s="87">
        <v>17</v>
      </c>
      <c r="H925" s="96" t="s">
        <v>49</v>
      </c>
      <c r="I925" s="96" t="s">
        <v>2</v>
      </c>
      <c r="J925" s="86" t="s">
        <v>2069</v>
      </c>
      <c r="M925" s="307" t="s">
        <v>49</v>
      </c>
    </row>
    <row r="926" spans="1:13" ht="29.25" hidden="1" customHeight="1" x14ac:dyDescent="0.2">
      <c r="A926" s="81">
        <v>928</v>
      </c>
      <c r="B926" s="283" t="s">
        <v>1664</v>
      </c>
      <c r="C926" s="271" t="s">
        <v>2088</v>
      </c>
      <c r="D926" s="284" t="s">
        <v>2131</v>
      </c>
      <c r="E926" s="274" t="s">
        <v>2070</v>
      </c>
      <c r="F926" s="238" t="s">
        <v>48</v>
      </c>
      <c r="G926" s="87">
        <v>17</v>
      </c>
      <c r="H926" s="96" t="s">
        <v>49</v>
      </c>
      <c r="I926" s="96" t="s">
        <v>2</v>
      </c>
      <c r="J926" s="86" t="s">
        <v>2070</v>
      </c>
      <c r="M926" s="307" t="s">
        <v>49</v>
      </c>
    </row>
    <row r="927" spans="1:13" ht="27" hidden="1" customHeight="1" x14ac:dyDescent="0.2">
      <c r="A927" s="81">
        <v>929</v>
      </c>
      <c r="B927" s="283" t="s">
        <v>1664</v>
      </c>
      <c r="C927" s="271" t="s">
        <v>2089</v>
      </c>
      <c r="D927" s="284" t="s">
        <v>2132</v>
      </c>
      <c r="E927" s="274" t="s">
        <v>2071</v>
      </c>
      <c r="F927" s="238" t="s">
        <v>48</v>
      </c>
      <c r="G927" s="87">
        <v>17</v>
      </c>
      <c r="H927" s="96" t="s">
        <v>49</v>
      </c>
      <c r="I927" s="96" t="s">
        <v>2</v>
      </c>
      <c r="J927" s="86" t="s">
        <v>2071</v>
      </c>
      <c r="M927" s="307" t="s">
        <v>49</v>
      </c>
    </row>
    <row r="928" spans="1:13" ht="27" hidden="1" customHeight="1" x14ac:dyDescent="0.2">
      <c r="A928" s="81">
        <v>930</v>
      </c>
      <c r="B928" s="240" t="s">
        <v>143</v>
      </c>
      <c r="C928" s="85" t="s">
        <v>2113</v>
      </c>
      <c r="D928" s="281" t="s">
        <v>2119</v>
      </c>
      <c r="E928" s="85" t="s">
        <v>2096</v>
      </c>
      <c r="F928" s="238" t="s">
        <v>48</v>
      </c>
      <c r="G928" s="87">
        <v>17</v>
      </c>
      <c r="H928" s="96" t="s">
        <v>49</v>
      </c>
      <c r="I928" s="96" t="s">
        <v>2</v>
      </c>
      <c r="J928" s="86" t="s">
        <v>2148</v>
      </c>
      <c r="M928" s="307" t="s">
        <v>49</v>
      </c>
    </row>
    <row r="929" spans="1:13" ht="27" hidden="1" customHeight="1" x14ac:dyDescent="0.2">
      <c r="A929" s="81">
        <v>931</v>
      </c>
      <c r="B929" s="240" t="s">
        <v>143</v>
      </c>
      <c r="C929" s="85" t="s">
        <v>2113</v>
      </c>
      <c r="D929" s="281" t="s">
        <v>2119</v>
      </c>
      <c r="E929" s="85" t="s">
        <v>2097</v>
      </c>
      <c r="F929" s="238" t="s">
        <v>48</v>
      </c>
      <c r="G929" s="87">
        <v>17</v>
      </c>
      <c r="H929" s="96" t="s">
        <v>49</v>
      </c>
      <c r="I929" s="96" t="s">
        <v>2</v>
      </c>
      <c r="J929" s="86" t="s">
        <v>2148</v>
      </c>
      <c r="M929" s="307" t="s">
        <v>49</v>
      </c>
    </row>
    <row r="930" spans="1:13" ht="27" hidden="1" customHeight="1" x14ac:dyDescent="0.2">
      <c r="A930" s="81">
        <v>932</v>
      </c>
      <c r="B930" s="240" t="s">
        <v>143</v>
      </c>
      <c r="C930" s="85" t="s">
        <v>2113</v>
      </c>
      <c r="D930" s="281" t="s">
        <v>2119</v>
      </c>
      <c r="E930" s="85" t="s">
        <v>2098</v>
      </c>
      <c r="F930" s="238" t="s">
        <v>48</v>
      </c>
      <c r="G930" s="87">
        <v>17</v>
      </c>
      <c r="H930" s="96" t="s">
        <v>49</v>
      </c>
      <c r="I930" s="96" t="s">
        <v>2</v>
      </c>
      <c r="J930" s="86" t="s">
        <v>2148</v>
      </c>
      <c r="M930" s="307" t="s">
        <v>49</v>
      </c>
    </row>
    <row r="931" spans="1:13" ht="27" hidden="1" customHeight="1" x14ac:dyDescent="0.2">
      <c r="A931" s="81">
        <v>933</v>
      </c>
      <c r="B931" s="240" t="s">
        <v>143</v>
      </c>
      <c r="C931" s="85" t="s">
        <v>2113</v>
      </c>
      <c r="D931" s="281" t="s">
        <v>2119</v>
      </c>
      <c r="E931" s="85" t="s">
        <v>2099</v>
      </c>
      <c r="F931" s="238" t="s">
        <v>48</v>
      </c>
      <c r="G931" s="87">
        <v>17</v>
      </c>
      <c r="H931" s="96" t="s">
        <v>49</v>
      </c>
      <c r="I931" s="96" t="s">
        <v>2</v>
      </c>
      <c r="J931" s="86" t="s">
        <v>2148</v>
      </c>
      <c r="M931" s="307" t="s">
        <v>49</v>
      </c>
    </row>
    <row r="932" spans="1:13" ht="27" hidden="1" customHeight="1" x14ac:dyDescent="0.2">
      <c r="A932" s="81">
        <v>934</v>
      </c>
      <c r="B932" s="240" t="s">
        <v>143</v>
      </c>
      <c r="C932" s="85" t="s">
        <v>2113</v>
      </c>
      <c r="D932" s="281" t="s">
        <v>2119</v>
      </c>
      <c r="E932" s="85" t="s">
        <v>2100</v>
      </c>
      <c r="F932" s="238" t="s">
        <v>48</v>
      </c>
      <c r="G932" s="87">
        <v>17</v>
      </c>
      <c r="H932" s="96" t="s">
        <v>49</v>
      </c>
      <c r="I932" s="96" t="s">
        <v>2</v>
      </c>
      <c r="J932" s="86" t="s">
        <v>2148</v>
      </c>
      <c r="M932" s="307" t="s">
        <v>49</v>
      </c>
    </row>
    <row r="933" spans="1:13" ht="27" hidden="1" customHeight="1" x14ac:dyDescent="0.2">
      <c r="A933" s="81">
        <v>935</v>
      </c>
      <c r="B933" s="240" t="s">
        <v>143</v>
      </c>
      <c r="C933" s="85" t="s">
        <v>2113</v>
      </c>
      <c r="D933" s="281" t="s">
        <v>2119</v>
      </c>
      <c r="E933" s="85" t="s">
        <v>2101</v>
      </c>
      <c r="F933" s="238" t="s">
        <v>48</v>
      </c>
      <c r="G933" s="87">
        <v>17</v>
      </c>
      <c r="H933" s="96" t="s">
        <v>49</v>
      </c>
      <c r="I933" s="96" t="s">
        <v>2</v>
      </c>
      <c r="J933" s="86" t="s">
        <v>2148</v>
      </c>
      <c r="M933" s="307" t="s">
        <v>49</v>
      </c>
    </row>
    <row r="934" spans="1:13" ht="27" hidden="1" customHeight="1" x14ac:dyDescent="0.2">
      <c r="A934" s="81">
        <v>936</v>
      </c>
      <c r="B934" s="283" t="s">
        <v>1813</v>
      </c>
      <c r="C934" s="85" t="s">
        <v>2114</v>
      </c>
      <c r="D934" s="281" t="s">
        <v>2118</v>
      </c>
      <c r="E934" s="85" t="s">
        <v>2102</v>
      </c>
      <c r="F934" s="238" t="s">
        <v>48</v>
      </c>
      <c r="G934" s="87">
        <v>17</v>
      </c>
      <c r="H934" s="96" t="s">
        <v>49</v>
      </c>
      <c r="I934" s="96" t="s">
        <v>2</v>
      </c>
      <c r="J934" s="86" t="s">
        <v>2146</v>
      </c>
      <c r="M934" s="307" t="s">
        <v>49</v>
      </c>
    </row>
    <row r="935" spans="1:13" ht="27" hidden="1" customHeight="1" x14ac:dyDescent="0.2">
      <c r="A935" s="81">
        <v>937</v>
      </c>
      <c r="B935" s="283" t="s">
        <v>1813</v>
      </c>
      <c r="C935" s="85" t="s">
        <v>2114</v>
      </c>
      <c r="D935" s="281" t="s">
        <v>2118</v>
      </c>
      <c r="E935" s="85" t="s">
        <v>2103</v>
      </c>
      <c r="F935" s="238" t="s">
        <v>48</v>
      </c>
      <c r="G935" s="87">
        <v>17</v>
      </c>
      <c r="H935" s="96" t="s">
        <v>49</v>
      </c>
      <c r="I935" s="96" t="s">
        <v>2</v>
      </c>
      <c r="J935" s="86" t="s">
        <v>2146</v>
      </c>
      <c r="M935" s="307" t="s">
        <v>49</v>
      </c>
    </row>
    <row r="936" spans="1:13" ht="27" hidden="1" customHeight="1" x14ac:dyDescent="0.2">
      <c r="A936" s="81">
        <v>938</v>
      </c>
      <c r="B936" s="283" t="s">
        <v>1813</v>
      </c>
      <c r="C936" s="85" t="s">
        <v>2114</v>
      </c>
      <c r="D936" s="281" t="s">
        <v>2118</v>
      </c>
      <c r="E936" s="85" t="s">
        <v>2104</v>
      </c>
      <c r="F936" s="238" t="s">
        <v>48</v>
      </c>
      <c r="G936" s="87">
        <v>17</v>
      </c>
      <c r="H936" s="96" t="s">
        <v>49</v>
      </c>
      <c r="I936" s="96" t="s">
        <v>2</v>
      </c>
      <c r="J936" s="86" t="s">
        <v>2146</v>
      </c>
      <c r="M936" s="307" t="s">
        <v>49</v>
      </c>
    </row>
    <row r="937" spans="1:13" ht="27" hidden="1" customHeight="1" x14ac:dyDescent="0.2">
      <c r="A937" s="81">
        <v>939</v>
      </c>
      <c r="B937" s="283" t="s">
        <v>1813</v>
      </c>
      <c r="C937" s="85" t="s">
        <v>2114</v>
      </c>
      <c r="D937" s="281" t="s">
        <v>2118</v>
      </c>
      <c r="E937" s="85" t="s">
        <v>2105</v>
      </c>
      <c r="F937" s="238" t="s">
        <v>48</v>
      </c>
      <c r="G937" s="87">
        <v>17</v>
      </c>
      <c r="H937" s="96" t="s">
        <v>49</v>
      </c>
      <c r="I937" s="96" t="s">
        <v>2</v>
      </c>
      <c r="J937" s="86" t="s">
        <v>2146</v>
      </c>
      <c r="M937" s="307" t="s">
        <v>49</v>
      </c>
    </row>
    <row r="938" spans="1:13" ht="27" hidden="1" customHeight="1" x14ac:dyDescent="0.2">
      <c r="A938" s="81">
        <v>940</v>
      </c>
      <c r="B938" s="283" t="s">
        <v>1813</v>
      </c>
      <c r="C938" s="85" t="s">
        <v>2115</v>
      </c>
      <c r="D938" s="284" t="s">
        <v>2106</v>
      </c>
      <c r="E938" s="284" t="s">
        <v>2106</v>
      </c>
      <c r="F938" s="238" t="s">
        <v>48</v>
      </c>
      <c r="G938" s="87">
        <v>17</v>
      </c>
      <c r="H938" s="96" t="s">
        <v>49</v>
      </c>
      <c r="I938" s="96" t="s">
        <v>2</v>
      </c>
      <c r="J938" s="86" t="s">
        <v>2106</v>
      </c>
      <c r="M938" s="307" t="s">
        <v>49</v>
      </c>
    </row>
    <row r="939" spans="1:13" ht="27" hidden="1" customHeight="1" x14ac:dyDescent="0.2">
      <c r="A939" s="81">
        <v>941</v>
      </c>
      <c r="B939" s="283" t="s">
        <v>1813</v>
      </c>
      <c r="C939" s="85" t="s">
        <v>2115</v>
      </c>
      <c r="D939" s="284" t="s">
        <v>2133</v>
      </c>
      <c r="E939" s="284" t="s">
        <v>2107</v>
      </c>
      <c r="F939" s="238" t="s">
        <v>48</v>
      </c>
      <c r="G939" s="87">
        <v>17</v>
      </c>
      <c r="H939" s="96" t="s">
        <v>49</v>
      </c>
      <c r="I939" s="96" t="s">
        <v>2</v>
      </c>
      <c r="J939" s="86" t="s">
        <v>2147</v>
      </c>
      <c r="M939" s="307" t="s">
        <v>49</v>
      </c>
    </row>
    <row r="940" spans="1:13" ht="27" hidden="1" customHeight="1" x14ac:dyDescent="0.2">
      <c r="A940" s="81">
        <v>942</v>
      </c>
      <c r="B940" s="283" t="s">
        <v>1813</v>
      </c>
      <c r="C940" s="85" t="s">
        <v>2115</v>
      </c>
      <c r="D940" s="284" t="s">
        <v>2133</v>
      </c>
      <c r="E940" s="284" t="s">
        <v>2108</v>
      </c>
      <c r="F940" s="238" t="s">
        <v>48</v>
      </c>
      <c r="G940" s="87">
        <v>17</v>
      </c>
      <c r="H940" s="96" t="s">
        <v>49</v>
      </c>
      <c r="I940" s="96" t="s">
        <v>2</v>
      </c>
      <c r="J940" s="86" t="s">
        <v>2147</v>
      </c>
      <c r="M940" s="307" t="s">
        <v>49</v>
      </c>
    </row>
    <row r="941" spans="1:13" ht="27" hidden="1" customHeight="1" x14ac:dyDescent="0.2">
      <c r="A941" s="81">
        <v>943</v>
      </c>
      <c r="B941" s="283" t="s">
        <v>1813</v>
      </c>
      <c r="C941" s="85" t="s">
        <v>2115</v>
      </c>
      <c r="D941" s="284" t="s">
        <v>2109</v>
      </c>
      <c r="E941" s="284" t="s">
        <v>2109</v>
      </c>
      <c r="F941" s="238" t="s">
        <v>48</v>
      </c>
      <c r="G941" s="87">
        <v>17</v>
      </c>
      <c r="H941" s="96" t="s">
        <v>49</v>
      </c>
      <c r="I941" s="96" t="s">
        <v>2</v>
      </c>
      <c r="J941" s="86" t="s">
        <v>2109</v>
      </c>
      <c r="M941" s="307" t="s">
        <v>49</v>
      </c>
    </row>
    <row r="942" spans="1:13" ht="27" hidden="1" customHeight="1" x14ac:dyDescent="0.2">
      <c r="A942" s="81">
        <v>944</v>
      </c>
      <c r="B942" s="283" t="s">
        <v>1813</v>
      </c>
      <c r="C942" s="85" t="s">
        <v>2115</v>
      </c>
      <c r="D942" s="284" t="s">
        <v>2110</v>
      </c>
      <c r="E942" s="284" t="s">
        <v>2110</v>
      </c>
      <c r="F942" s="238" t="s">
        <v>48</v>
      </c>
      <c r="G942" s="87">
        <v>17</v>
      </c>
      <c r="H942" s="96" t="s">
        <v>49</v>
      </c>
      <c r="I942" s="96" t="s">
        <v>2</v>
      </c>
      <c r="J942" s="86" t="s">
        <v>2110</v>
      </c>
      <c r="M942" s="307" t="s">
        <v>49</v>
      </c>
    </row>
    <row r="943" spans="1:13" ht="27" hidden="1" customHeight="1" x14ac:dyDescent="0.2">
      <c r="A943" s="81">
        <v>945</v>
      </c>
      <c r="B943" s="283" t="s">
        <v>1813</v>
      </c>
      <c r="C943" s="281" t="s">
        <v>2117</v>
      </c>
      <c r="D943" s="281" t="s">
        <v>2122</v>
      </c>
      <c r="E943" s="85" t="s">
        <v>2111</v>
      </c>
      <c r="F943" s="238" t="s">
        <v>48</v>
      </c>
      <c r="G943" s="87">
        <v>17</v>
      </c>
      <c r="H943" s="96" t="s">
        <v>49</v>
      </c>
      <c r="I943" s="96" t="s">
        <v>2</v>
      </c>
      <c r="J943" s="86" t="s">
        <v>2138</v>
      </c>
      <c r="M943" s="307" t="s">
        <v>49</v>
      </c>
    </row>
    <row r="944" spans="1:13" ht="27" hidden="1" customHeight="1" x14ac:dyDescent="0.2">
      <c r="A944" s="81">
        <v>946</v>
      </c>
      <c r="B944" s="283" t="s">
        <v>1813</v>
      </c>
      <c r="C944" s="85" t="s">
        <v>2116</v>
      </c>
      <c r="D944" s="281" t="s">
        <v>2121</v>
      </c>
      <c r="E944" s="85" t="s">
        <v>2112</v>
      </c>
      <c r="F944" s="238" t="s">
        <v>48</v>
      </c>
      <c r="G944" s="87">
        <v>17</v>
      </c>
      <c r="H944" s="96" t="s">
        <v>49</v>
      </c>
      <c r="I944" s="96" t="s">
        <v>2</v>
      </c>
      <c r="J944" s="86" t="s">
        <v>2112</v>
      </c>
      <c r="M944" s="307" t="s">
        <v>49</v>
      </c>
    </row>
    <row r="945" spans="1:13" ht="23.25" hidden="1" customHeight="1" x14ac:dyDescent="0.2">
      <c r="A945" s="81">
        <v>947</v>
      </c>
      <c r="B945" s="283" t="s">
        <v>1664</v>
      </c>
      <c r="C945" s="288" t="s">
        <v>2264</v>
      </c>
      <c r="D945" s="287" t="s">
        <v>2316</v>
      </c>
      <c r="E945" s="85" t="s">
        <v>2150</v>
      </c>
      <c r="F945" s="238" t="s">
        <v>48</v>
      </c>
      <c r="G945" s="87">
        <v>18</v>
      </c>
      <c r="H945" s="96" t="s">
        <v>49</v>
      </c>
      <c r="I945" s="96" t="s">
        <v>2</v>
      </c>
      <c r="J945" s="86" t="s">
        <v>2359</v>
      </c>
      <c r="M945" s="307" t="s">
        <v>49</v>
      </c>
    </row>
    <row r="946" spans="1:13" ht="23.25" hidden="1" customHeight="1" x14ac:dyDescent="0.2">
      <c r="A946" s="81">
        <v>948</v>
      </c>
      <c r="B946" s="283" t="s">
        <v>1664</v>
      </c>
      <c r="C946" s="289" t="s">
        <v>2311</v>
      </c>
      <c r="D946" s="287" t="s">
        <v>2317</v>
      </c>
      <c r="E946" s="287" t="s">
        <v>2151</v>
      </c>
      <c r="F946" s="238" t="s">
        <v>48</v>
      </c>
      <c r="G946" s="87">
        <v>18</v>
      </c>
      <c r="H946" s="96" t="s">
        <v>49</v>
      </c>
      <c r="I946" s="96" t="s">
        <v>2</v>
      </c>
      <c r="J946" s="86" t="s">
        <v>2358</v>
      </c>
      <c r="M946" s="307" t="s">
        <v>49</v>
      </c>
    </row>
    <row r="947" spans="1:13" ht="23.25" hidden="1" customHeight="1" x14ac:dyDescent="0.2">
      <c r="A947" s="81">
        <v>949</v>
      </c>
      <c r="B947" s="283" t="s">
        <v>1664</v>
      </c>
      <c r="C947" s="289" t="s">
        <v>2265</v>
      </c>
      <c r="E947" s="85" t="s">
        <v>2152</v>
      </c>
      <c r="F947" s="238" t="s">
        <v>48</v>
      </c>
      <c r="G947" s="87">
        <v>18</v>
      </c>
      <c r="H947" s="96" t="s">
        <v>49</v>
      </c>
      <c r="I947" s="96" t="s">
        <v>889</v>
      </c>
      <c r="J947" s="86" t="s">
        <v>2400</v>
      </c>
      <c r="M947" s="307" t="s">
        <v>49</v>
      </c>
    </row>
    <row r="948" spans="1:13" ht="23.25" hidden="1" customHeight="1" x14ac:dyDescent="0.2">
      <c r="A948" s="81">
        <v>950</v>
      </c>
      <c r="B948" s="283" t="s">
        <v>1664</v>
      </c>
      <c r="C948" s="289" t="s">
        <v>2265</v>
      </c>
      <c r="E948" s="85" t="s">
        <v>2153</v>
      </c>
      <c r="F948" s="238" t="s">
        <v>48</v>
      </c>
      <c r="G948" s="87">
        <v>18</v>
      </c>
      <c r="H948" s="96" t="s">
        <v>49</v>
      </c>
      <c r="I948" s="96" t="s">
        <v>889</v>
      </c>
      <c r="J948" s="86" t="s">
        <v>2400</v>
      </c>
      <c r="M948" s="307" t="s">
        <v>49</v>
      </c>
    </row>
    <row r="949" spans="1:13" ht="23.25" hidden="1" customHeight="1" x14ac:dyDescent="0.2">
      <c r="A949" s="81">
        <v>951</v>
      </c>
      <c r="B949" s="283" t="s">
        <v>1664</v>
      </c>
      <c r="C949" s="288" t="s">
        <v>2266</v>
      </c>
      <c r="D949" s="286" t="s">
        <v>2154</v>
      </c>
      <c r="E949" s="85" t="s">
        <v>2154</v>
      </c>
      <c r="F949" s="238" t="s">
        <v>48</v>
      </c>
      <c r="G949" s="87">
        <v>18</v>
      </c>
      <c r="H949" s="96" t="s">
        <v>49</v>
      </c>
      <c r="I949" s="96" t="s">
        <v>2</v>
      </c>
      <c r="J949" s="86" t="s">
        <v>2154</v>
      </c>
      <c r="M949" s="307" t="s">
        <v>49</v>
      </c>
    </row>
    <row r="950" spans="1:13" ht="23.25" hidden="1" customHeight="1" x14ac:dyDescent="0.2">
      <c r="A950" s="81">
        <v>952</v>
      </c>
      <c r="B950" s="283" t="s">
        <v>1664</v>
      </c>
      <c r="C950" s="288" t="s">
        <v>2266</v>
      </c>
      <c r="D950" s="286" t="s">
        <v>2155</v>
      </c>
      <c r="E950" s="85" t="s">
        <v>2155</v>
      </c>
      <c r="F950" s="238" t="s">
        <v>48</v>
      </c>
      <c r="G950" s="87">
        <v>18</v>
      </c>
      <c r="H950" s="96" t="s">
        <v>49</v>
      </c>
      <c r="I950" s="96" t="s">
        <v>2</v>
      </c>
      <c r="J950" s="86" t="s">
        <v>2155</v>
      </c>
      <c r="M950" s="307" t="s">
        <v>49</v>
      </c>
    </row>
    <row r="951" spans="1:13" ht="23.25" hidden="1" customHeight="1" x14ac:dyDescent="0.2">
      <c r="A951" s="81">
        <v>953</v>
      </c>
      <c r="B951" s="283" t="s">
        <v>1664</v>
      </c>
      <c r="C951" s="288" t="s">
        <v>2267</v>
      </c>
      <c r="D951" s="287" t="s">
        <v>2318</v>
      </c>
      <c r="E951" s="85" t="s">
        <v>2156</v>
      </c>
      <c r="F951" s="238" t="s">
        <v>48</v>
      </c>
      <c r="G951" s="87">
        <v>18</v>
      </c>
      <c r="H951" s="96" t="s">
        <v>49</v>
      </c>
      <c r="I951" s="96" t="s">
        <v>2</v>
      </c>
      <c r="J951" s="86" t="s">
        <v>2357</v>
      </c>
      <c r="M951" s="307" t="s">
        <v>49</v>
      </c>
    </row>
    <row r="952" spans="1:13" ht="23.25" hidden="1" customHeight="1" x14ac:dyDescent="0.2">
      <c r="A952" s="81">
        <v>954</v>
      </c>
      <c r="B952" s="283" t="s">
        <v>1664</v>
      </c>
      <c r="C952" s="288" t="s">
        <v>2268</v>
      </c>
      <c r="D952" s="287" t="s">
        <v>2315</v>
      </c>
      <c r="E952" s="85" t="s">
        <v>2157</v>
      </c>
      <c r="F952" s="238" t="s">
        <v>48</v>
      </c>
      <c r="G952" s="87">
        <v>18</v>
      </c>
      <c r="H952" s="96" t="s">
        <v>49</v>
      </c>
      <c r="I952" s="96" t="s">
        <v>2</v>
      </c>
      <c r="J952" s="86" t="s">
        <v>2356</v>
      </c>
      <c r="M952" s="307" t="s">
        <v>49</v>
      </c>
    </row>
    <row r="953" spans="1:13" ht="23.25" hidden="1" customHeight="1" x14ac:dyDescent="0.2">
      <c r="A953" s="81">
        <v>955</v>
      </c>
      <c r="B953" s="283" t="s">
        <v>1664</v>
      </c>
      <c r="C953" s="288" t="s">
        <v>2268</v>
      </c>
      <c r="D953" s="287" t="s">
        <v>2315</v>
      </c>
      <c r="E953" s="85" t="s">
        <v>2158</v>
      </c>
      <c r="F953" s="238" t="s">
        <v>48</v>
      </c>
      <c r="G953" s="87">
        <v>18</v>
      </c>
      <c r="H953" s="96" t="s">
        <v>49</v>
      </c>
      <c r="I953" s="96" t="s">
        <v>2</v>
      </c>
      <c r="J953" s="86" t="s">
        <v>2356</v>
      </c>
      <c r="M953" s="307" t="s">
        <v>49</v>
      </c>
    </row>
    <row r="954" spans="1:13" ht="23.25" hidden="1" customHeight="1" x14ac:dyDescent="0.2">
      <c r="A954" s="81">
        <v>956</v>
      </c>
      <c r="B954" s="283" t="s">
        <v>1664</v>
      </c>
      <c r="C954" s="289" t="s">
        <v>2269</v>
      </c>
      <c r="D954" s="286" t="s">
        <v>2159</v>
      </c>
      <c r="E954" s="85" t="s">
        <v>2159</v>
      </c>
      <c r="F954" s="238" t="s">
        <v>48</v>
      </c>
      <c r="G954" s="87">
        <v>18</v>
      </c>
      <c r="H954" s="96" t="s">
        <v>49</v>
      </c>
      <c r="I954" s="96" t="s">
        <v>2</v>
      </c>
      <c r="J954" s="86" t="s">
        <v>2159</v>
      </c>
      <c r="M954" s="307" t="s">
        <v>49</v>
      </c>
    </row>
    <row r="955" spans="1:13" ht="23.25" hidden="1" customHeight="1" x14ac:dyDescent="0.2">
      <c r="A955" s="81">
        <v>957</v>
      </c>
      <c r="B955" s="283" t="s">
        <v>1664</v>
      </c>
      <c r="C955" s="289" t="s">
        <v>2270</v>
      </c>
      <c r="D955" s="286" t="s">
        <v>2160</v>
      </c>
      <c r="E955" s="85" t="s">
        <v>2160</v>
      </c>
      <c r="F955" s="238" t="s">
        <v>48</v>
      </c>
      <c r="G955" s="87">
        <v>18</v>
      </c>
      <c r="H955" s="96" t="s">
        <v>49</v>
      </c>
      <c r="I955" s="96" t="s">
        <v>2</v>
      </c>
      <c r="J955" s="86" t="s">
        <v>2160</v>
      </c>
      <c r="M955" s="307" t="s">
        <v>49</v>
      </c>
    </row>
    <row r="956" spans="1:13" ht="23.25" hidden="1" customHeight="1" x14ac:dyDescent="0.2">
      <c r="A956" s="81">
        <v>958</v>
      </c>
      <c r="B956" s="283" t="s">
        <v>1664</v>
      </c>
      <c r="C956" s="289" t="s">
        <v>2271</v>
      </c>
      <c r="D956" s="286" t="s">
        <v>2319</v>
      </c>
      <c r="E956" s="85" t="s">
        <v>2161</v>
      </c>
      <c r="F956" s="238" t="s">
        <v>48</v>
      </c>
      <c r="G956" s="87">
        <v>18</v>
      </c>
      <c r="H956" s="96" t="s">
        <v>49</v>
      </c>
      <c r="I956" s="96" t="s">
        <v>2</v>
      </c>
      <c r="J956" s="86" t="s">
        <v>2360</v>
      </c>
      <c r="M956" s="307" t="s">
        <v>49</v>
      </c>
    </row>
    <row r="957" spans="1:13" ht="23.25" hidden="1" customHeight="1" x14ac:dyDescent="0.2">
      <c r="A957" s="81">
        <v>959</v>
      </c>
      <c r="B957" s="283" t="s">
        <v>1664</v>
      </c>
      <c r="C957" s="288" t="s">
        <v>2271</v>
      </c>
      <c r="D957" s="286" t="s">
        <v>2319</v>
      </c>
      <c r="E957" s="85" t="s">
        <v>2162</v>
      </c>
      <c r="F957" s="238" t="s">
        <v>48</v>
      </c>
      <c r="G957" s="87">
        <v>18</v>
      </c>
      <c r="H957" s="96" t="s">
        <v>49</v>
      </c>
      <c r="I957" s="96" t="s">
        <v>2</v>
      </c>
      <c r="J957" s="86" t="s">
        <v>2360</v>
      </c>
      <c r="M957" s="307" t="s">
        <v>49</v>
      </c>
    </row>
    <row r="958" spans="1:13" ht="23.25" hidden="1" customHeight="1" x14ac:dyDescent="0.2">
      <c r="A958" s="81">
        <v>960</v>
      </c>
      <c r="B958" s="283" t="s">
        <v>1664</v>
      </c>
      <c r="C958" s="289" t="s">
        <v>2272</v>
      </c>
      <c r="E958" s="85" t="s">
        <v>2163</v>
      </c>
      <c r="F958" s="238" t="s">
        <v>48</v>
      </c>
      <c r="G958" s="87">
        <v>18</v>
      </c>
      <c r="H958" s="96" t="s">
        <v>49</v>
      </c>
      <c r="I958" s="96" t="s">
        <v>889</v>
      </c>
      <c r="J958" s="86" t="s">
        <v>2400</v>
      </c>
      <c r="M958" s="307" t="s">
        <v>49</v>
      </c>
    </row>
    <row r="959" spans="1:13" ht="23.25" hidden="1" customHeight="1" x14ac:dyDescent="0.2">
      <c r="A959" s="81">
        <v>961</v>
      </c>
      <c r="B959" s="283" t="s">
        <v>1664</v>
      </c>
      <c r="C959" s="288" t="s">
        <v>2272</v>
      </c>
      <c r="E959" s="85" t="s">
        <v>2164</v>
      </c>
      <c r="F959" s="238" t="s">
        <v>48</v>
      </c>
      <c r="G959" s="87">
        <v>18</v>
      </c>
      <c r="H959" s="96" t="s">
        <v>49</v>
      </c>
      <c r="I959" s="96" t="s">
        <v>889</v>
      </c>
      <c r="J959" s="86" t="s">
        <v>2400</v>
      </c>
      <c r="M959" s="307" t="s">
        <v>49</v>
      </c>
    </row>
    <row r="960" spans="1:13" ht="23.25" hidden="1" customHeight="1" x14ac:dyDescent="0.2">
      <c r="A960" s="81">
        <v>962</v>
      </c>
      <c r="B960" s="283" t="s">
        <v>1664</v>
      </c>
      <c r="C960" s="288" t="s">
        <v>2272</v>
      </c>
      <c r="E960" s="85" t="s">
        <v>2165</v>
      </c>
      <c r="F960" s="238" t="s">
        <v>48</v>
      </c>
      <c r="G960" s="87">
        <v>18</v>
      </c>
      <c r="H960" s="96" t="s">
        <v>49</v>
      </c>
      <c r="I960" s="96" t="s">
        <v>889</v>
      </c>
      <c r="J960" s="86" t="s">
        <v>2400</v>
      </c>
      <c r="M960" s="307" t="s">
        <v>49</v>
      </c>
    </row>
    <row r="961" spans="1:13" ht="23.25" hidden="1" customHeight="1" x14ac:dyDescent="0.2">
      <c r="A961" s="81">
        <v>963</v>
      </c>
      <c r="B961" s="283" t="s">
        <v>1664</v>
      </c>
      <c r="C961" s="288" t="s">
        <v>2272</v>
      </c>
      <c r="E961" s="85" t="s">
        <v>2166</v>
      </c>
      <c r="F961" s="238" t="s">
        <v>48</v>
      </c>
      <c r="G961" s="87">
        <v>18</v>
      </c>
      <c r="H961" s="96" t="s">
        <v>49</v>
      </c>
      <c r="I961" s="96" t="s">
        <v>889</v>
      </c>
      <c r="J961" s="86" t="s">
        <v>2400</v>
      </c>
      <c r="M961" s="307" t="s">
        <v>49</v>
      </c>
    </row>
    <row r="962" spans="1:13" ht="23.25" hidden="1" customHeight="1" x14ac:dyDescent="0.2">
      <c r="A962" s="81">
        <v>964</v>
      </c>
      <c r="B962" s="283" t="s">
        <v>1664</v>
      </c>
      <c r="C962" s="288" t="s">
        <v>2272</v>
      </c>
      <c r="E962" s="85" t="s">
        <v>2167</v>
      </c>
      <c r="F962" s="238" t="s">
        <v>48</v>
      </c>
      <c r="G962" s="87">
        <v>18</v>
      </c>
      <c r="H962" s="96" t="s">
        <v>49</v>
      </c>
      <c r="I962" s="96" t="s">
        <v>889</v>
      </c>
      <c r="J962" s="86" t="s">
        <v>2400</v>
      </c>
      <c r="M962" s="307" t="s">
        <v>49</v>
      </c>
    </row>
    <row r="963" spans="1:13" ht="23.25" hidden="1" customHeight="1" x14ac:dyDescent="0.2">
      <c r="A963" s="81">
        <v>965</v>
      </c>
      <c r="B963" s="283" t="s">
        <v>1664</v>
      </c>
      <c r="C963" s="288" t="s">
        <v>2272</v>
      </c>
      <c r="E963" s="85" t="s">
        <v>2168</v>
      </c>
      <c r="F963" s="238" t="s">
        <v>48</v>
      </c>
      <c r="G963" s="87">
        <v>18</v>
      </c>
      <c r="H963" s="96" t="s">
        <v>49</v>
      </c>
      <c r="I963" s="96" t="s">
        <v>889</v>
      </c>
      <c r="J963" s="86" t="s">
        <v>2400</v>
      </c>
      <c r="M963" s="307" t="s">
        <v>49</v>
      </c>
    </row>
    <row r="964" spans="1:13" ht="23.25" hidden="1" customHeight="1" x14ac:dyDescent="0.2">
      <c r="A964" s="81">
        <v>966</v>
      </c>
      <c r="B964" s="283" t="s">
        <v>1664</v>
      </c>
      <c r="C964" s="289" t="s">
        <v>2273</v>
      </c>
      <c r="D964" s="286" t="s">
        <v>2320</v>
      </c>
      <c r="E964" s="85" t="s">
        <v>2169</v>
      </c>
      <c r="F964" s="238" t="s">
        <v>48</v>
      </c>
      <c r="G964" s="87">
        <v>18</v>
      </c>
      <c r="H964" s="96" t="s">
        <v>49</v>
      </c>
      <c r="I964" s="96" t="s">
        <v>889</v>
      </c>
      <c r="J964" s="86" t="s">
        <v>2361</v>
      </c>
      <c r="M964" s="307" t="s">
        <v>49</v>
      </c>
    </row>
    <row r="965" spans="1:13" ht="23.25" hidden="1" customHeight="1" x14ac:dyDescent="0.2">
      <c r="A965" s="81">
        <v>967</v>
      </c>
      <c r="B965" s="283" t="s">
        <v>1664</v>
      </c>
      <c r="C965" s="288" t="s">
        <v>2273</v>
      </c>
      <c r="D965" s="286" t="s">
        <v>2320</v>
      </c>
      <c r="E965" s="85" t="s">
        <v>2170</v>
      </c>
      <c r="F965" s="238" t="s">
        <v>48</v>
      </c>
      <c r="G965" s="87">
        <v>18</v>
      </c>
      <c r="H965" s="96" t="s">
        <v>49</v>
      </c>
      <c r="I965" s="96" t="s">
        <v>889</v>
      </c>
      <c r="J965" s="86" t="s">
        <v>2361</v>
      </c>
      <c r="M965" s="307" t="s">
        <v>49</v>
      </c>
    </row>
    <row r="966" spans="1:13" ht="23.25" hidden="1" customHeight="1" x14ac:dyDescent="0.2">
      <c r="A966" s="81">
        <v>968</v>
      </c>
      <c r="B966" s="283" t="s">
        <v>1813</v>
      </c>
      <c r="C966" s="289" t="s">
        <v>2274</v>
      </c>
      <c r="D966" s="157" t="s">
        <v>2321</v>
      </c>
      <c r="E966" s="85" t="s">
        <v>2171</v>
      </c>
      <c r="F966" s="238" t="s">
        <v>48</v>
      </c>
      <c r="G966" s="87">
        <v>18</v>
      </c>
      <c r="H966" s="96" t="s">
        <v>49</v>
      </c>
      <c r="I966" s="96" t="s">
        <v>2</v>
      </c>
      <c r="J966" s="86" t="s">
        <v>2171</v>
      </c>
      <c r="M966" s="307" t="s">
        <v>49</v>
      </c>
    </row>
    <row r="967" spans="1:13" ht="23.25" hidden="1" customHeight="1" x14ac:dyDescent="0.2">
      <c r="A967" s="81">
        <v>969</v>
      </c>
      <c r="B967" s="283" t="s">
        <v>1813</v>
      </c>
      <c r="C967" s="288" t="s">
        <v>2274</v>
      </c>
      <c r="D967" s="157" t="s">
        <v>2322</v>
      </c>
      <c r="E967" s="85" t="s">
        <v>2172</v>
      </c>
      <c r="F967" s="238" t="s">
        <v>48</v>
      </c>
      <c r="G967" s="87">
        <v>18</v>
      </c>
      <c r="H967" s="96" t="s">
        <v>49</v>
      </c>
      <c r="I967" s="96" t="s">
        <v>2</v>
      </c>
      <c r="J967" s="86" t="s">
        <v>2172</v>
      </c>
      <c r="M967" s="307" t="s">
        <v>49</v>
      </c>
    </row>
    <row r="968" spans="1:13" ht="23.25" hidden="1" customHeight="1" x14ac:dyDescent="0.2">
      <c r="A968" s="81">
        <v>970</v>
      </c>
      <c r="B968" s="283" t="s">
        <v>143</v>
      </c>
      <c r="C968" s="289" t="s">
        <v>2312</v>
      </c>
      <c r="D968" s="157" t="s">
        <v>2323</v>
      </c>
      <c r="E968" s="85" t="s">
        <v>2173</v>
      </c>
      <c r="F968" s="238" t="s">
        <v>48</v>
      </c>
      <c r="G968" s="87">
        <v>18</v>
      </c>
      <c r="H968" s="96" t="s">
        <v>49</v>
      </c>
      <c r="I968" s="96" t="s">
        <v>2</v>
      </c>
      <c r="J968" s="86" t="s">
        <v>2362</v>
      </c>
      <c r="K968" s="85" t="s">
        <v>2390</v>
      </c>
      <c r="M968" s="307" t="s">
        <v>49</v>
      </c>
    </row>
    <row r="969" spans="1:13" ht="23.25" hidden="1" customHeight="1" x14ac:dyDescent="0.2">
      <c r="A969" s="81">
        <v>971</v>
      </c>
      <c r="B969" s="283" t="s">
        <v>143</v>
      </c>
      <c r="C969" s="289" t="s">
        <v>2312</v>
      </c>
      <c r="D969" s="157" t="s">
        <v>2323</v>
      </c>
      <c r="E969" s="85" t="s">
        <v>2174</v>
      </c>
      <c r="F969" s="238" t="s">
        <v>48</v>
      </c>
      <c r="G969" s="87">
        <v>18</v>
      </c>
      <c r="H969" s="96" t="s">
        <v>49</v>
      </c>
      <c r="I969" s="96" t="s">
        <v>2</v>
      </c>
      <c r="J969" s="86" t="s">
        <v>2362</v>
      </c>
      <c r="K969" s="85" t="s">
        <v>2390</v>
      </c>
      <c r="M969" s="307" t="s">
        <v>49</v>
      </c>
    </row>
    <row r="970" spans="1:13" ht="23.25" hidden="1" customHeight="1" x14ac:dyDescent="0.2">
      <c r="A970" s="81">
        <v>972</v>
      </c>
      <c r="B970" s="283" t="s">
        <v>143</v>
      </c>
      <c r="C970" s="289" t="s">
        <v>2312</v>
      </c>
      <c r="D970" s="157" t="s">
        <v>2323</v>
      </c>
      <c r="E970" s="85" t="s">
        <v>2175</v>
      </c>
      <c r="F970" s="238" t="s">
        <v>48</v>
      </c>
      <c r="G970" s="87">
        <v>18</v>
      </c>
      <c r="H970" s="96" t="s">
        <v>49</v>
      </c>
      <c r="I970" s="96" t="s">
        <v>2</v>
      </c>
      <c r="J970" s="86" t="s">
        <v>2362</v>
      </c>
      <c r="K970" s="85" t="s">
        <v>2390</v>
      </c>
      <c r="M970" s="307" t="s">
        <v>49</v>
      </c>
    </row>
    <row r="971" spans="1:13" ht="23.25" hidden="1" customHeight="1" x14ac:dyDescent="0.2">
      <c r="A971" s="81">
        <v>973</v>
      </c>
      <c r="B971" s="283" t="s">
        <v>143</v>
      </c>
      <c r="C971" s="289" t="s">
        <v>2312</v>
      </c>
      <c r="D971" s="157" t="s">
        <v>2323</v>
      </c>
      <c r="E971" s="85" t="s">
        <v>2176</v>
      </c>
      <c r="F971" s="238" t="s">
        <v>48</v>
      </c>
      <c r="G971" s="87">
        <v>18</v>
      </c>
      <c r="H971" s="96" t="s">
        <v>49</v>
      </c>
      <c r="I971" s="96" t="s">
        <v>2</v>
      </c>
      <c r="J971" s="86" t="s">
        <v>2362</v>
      </c>
      <c r="K971" s="85" t="s">
        <v>2390</v>
      </c>
      <c r="M971" s="307" t="s">
        <v>49</v>
      </c>
    </row>
    <row r="972" spans="1:13" ht="23.25" hidden="1" customHeight="1" x14ac:dyDescent="0.2">
      <c r="A972" s="81">
        <v>974</v>
      </c>
      <c r="B972" s="283" t="s">
        <v>143</v>
      </c>
      <c r="C972" s="289" t="s">
        <v>2312</v>
      </c>
      <c r="D972" s="157" t="s">
        <v>2323</v>
      </c>
      <c r="E972" s="85" t="s">
        <v>2177</v>
      </c>
      <c r="F972" s="238" t="s">
        <v>48</v>
      </c>
      <c r="G972" s="87">
        <v>18</v>
      </c>
      <c r="H972" s="96" t="s">
        <v>49</v>
      </c>
      <c r="I972" s="96" t="s">
        <v>2</v>
      </c>
      <c r="J972" s="86" t="s">
        <v>2362</v>
      </c>
      <c r="K972" s="85" t="s">
        <v>2390</v>
      </c>
      <c r="M972" s="307" t="s">
        <v>49</v>
      </c>
    </row>
    <row r="973" spans="1:13" ht="23.25" hidden="1" customHeight="1" x14ac:dyDescent="0.2">
      <c r="A973" s="81">
        <v>975</v>
      </c>
      <c r="B973" s="283" t="s">
        <v>143</v>
      </c>
      <c r="C973" s="289" t="s">
        <v>2313</v>
      </c>
      <c r="D973" s="292" t="s">
        <v>2324</v>
      </c>
      <c r="E973" s="85" t="s">
        <v>2178</v>
      </c>
      <c r="F973" s="238" t="s">
        <v>48</v>
      </c>
      <c r="G973" s="87">
        <v>18</v>
      </c>
      <c r="H973" s="96" t="s">
        <v>49</v>
      </c>
      <c r="I973" s="96" t="s">
        <v>2</v>
      </c>
      <c r="J973" s="86" t="s">
        <v>2363</v>
      </c>
      <c r="K973" s="311" t="s">
        <v>2390</v>
      </c>
      <c r="M973" s="307" t="s">
        <v>49</v>
      </c>
    </row>
    <row r="974" spans="1:13" ht="23.25" hidden="1" customHeight="1" x14ac:dyDescent="0.2">
      <c r="A974" s="81">
        <v>976</v>
      </c>
      <c r="B974" s="283" t="s">
        <v>143</v>
      </c>
      <c r="C974" s="289" t="s">
        <v>2313</v>
      </c>
      <c r="D974" s="292" t="s">
        <v>2324</v>
      </c>
      <c r="E974" s="85" t="s">
        <v>2179</v>
      </c>
      <c r="F974" s="238" t="s">
        <v>48</v>
      </c>
      <c r="G974" s="87">
        <v>18</v>
      </c>
      <c r="H974" s="96" t="s">
        <v>49</v>
      </c>
      <c r="I974" s="96" t="s">
        <v>2</v>
      </c>
      <c r="J974" s="86" t="s">
        <v>2363</v>
      </c>
      <c r="K974" s="311" t="s">
        <v>2390</v>
      </c>
      <c r="M974" s="307" t="s">
        <v>49</v>
      </c>
    </row>
    <row r="975" spans="1:13" ht="23.25" hidden="1" customHeight="1" x14ac:dyDescent="0.2">
      <c r="A975" s="81">
        <v>977</v>
      </c>
      <c r="B975" s="283" t="s">
        <v>143</v>
      </c>
      <c r="C975" s="289" t="s">
        <v>2313</v>
      </c>
      <c r="D975" s="292" t="s">
        <v>2324</v>
      </c>
      <c r="E975" s="85" t="s">
        <v>2180</v>
      </c>
      <c r="F975" s="238" t="s">
        <v>48</v>
      </c>
      <c r="G975" s="87">
        <v>18</v>
      </c>
      <c r="H975" s="96" t="s">
        <v>49</v>
      </c>
      <c r="I975" s="96" t="s">
        <v>2</v>
      </c>
      <c r="J975" s="86" t="s">
        <v>2363</v>
      </c>
      <c r="K975" s="311" t="s">
        <v>2390</v>
      </c>
      <c r="M975" s="307" t="s">
        <v>49</v>
      </c>
    </row>
    <row r="976" spans="1:13" ht="23.25" hidden="1" customHeight="1" x14ac:dyDescent="0.2">
      <c r="A976" s="81">
        <v>978</v>
      </c>
      <c r="B976" s="283" t="s">
        <v>143</v>
      </c>
      <c r="C976" s="289" t="s">
        <v>2313</v>
      </c>
      <c r="D976" s="292" t="s">
        <v>2324</v>
      </c>
      <c r="E976" s="85" t="s">
        <v>2181</v>
      </c>
      <c r="F976" s="238" t="s">
        <v>48</v>
      </c>
      <c r="G976" s="87">
        <v>18</v>
      </c>
      <c r="H976" s="96" t="s">
        <v>49</v>
      </c>
      <c r="I976" s="96" t="s">
        <v>2</v>
      </c>
      <c r="J976" s="86" t="s">
        <v>2363</v>
      </c>
      <c r="K976" s="311" t="s">
        <v>2390</v>
      </c>
      <c r="M976" s="307" t="s">
        <v>49</v>
      </c>
    </row>
    <row r="977" spans="1:13" ht="23.25" hidden="1" customHeight="1" x14ac:dyDescent="0.2">
      <c r="A977" s="81">
        <v>979</v>
      </c>
      <c r="B977" s="283" t="s">
        <v>143</v>
      </c>
      <c r="C977" s="289" t="s">
        <v>2313</v>
      </c>
      <c r="D977" s="292" t="s">
        <v>2324</v>
      </c>
      <c r="E977" s="85" t="s">
        <v>2182</v>
      </c>
      <c r="F977" s="238" t="s">
        <v>48</v>
      </c>
      <c r="G977" s="87">
        <v>18</v>
      </c>
      <c r="H977" s="96" t="s">
        <v>49</v>
      </c>
      <c r="I977" s="96" t="s">
        <v>2</v>
      </c>
      <c r="J977" s="86" t="s">
        <v>2363</v>
      </c>
      <c r="K977" s="311" t="s">
        <v>2390</v>
      </c>
      <c r="M977" s="307" t="s">
        <v>49</v>
      </c>
    </row>
    <row r="978" spans="1:13" ht="23.25" hidden="1" customHeight="1" x14ac:dyDescent="0.2">
      <c r="A978" s="81">
        <v>980</v>
      </c>
      <c r="B978" s="283" t="s">
        <v>143</v>
      </c>
      <c r="C978" s="288" t="s">
        <v>2275</v>
      </c>
      <c r="D978" s="286" t="s">
        <v>2325</v>
      </c>
      <c r="E978" s="85" t="s">
        <v>2183</v>
      </c>
      <c r="F978" s="238" t="s">
        <v>48</v>
      </c>
      <c r="G978" s="87">
        <v>18</v>
      </c>
      <c r="H978" s="96" t="s">
        <v>49</v>
      </c>
      <c r="I978" s="96" t="s">
        <v>2</v>
      </c>
      <c r="J978" s="86" t="s">
        <v>2364</v>
      </c>
      <c r="M978" s="307" t="s">
        <v>49</v>
      </c>
    </row>
    <row r="979" spans="1:13" ht="23.25" hidden="1" customHeight="1" x14ac:dyDescent="0.2">
      <c r="A979" s="81">
        <v>981</v>
      </c>
      <c r="B979" s="283" t="s">
        <v>143</v>
      </c>
      <c r="C979" s="288" t="s">
        <v>2275</v>
      </c>
      <c r="D979" s="286" t="s">
        <v>2325</v>
      </c>
      <c r="E979" s="85" t="s">
        <v>2184</v>
      </c>
      <c r="F979" s="238" t="s">
        <v>48</v>
      </c>
      <c r="G979" s="87">
        <v>18</v>
      </c>
      <c r="H979" s="96" t="s">
        <v>49</v>
      </c>
      <c r="I979" s="96" t="s">
        <v>2</v>
      </c>
      <c r="J979" s="86" t="s">
        <v>2364</v>
      </c>
      <c r="M979" s="307" t="s">
        <v>49</v>
      </c>
    </row>
    <row r="980" spans="1:13" ht="23.25" hidden="1" customHeight="1" x14ac:dyDescent="0.2">
      <c r="A980" s="81">
        <v>982</v>
      </c>
      <c r="B980" s="283" t="s">
        <v>143</v>
      </c>
      <c r="C980" s="288" t="s">
        <v>2275</v>
      </c>
      <c r="D980" s="286" t="s">
        <v>2325</v>
      </c>
      <c r="E980" s="85" t="s">
        <v>2185</v>
      </c>
      <c r="F980" s="238" t="s">
        <v>48</v>
      </c>
      <c r="G980" s="87">
        <v>18</v>
      </c>
      <c r="H980" s="96" t="s">
        <v>49</v>
      </c>
      <c r="I980" s="96" t="s">
        <v>2</v>
      </c>
      <c r="J980" s="86" t="s">
        <v>2364</v>
      </c>
      <c r="M980" s="307" t="s">
        <v>49</v>
      </c>
    </row>
    <row r="981" spans="1:13" ht="23.25" hidden="1" customHeight="1" x14ac:dyDescent="0.2">
      <c r="A981" s="81">
        <v>983</v>
      </c>
      <c r="B981" s="283" t="s">
        <v>143</v>
      </c>
      <c r="C981" s="288" t="s">
        <v>2275</v>
      </c>
      <c r="D981" s="286" t="s">
        <v>2325</v>
      </c>
      <c r="E981" s="85" t="s">
        <v>2186</v>
      </c>
      <c r="F981" s="238" t="s">
        <v>48</v>
      </c>
      <c r="G981" s="87">
        <v>18</v>
      </c>
      <c r="H981" s="96" t="s">
        <v>49</v>
      </c>
      <c r="I981" s="96" t="s">
        <v>2</v>
      </c>
      <c r="J981" s="86" t="s">
        <v>2364</v>
      </c>
      <c r="M981" s="307" t="s">
        <v>49</v>
      </c>
    </row>
    <row r="982" spans="1:13" ht="23.25" hidden="1" customHeight="1" x14ac:dyDescent="0.2">
      <c r="A982" s="81">
        <v>984</v>
      </c>
      <c r="B982" s="283" t="s">
        <v>143</v>
      </c>
      <c r="C982" s="289" t="s">
        <v>2276</v>
      </c>
      <c r="D982" s="285" t="s">
        <v>2326</v>
      </c>
      <c r="E982" s="85" t="s">
        <v>2187</v>
      </c>
      <c r="F982" s="238" t="s">
        <v>48</v>
      </c>
      <c r="G982" s="87">
        <v>18</v>
      </c>
      <c r="H982" s="96" t="s">
        <v>49</v>
      </c>
      <c r="I982" s="96" t="s">
        <v>2</v>
      </c>
      <c r="J982" s="86" t="s">
        <v>2365</v>
      </c>
      <c r="M982" s="307" t="s">
        <v>49</v>
      </c>
    </row>
    <row r="983" spans="1:13" ht="23.25" hidden="1" customHeight="1" x14ac:dyDescent="0.2">
      <c r="A983" s="81">
        <v>985</v>
      </c>
      <c r="B983" s="283" t="s">
        <v>143</v>
      </c>
      <c r="C983" s="288" t="s">
        <v>2276</v>
      </c>
      <c r="D983" s="285" t="s">
        <v>2326</v>
      </c>
      <c r="E983" s="85" t="s">
        <v>2188</v>
      </c>
      <c r="F983" s="238" t="s">
        <v>48</v>
      </c>
      <c r="G983" s="87">
        <v>18</v>
      </c>
      <c r="H983" s="96" t="s">
        <v>49</v>
      </c>
      <c r="I983" s="96" t="s">
        <v>2</v>
      </c>
      <c r="J983" s="86" t="s">
        <v>2365</v>
      </c>
      <c r="M983" s="307" t="s">
        <v>49</v>
      </c>
    </row>
    <row r="984" spans="1:13" ht="23.25" hidden="1" customHeight="1" x14ac:dyDescent="0.2">
      <c r="A984" s="81">
        <v>986</v>
      </c>
      <c r="B984" s="283" t="s">
        <v>143</v>
      </c>
      <c r="C984" s="288" t="s">
        <v>2276</v>
      </c>
      <c r="D984" s="285" t="s">
        <v>2326</v>
      </c>
      <c r="E984" s="85" t="s">
        <v>2189</v>
      </c>
      <c r="F984" s="238" t="s">
        <v>48</v>
      </c>
      <c r="G984" s="87">
        <v>18</v>
      </c>
      <c r="H984" s="96" t="s">
        <v>49</v>
      </c>
      <c r="I984" s="96" t="s">
        <v>2</v>
      </c>
      <c r="J984" s="86" t="s">
        <v>2365</v>
      </c>
      <c r="M984" s="307" t="s">
        <v>49</v>
      </c>
    </row>
    <row r="985" spans="1:13" ht="23.25" hidden="1" customHeight="1" x14ac:dyDescent="0.2">
      <c r="A985" s="81">
        <v>987</v>
      </c>
      <c r="B985" s="283" t="s">
        <v>143</v>
      </c>
      <c r="C985" s="288" t="s">
        <v>2276</v>
      </c>
      <c r="D985" s="285" t="s">
        <v>2326</v>
      </c>
      <c r="E985" s="85" t="s">
        <v>2190</v>
      </c>
      <c r="F985" s="238" t="s">
        <v>48</v>
      </c>
      <c r="G985" s="87">
        <v>18</v>
      </c>
      <c r="H985" s="96" t="s">
        <v>49</v>
      </c>
      <c r="I985" s="96" t="s">
        <v>2</v>
      </c>
      <c r="J985" s="86" t="s">
        <v>2365</v>
      </c>
      <c r="M985" s="307" t="s">
        <v>49</v>
      </c>
    </row>
    <row r="986" spans="1:13" ht="23.25" hidden="1" customHeight="1" x14ac:dyDescent="0.2">
      <c r="A986" s="81">
        <v>988</v>
      </c>
      <c r="B986" s="283" t="s">
        <v>143</v>
      </c>
      <c r="C986" s="288" t="s">
        <v>2276</v>
      </c>
      <c r="D986" s="285" t="s">
        <v>2326</v>
      </c>
      <c r="E986" s="85" t="s">
        <v>2191</v>
      </c>
      <c r="F986" s="238" t="s">
        <v>48</v>
      </c>
      <c r="G986" s="87">
        <v>18</v>
      </c>
      <c r="H986" s="96" t="s">
        <v>49</v>
      </c>
      <c r="I986" s="96" t="s">
        <v>2</v>
      </c>
      <c r="J986" s="86" t="s">
        <v>2365</v>
      </c>
      <c r="M986" s="307" t="s">
        <v>49</v>
      </c>
    </row>
    <row r="987" spans="1:13" ht="23.25" hidden="1" customHeight="1" x14ac:dyDescent="0.2">
      <c r="A987" s="81">
        <v>989</v>
      </c>
      <c r="B987" s="283" t="s">
        <v>143</v>
      </c>
      <c r="C987" s="288" t="s">
        <v>2276</v>
      </c>
      <c r="D987" s="285" t="s">
        <v>2326</v>
      </c>
      <c r="E987" s="85" t="s">
        <v>2192</v>
      </c>
      <c r="F987" s="238" t="s">
        <v>48</v>
      </c>
      <c r="G987" s="87">
        <v>18</v>
      </c>
      <c r="H987" s="96" t="s">
        <v>49</v>
      </c>
      <c r="I987" s="96" t="s">
        <v>2</v>
      </c>
      <c r="J987" s="86" t="s">
        <v>2365</v>
      </c>
      <c r="M987" s="307" t="s">
        <v>49</v>
      </c>
    </row>
    <row r="988" spans="1:13" ht="23.25" hidden="1" customHeight="1" x14ac:dyDescent="0.2">
      <c r="A988" s="81">
        <v>990</v>
      </c>
      <c r="B988" s="283" t="s">
        <v>143</v>
      </c>
      <c r="C988" s="289" t="s">
        <v>2277</v>
      </c>
      <c r="D988" s="285" t="s">
        <v>2327</v>
      </c>
      <c r="E988" s="85" t="s">
        <v>2193</v>
      </c>
      <c r="F988" s="238" t="s">
        <v>48</v>
      </c>
      <c r="G988" s="87">
        <v>18</v>
      </c>
      <c r="H988" s="96" t="s">
        <v>49</v>
      </c>
      <c r="I988" s="96" t="s">
        <v>2</v>
      </c>
      <c r="J988" s="86" t="s">
        <v>2366</v>
      </c>
      <c r="M988" s="307" t="s">
        <v>49</v>
      </c>
    </row>
    <row r="989" spans="1:13" ht="23.25" hidden="1" customHeight="1" x14ac:dyDescent="0.2">
      <c r="A989" s="81">
        <v>991</v>
      </c>
      <c r="B989" s="283" t="s">
        <v>143</v>
      </c>
      <c r="C989" s="288" t="s">
        <v>2277</v>
      </c>
      <c r="D989" s="286" t="s">
        <v>2328</v>
      </c>
      <c r="E989" s="85" t="s">
        <v>2194</v>
      </c>
      <c r="F989" s="238" t="s">
        <v>48</v>
      </c>
      <c r="G989" s="87">
        <v>18</v>
      </c>
      <c r="H989" s="96" t="s">
        <v>49</v>
      </c>
      <c r="I989" s="96" t="s">
        <v>2</v>
      </c>
      <c r="J989" s="86" t="s">
        <v>2194</v>
      </c>
      <c r="M989" s="307" t="s">
        <v>49</v>
      </c>
    </row>
    <row r="990" spans="1:13" ht="23.25" hidden="1" customHeight="1" x14ac:dyDescent="0.2">
      <c r="A990" s="81">
        <v>992</v>
      </c>
      <c r="B990" s="283" t="s">
        <v>143</v>
      </c>
      <c r="C990" s="288" t="s">
        <v>2278</v>
      </c>
      <c r="D990" s="286" t="s">
        <v>2329</v>
      </c>
      <c r="E990" s="85" t="s">
        <v>2195</v>
      </c>
      <c r="F990" s="238" t="s">
        <v>48</v>
      </c>
      <c r="G990" s="87">
        <v>18</v>
      </c>
      <c r="H990" s="96" t="s">
        <v>49</v>
      </c>
      <c r="I990" s="96" t="s">
        <v>2</v>
      </c>
      <c r="J990" s="86" t="s">
        <v>2195</v>
      </c>
      <c r="M990" s="307" t="s">
        <v>49</v>
      </c>
    </row>
    <row r="991" spans="1:13" ht="23.25" hidden="1" customHeight="1" x14ac:dyDescent="0.2">
      <c r="A991" s="81">
        <v>993</v>
      </c>
      <c r="B991" s="283" t="s">
        <v>143</v>
      </c>
      <c r="C991" s="288" t="s">
        <v>2278</v>
      </c>
      <c r="D991" s="286" t="s">
        <v>2330</v>
      </c>
      <c r="E991" s="85" t="s">
        <v>2196</v>
      </c>
      <c r="F991" s="238" t="s">
        <v>48</v>
      </c>
      <c r="G991" s="87">
        <v>18</v>
      </c>
      <c r="H991" s="96" t="s">
        <v>49</v>
      </c>
      <c r="I991" s="96" t="s">
        <v>2</v>
      </c>
      <c r="J991" s="86" t="s">
        <v>2367</v>
      </c>
      <c r="M991" s="307" t="s">
        <v>49</v>
      </c>
    </row>
    <row r="992" spans="1:13" ht="23.25" hidden="1" customHeight="1" x14ac:dyDescent="0.2">
      <c r="A992" s="81">
        <v>994</v>
      </c>
      <c r="B992" s="283" t="s">
        <v>143</v>
      </c>
      <c r="C992" s="288" t="s">
        <v>2278</v>
      </c>
      <c r="D992" s="286" t="s">
        <v>2330</v>
      </c>
      <c r="E992" s="85" t="s">
        <v>2197</v>
      </c>
      <c r="F992" s="238" t="s">
        <v>48</v>
      </c>
      <c r="G992" s="87">
        <v>18</v>
      </c>
      <c r="H992" s="96" t="s">
        <v>49</v>
      </c>
      <c r="I992" s="96" t="s">
        <v>2</v>
      </c>
      <c r="J992" s="86" t="s">
        <v>2367</v>
      </c>
      <c r="M992" s="307" t="s">
        <v>49</v>
      </c>
    </row>
    <row r="993" spans="1:13" ht="23.25" hidden="1" customHeight="1" x14ac:dyDescent="0.2">
      <c r="A993" s="81">
        <v>995</v>
      </c>
      <c r="B993" s="283" t="s">
        <v>143</v>
      </c>
      <c r="C993" s="289" t="s">
        <v>2279</v>
      </c>
      <c r="D993" s="157" t="s">
        <v>2331</v>
      </c>
      <c r="E993" s="85" t="s">
        <v>2198</v>
      </c>
      <c r="F993" s="238" t="s">
        <v>48</v>
      </c>
      <c r="G993" s="87">
        <v>18</v>
      </c>
      <c r="H993" s="96" t="s">
        <v>49</v>
      </c>
      <c r="I993" s="96" t="s">
        <v>2</v>
      </c>
      <c r="J993" s="86" t="s">
        <v>2368</v>
      </c>
      <c r="M993" s="307" t="s">
        <v>49</v>
      </c>
    </row>
    <row r="994" spans="1:13" ht="23.25" hidden="1" customHeight="1" x14ac:dyDescent="0.2">
      <c r="A994" s="81">
        <v>996</v>
      </c>
      <c r="B994" s="283" t="s">
        <v>143</v>
      </c>
      <c r="C994" s="288" t="s">
        <v>2279</v>
      </c>
      <c r="D994" s="157" t="s">
        <v>2331</v>
      </c>
      <c r="E994" s="85" t="s">
        <v>2199</v>
      </c>
      <c r="F994" s="238" t="s">
        <v>48</v>
      </c>
      <c r="G994" s="87">
        <v>18</v>
      </c>
      <c r="H994" s="96" t="s">
        <v>49</v>
      </c>
      <c r="I994" s="96" t="s">
        <v>2</v>
      </c>
      <c r="J994" s="86" t="s">
        <v>2368</v>
      </c>
      <c r="M994" s="307" t="s">
        <v>49</v>
      </c>
    </row>
    <row r="995" spans="1:13" ht="23.25" hidden="1" customHeight="1" x14ac:dyDescent="0.2">
      <c r="A995" s="81">
        <v>997</v>
      </c>
      <c r="B995" s="283" t="s">
        <v>143</v>
      </c>
      <c r="C995" s="288" t="s">
        <v>2279</v>
      </c>
      <c r="D995" s="157" t="s">
        <v>2332</v>
      </c>
      <c r="E995" s="85" t="s">
        <v>2200</v>
      </c>
      <c r="F995" s="238" t="s">
        <v>48</v>
      </c>
      <c r="G995" s="87">
        <v>18</v>
      </c>
      <c r="H995" s="96" t="s">
        <v>49</v>
      </c>
      <c r="I995" s="96" t="s">
        <v>2</v>
      </c>
      <c r="J995" s="86" t="s">
        <v>2369</v>
      </c>
      <c r="M995" s="307" t="s">
        <v>49</v>
      </c>
    </row>
    <row r="996" spans="1:13" ht="23.25" hidden="1" customHeight="1" x14ac:dyDescent="0.2">
      <c r="A996" s="81">
        <v>998</v>
      </c>
      <c r="B996" s="283" t="s">
        <v>143</v>
      </c>
      <c r="C996" s="288" t="s">
        <v>2279</v>
      </c>
      <c r="D996" s="157" t="s">
        <v>2332</v>
      </c>
      <c r="E996" s="85" t="s">
        <v>2201</v>
      </c>
      <c r="F996" s="238" t="s">
        <v>48</v>
      </c>
      <c r="G996" s="87">
        <v>18</v>
      </c>
      <c r="H996" s="96" t="s">
        <v>49</v>
      </c>
      <c r="I996" s="96" t="s">
        <v>2</v>
      </c>
      <c r="J996" s="86" t="s">
        <v>2369</v>
      </c>
      <c r="M996" s="307" t="s">
        <v>49</v>
      </c>
    </row>
    <row r="997" spans="1:13" ht="23.25" hidden="1" customHeight="1" x14ac:dyDescent="0.2">
      <c r="A997" s="81">
        <v>999</v>
      </c>
      <c r="B997" s="283" t="s">
        <v>143</v>
      </c>
      <c r="C997" s="288" t="s">
        <v>2280</v>
      </c>
      <c r="D997" s="285" t="s">
        <v>2333</v>
      </c>
      <c r="E997" s="85" t="s">
        <v>2202</v>
      </c>
      <c r="F997" s="238" t="s">
        <v>48</v>
      </c>
      <c r="G997" s="87">
        <v>18</v>
      </c>
      <c r="H997" s="96" t="s">
        <v>49</v>
      </c>
      <c r="I997" s="96" t="s">
        <v>2</v>
      </c>
      <c r="J997" s="86" t="s">
        <v>2202</v>
      </c>
      <c r="M997" s="307" t="s">
        <v>49</v>
      </c>
    </row>
    <row r="998" spans="1:13" ht="23.25" hidden="1" customHeight="1" x14ac:dyDescent="0.2">
      <c r="A998" s="81">
        <v>1000</v>
      </c>
      <c r="B998" s="283" t="s">
        <v>143</v>
      </c>
      <c r="C998" s="288" t="s">
        <v>2280</v>
      </c>
      <c r="D998" s="285" t="s">
        <v>2334</v>
      </c>
      <c r="E998" s="85" t="s">
        <v>2203</v>
      </c>
      <c r="F998" s="238" t="s">
        <v>48</v>
      </c>
      <c r="G998" s="87">
        <v>18</v>
      </c>
      <c r="H998" s="96" t="s">
        <v>49</v>
      </c>
      <c r="I998" s="96" t="s">
        <v>2</v>
      </c>
      <c r="J998" s="86" t="s">
        <v>2203</v>
      </c>
      <c r="K998" s="311" t="s">
        <v>2390</v>
      </c>
      <c r="M998" s="307" t="s">
        <v>49</v>
      </c>
    </row>
    <row r="999" spans="1:13" ht="23.25" hidden="1" customHeight="1" x14ac:dyDescent="0.2">
      <c r="A999" s="81">
        <v>1001</v>
      </c>
      <c r="B999" s="283" t="s">
        <v>143</v>
      </c>
      <c r="C999" s="288" t="s">
        <v>2280</v>
      </c>
      <c r="D999" s="285" t="s">
        <v>2335</v>
      </c>
      <c r="E999" s="85" t="s">
        <v>2204</v>
      </c>
      <c r="F999" s="238" t="s">
        <v>48</v>
      </c>
      <c r="G999" s="87">
        <v>18</v>
      </c>
      <c r="H999" s="96" t="s">
        <v>49</v>
      </c>
      <c r="I999" s="96" t="s">
        <v>2</v>
      </c>
      <c r="J999" s="86" t="s">
        <v>2204</v>
      </c>
      <c r="M999" s="307" t="s">
        <v>49</v>
      </c>
    </row>
    <row r="1000" spans="1:13" ht="23.25" hidden="1" customHeight="1" x14ac:dyDescent="0.2">
      <c r="A1000" s="81">
        <v>1002</v>
      </c>
      <c r="B1000" s="283" t="s">
        <v>143</v>
      </c>
      <c r="C1000" s="288" t="s">
        <v>2280</v>
      </c>
      <c r="D1000" s="285" t="s">
        <v>2327</v>
      </c>
      <c r="E1000" s="85" t="s">
        <v>2205</v>
      </c>
      <c r="F1000" s="238" t="s">
        <v>48</v>
      </c>
      <c r="G1000" s="87">
        <v>18</v>
      </c>
      <c r="H1000" s="96" t="s">
        <v>49</v>
      </c>
      <c r="I1000" s="96" t="s">
        <v>2</v>
      </c>
      <c r="J1000" s="86" t="s">
        <v>2366</v>
      </c>
      <c r="M1000" s="307" t="s">
        <v>49</v>
      </c>
    </row>
    <row r="1001" spans="1:13" ht="23.25" hidden="1" customHeight="1" x14ac:dyDescent="0.2">
      <c r="A1001" s="81">
        <v>1003</v>
      </c>
      <c r="B1001" s="283" t="s">
        <v>1813</v>
      </c>
      <c r="C1001" s="288" t="s">
        <v>2281</v>
      </c>
      <c r="D1001" s="286" t="s">
        <v>2336</v>
      </c>
      <c r="E1001" s="85" t="s">
        <v>2206</v>
      </c>
      <c r="F1001" s="238" t="s">
        <v>48</v>
      </c>
      <c r="G1001" s="87">
        <v>18</v>
      </c>
      <c r="H1001" s="96" t="s">
        <v>49</v>
      </c>
      <c r="I1001" s="96" t="s">
        <v>2</v>
      </c>
      <c r="J1001" s="86" t="s">
        <v>2206</v>
      </c>
      <c r="M1001" s="307" t="s">
        <v>49</v>
      </c>
    </row>
    <row r="1002" spans="1:13" ht="23.25" hidden="1" customHeight="1" x14ac:dyDescent="0.2">
      <c r="A1002" s="81">
        <v>1004</v>
      </c>
      <c r="B1002" s="283" t="s">
        <v>143</v>
      </c>
      <c r="C1002" s="288" t="s">
        <v>2282</v>
      </c>
      <c r="D1002" s="293" t="s">
        <v>2337</v>
      </c>
      <c r="E1002" s="85" t="s">
        <v>2207</v>
      </c>
      <c r="F1002" s="238" t="s">
        <v>48</v>
      </c>
      <c r="G1002" s="87">
        <v>18</v>
      </c>
      <c r="H1002" s="96" t="s">
        <v>49</v>
      </c>
      <c r="I1002" s="96" t="s">
        <v>2</v>
      </c>
      <c r="J1002" s="86" t="s">
        <v>2370</v>
      </c>
      <c r="M1002" s="307" t="s">
        <v>49</v>
      </c>
    </row>
    <row r="1003" spans="1:13" ht="23.25" hidden="1" customHeight="1" x14ac:dyDescent="0.2">
      <c r="A1003" s="81">
        <v>1005</v>
      </c>
      <c r="B1003" s="283" t="s">
        <v>143</v>
      </c>
      <c r="C1003" s="288" t="s">
        <v>2282</v>
      </c>
      <c r="D1003" s="293" t="s">
        <v>2337</v>
      </c>
      <c r="E1003" s="85" t="s">
        <v>2208</v>
      </c>
      <c r="F1003" s="238" t="s">
        <v>48</v>
      </c>
      <c r="G1003" s="87">
        <v>18</v>
      </c>
      <c r="H1003" s="96" t="s">
        <v>49</v>
      </c>
      <c r="I1003" s="96" t="s">
        <v>2</v>
      </c>
      <c r="J1003" s="86" t="s">
        <v>2370</v>
      </c>
      <c r="M1003" s="307" t="s">
        <v>49</v>
      </c>
    </row>
    <row r="1004" spans="1:13" ht="23.25" hidden="1" customHeight="1" x14ac:dyDescent="0.2">
      <c r="A1004" s="81">
        <v>1006</v>
      </c>
      <c r="B1004" s="283" t="s">
        <v>625</v>
      </c>
      <c r="C1004" s="288" t="s">
        <v>2283</v>
      </c>
      <c r="D1004" s="285" t="s">
        <v>2338</v>
      </c>
      <c r="E1004" s="85" t="s">
        <v>2209</v>
      </c>
      <c r="F1004" s="238" t="s">
        <v>48</v>
      </c>
      <c r="G1004" s="87">
        <v>18</v>
      </c>
      <c r="H1004" s="96" t="s">
        <v>49</v>
      </c>
      <c r="I1004" s="96" t="s">
        <v>2</v>
      </c>
      <c r="J1004" s="86" t="s">
        <v>2209</v>
      </c>
      <c r="M1004" s="307" t="s">
        <v>49</v>
      </c>
    </row>
    <row r="1005" spans="1:13" ht="23.25" hidden="1" customHeight="1" x14ac:dyDescent="0.2">
      <c r="A1005" s="81">
        <v>1007</v>
      </c>
      <c r="B1005" s="283" t="s">
        <v>625</v>
      </c>
      <c r="C1005" s="288" t="s">
        <v>2284</v>
      </c>
      <c r="D1005" s="285" t="s">
        <v>2339</v>
      </c>
      <c r="E1005" s="85" t="s">
        <v>2210</v>
      </c>
      <c r="F1005" s="238" t="s">
        <v>48</v>
      </c>
      <c r="G1005" s="87">
        <v>18</v>
      </c>
      <c r="H1005" s="96" t="s">
        <v>49</v>
      </c>
      <c r="I1005" s="96" t="s">
        <v>2</v>
      </c>
      <c r="J1005" s="86" t="s">
        <v>2210</v>
      </c>
      <c r="M1005" s="307" t="s">
        <v>49</v>
      </c>
    </row>
    <row r="1006" spans="1:13" ht="23.25" hidden="1" customHeight="1" x14ac:dyDescent="0.2">
      <c r="A1006" s="81">
        <v>1008</v>
      </c>
      <c r="B1006" s="283" t="s">
        <v>625</v>
      </c>
      <c r="C1006" s="288" t="s">
        <v>2284</v>
      </c>
      <c r="D1006" s="285" t="s">
        <v>2340</v>
      </c>
      <c r="E1006" s="85" t="s">
        <v>2211</v>
      </c>
      <c r="F1006" s="238" t="s">
        <v>48</v>
      </c>
      <c r="G1006" s="87">
        <v>18</v>
      </c>
      <c r="H1006" s="96" t="s">
        <v>49</v>
      </c>
      <c r="I1006" s="96" t="s">
        <v>2</v>
      </c>
      <c r="J1006" s="86" t="s">
        <v>2211</v>
      </c>
      <c r="M1006" s="307" t="s">
        <v>49</v>
      </c>
    </row>
    <row r="1007" spans="1:13" ht="23.25" hidden="1" customHeight="1" x14ac:dyDescent="0.2">
      <c r="A1007" s="81">
        <v>1009</v>
      </c>
      <c r="B1007" s="283" t="s">
        <v>1813</v>
      </c>
      <c r="C1007" s="288" t="s">
        <v>2285</v>
      </c>
      <c r="D1007" s="286" t="s">
        <v>2341</v>
      </c>
      <c r="E1007" s="85" t="s">
        <v>2212</v>
      </c>
      <c r="F1007" s="238" t="s">
        <v>48</v>
      </c>
      <c r="G1007" s="87">
        <v>18</v>
      </c>
      <c r="H1007" s="96" t="s">
        <v>49</v>
      </c>
      <c r="I1007" s="96" t="s">
        <v>2</v>
      </c>
      <c r="J1007" s="86" t="s">
        <v>2371</v>
      </c>
      <c r="M1007" s="307" t="s">
        <v>49</v>
      </c>
    </row>
    <row r="1008" spans="1:13" ht="23.25" hidden="1" customHeight="1" x14ac:dyDescent="0.2">
      <c r="A1008" s="81">
        <v>1010</v>
      </c>
      <c r="B1008" s="283" t="s">
        <v>1813</v>
      </c>
      <c r="C1008" s="288" t="s">
        <v>2285</v>
      </c>
      <c r="D1008" s="286" t="s">
        <v>2341</v>
      </c>
      <c r="E1008" s="85" t="s">
        <v>2213</v>
      </c>
      <c r="F1008" s="238" t="s">
        <v>48</v>
      </c>
      <c r="G1008" s="87">
        <v>18</v>
      </c>
      <c r="H1008" s="96" t="s">
        <v>49</v>
      </c>
      <c r="I1008" s="96" t="s">
        <v>2</v>
      </c>
      <c r="J1008" s="86" t="s">
        <v>2371</v>
      </c>
      <c r="M1008" s="307" t="s">
        <v>49</v>
      </c>
    </row>
    <row r="1009" spans="1:13" ht="23.25" hidden="1" customHeight="1" x14ac:dyDescent="0.2">
      <c r="A1009" s="81">
        <v>1011</v>
      </c>
      <c r="B1009" s="283" t="s">
        <v>1813</v>
      </c>
      <c r="C1009" s="288" t="s">
        <v>2285</v>
      </c>
      <c r="D1009" s="286" t="s">
        <v>2341</v>
      </c>
      <c r="E1009" s="85" t="s">
        <v>2214</v>
      </c>
      <c r="F1009" s="238" t="s">
        <v>48</v>
      </c>
      <c r="G1009" s="87">
        <v>18</v>
      </c>
      <c r="H1009" s="96" t="s">
        <v>49</v>
      </c>
      <c r="I1009" s="96" t="s">
        <v>2</v>
      </c>
      <c r="J1009" s="86" t="s">
        <v>2371</v>
      </c>
      <c r="M1009" s="307" t="s">
        <v>49</v>
      </c>
    </row>
    <row r="1010" spans="1:13" ht="23.25" hidden="1" customHeight="1" x14ac:dyDescent="0.2">
      <c r="A1010" s="81">
        <v>1012</v>
      </c>
      <c r="B1010" s="283" t="s">
        <v>1813</v>
      </c>
      <c r="C1010" s="288" t="s">
        <v>2286</v>
      </c>
      <c r="D1010" s="286" t="s">
        <v>2342</v>
      </c>
      <c r="E1010" s="85" t="s">
        <v>2215</v>
      </c>
      <c r="F1010" s="238" t="s">
        <v>48</v>
      </c>
      <c r="G1010" s="87">
        <v>18</v>
      </c>
      <c r="H1010" s="96" t="s">
        <v>49</v>
      </c>
      <c r="I1010" s="96" t="s">
        <v>2</v>
      </c>
      <c r="J1010" s="86" t="s">
        <v>2372</v>
      </c>
      <c r="M1010" s="307" t="s">
        <v>49</v>
      </c>
    </row>
    <row r="1011" spans="1:13" ht="23.25" hidden="1" customHeight="1" x14ac:dyDescent="0.2">
      <c r="A1011" s="81">
        <v>1013</v>
      </c>
      <c r="B1011" s="283" t="s">
        <v>1813</v>
      </c>
      <c r="C1011" s="288" t="s">
        <v>2286</v>
      </c>
      <c r="D1011" s="286" t="s">
        <v>2342</v>
      </c>
      <c r="E1011" s="85" t="s">
        <v>2216</v>
      </c>
      <c r="F1011" s="238" t="s">
        <v>48</v>
      </c>
      <c r="G1011" s="87">
        <v>18</v>
      </c>
      <c r="H1011" s="96" t="s">
        <v>49</v>
      </c>
      <c r="I1011" s="96" t="s">
        <v>2</v>
      </c>
      <c r="J1011" s="86" t="s">
        <v>2372</v>
      </c>
      <c r="M1011" s="307" t="s">
        <v>49</v>
      </c>
    </row>
    <row r="1012" spans="1:13" ht="23.25" hidden="1" customHeight="1" x14ac:dyDescent="0.2">
      <c r="A1012" s="81">
        <v>1014</v>
      </c>
      <c r="B1012" s="283" t="s">
        <v>1813</v>
      </c>
      <c r="C1012" s="288" t="s">
        <v>2287</v>
      </c>
      <c r="D1012" s="286" t="s">
        <v>2217</v>
      </c>
      <c r="E1012" s="85" t="s">
        <v>2217</v>
      </c>
      <c r="F1012" s="238" t="s">
        <v>48</v>
      </c>
      <c r="G1012" s="87">
        <v>18</v>
      </c>
      <c r="H1012" s="96" t="s">
        <v>49</v>
      </c>
      <c r="I1012" s="96" t="s">
        <v>2</v>
      </c>
      <c r="J1012" s="86" t="s">
        <v>2217</v>
      </c>
      <c r="M1012" s="307" t="s">
        <v>49</v>
      </c>
    </row>
    <row r="1013" spans="1:13" ht="23.25" hidden="1" customHeight="1" x14ac:dyDescent="0.2">
      <c r="A1013" s="81">
        <v>1015</v>
      </c>
      <c r="B1013" s="283" t="s">
        <v>1813</v>
      </c>
      <c r="C1013" s="288" t="s">
        <v>2288</v>
      </c>
      <c r="D1013" s="286" t="s">
        <v>2343</v>
      </c>
      <c r="E1013" s="85" t="s">
        <v>2218</v>
      </c>
      <c r="F1013" s="238" t="s">
        <v>48</v>
      </c>
      <c r="G1013" s="87">
        <v>18</v>
      </c>
      <c r="H1013" s="96" t="s">
        <v>49</v>
      </c>
      <c r="I1013" s="96" t="s">
        <v>2</v>
      </c>
      <c r="J1013" s="86" t="s">
        <v>2373</v>
      </c>
      <c r="M1013" s="307" t="s">
        <v>49</v>
      </c>
    </row>
    <row r="1014" spans="1:13" ht="23.25" hidden="1" customHeight="1" x14ac:dyDescent="0.2">
      <c r="A1014" s="81">
        <v>1016</v>
      </c>
      <c r="B1014" s="283" t="s">
        <v>1813</v>
      </c>
      <c r="C1014" s="288" t="s">
        <v>2288</v>
      </c>
      <c r="D1014" s="286" t="s">
        <v>2343</v>
      </c>
      <c r="E1014" s="85" t="s">
        <v>2219</v>
      </c>
      <c r="F1014" s="238" t="s">
        <v>48</v>
      </c>
      <c r="G1014" s="87">
        <v>18</v>
      </c>
      <c r="H1014" s="96" t="s">
        <v>49</v>
      </c>
      <c r="I1014" s="96" t="s">
        <v>2</v>
      </c>
      <c r="J1014" s="86" t="s">
        <v>2373</v>
      </c>
      <c r="M1014" s="307" t="s">
        <v>49</v>
      </c>
    </row>
    <row r="1015" spans="1:13" ht="23.25" hidden="1" customHeight="1" x14ac:dyDescent="0.2">
      <c r="A1015" s="81">
        <v>1017</v>
      </c>
      <c r="B1015" s="283" t="s">
        <v>1813</v>
      </c>
      <c r="C1015" s="288" t="s">
        <v>2288</v>
      </c>
      <c r="D1015" s="286" t="s">
        <v>2343</v>
      </c>
      <c r="E1015" s="85" t="s">
        <v>2220</v>
      </c>
      <c r="F1015" s="238" t="s">
        <v>48</v>
      </c>
      <c r="G1015" s="87">
        <v>18</v>
      </c>
      <c r="H1015" s="96" t="s">
        <v>49</v>
      </c>
      <c r="I1015" s="96" t="s">
        <v>2</v>
      </c>
      <c r="J1015" s="86" t="s">
        <v>2373</v>
      </c>
      <c r="M1015" s="307" t="s">
        <v>49</v>
      </c>
    </row>
    <row r="1016" spans="1:13" ht="23.25" hidden="1" customHeight="1" x14ac:dyDescent="0.2">
      <c r="A1016" s="81">
        <v>1018</v>
      </c>
      <c r="B1016" s="283" t="s">
        <v>1813</v>
      </c>
      <c r="C1016" s="288" t="s">
        <v>2289</v>
      </c>
      <c r="D1016" s="286" t="s">
        <v>2344</v>
      </c>
      <c r="E1016" s="85" t="s">
        <v>2221</v>
      </c>
      <c r="F1016" s="238" t="s">
        <v>48</v>
      </c>
      <c r="G1016" s="87">
        <v>18</v>
      </c>
      <c r="H1016" s="96" t="s">
        <v>49</v>
      </c>
      <c r="I1016" s="96" t="s">
        <v>2</v>
      </c>
      <c r="J1016" s="86" t="s">
        <v>2221</v>
      </c>
      <c r="M1016" s="307" t="s">
        <v>49</v>
      </c>
    </row>
    <row r="1017" spans="1:13" ht="23.25" hidden="1" customHeight="1" x14ac:dyDescent="0.2">
      <c r="A1017" s="81">
        <v>1019</v>
      </c>
      <c r="B1017" s="283" t="s">
        <v>1813</v>
      </c>
      <c r="C1017" s="288" t="s">
        <v>2290</v>
      </c>
      <c r="D1017" s="286" t="s">
        <v>2222</v>
      </c>
      <c r="E1017" s="85" t="s">
        <v>2222</v>
      </c>
      <c r="F1017" s="238" t="s">
        <v>48</v>
      </c>
      <c r="G1017" s="87">
        <v>18</v>
      </c>
      <c r="H1017" s="96" t="s">
        <v>49</v>
      </c>
      <c r="I1017" s="96" t="s">
        <v>2</v>
      </c>
      <c r="J1017" s="86" t="s">
        <v>2222</v>
      </c>
      <c r="M1017" s="307" t="s">
        <v>49</v>
      </c>
    </row>
    <row r="1018" spans="1:13" ht="23.25" hidden="1" customHeight="1" x14ac:dyDescent="0.2">
      <c r="A1018" s="81">
        <v>1020</v>
      </c>
      <c r="B1018" s="283" t="s">
        <v>1813</v>
      </c>
      <c r="C1018" s="288" t="s">
        <v>2290</v>
      </c>
      <c r="D1018" s="286" t="s">
        <v>2223</v>
      </c>
      <c r="E1018" s="85" t="s">
        <v>2223</v>
      </c>
      <c r="F1018" s="238" t="s">
        <v>48</v>
      </c>
      <c r="G1018" s="87">
        <v>18</v>
      </c>
      <c r="H1018" s="96" t="s">
        <v>49</v>
      </c>
      <c r="I1018" s="96" t="s">
        <v>2</v>
      </c>
      <c r="J1018" s="86" t="s">
        <v>2223</v>
      </c>
      <c r="M1018" s="307" t="s">
        <v>49</v>
      </c>
    </row>
    <row r="1019" spans="1:13" ht="23.25" hidden="1" customHeight="1" x14ac:dyDescent="0.2">
      <c r="A1019" s="81">
        <v>1021</v>
      </c>
      <c r="B1019" s="283" t="s">
        <v>1813</v>
      </c>
      <c r="C1019" s="288" t="s">
        <v>2291</v>
      </c>
      <c r="D1019" s="286" t="s">
        <v>2345</v>
      </c>
      <c r="E1019" s="85" t="s">
        <v>2224</v>
      </c>
      <c r="F1019" s="238" t="s">
        <v>48</v>
      </c>
      <c r="G1019" s="87">
        <v>18</v>
      </c>
      <c r="H1019" s="96" t="s">
        <v>49</v>
      </c>
      <c r="I1019" s="96" t="s">
        <v>2</v>
      </c>
      <c r="J1019" s="86" t="s">
        <v>2374</v>
      </c>
      <c r="M1019" s="307" t="s">
        <v>49</v>
      </c>
    </row>
    <row r="1020" spans="1:13" ht="23.25" hidden="1" customHeight="1" x14ac:dyDescent="0.2">
      <c r="A1020" s="81">
        <v>1022</v>
      </c>
      <c r="B1020" s="283" t="s">
        <v>1813</v>
      </c>
      <c r="C1020" s="288" t="s">
        <v>2291</v>
      </c>
      <c r="D1020" s="286" t="s">
        <v>2345</v>
      </c>
      <c r="E1020" s="85" t="s">
        <v>2225</v>
      </c>
      <c r="F1020" s="238" t="s">
        <v>48</v>
      </c>
      <c r="G1020" s="87">
        <v>18</v>
      </c>
      <c r="H1020" s="96" t="s">
        <v>49</v>
      </c>
      <c r="I1020" s="96" t="s">
        <v>2</v>
      </c>
      <c r="J1020" s="86" t="s">
        <v>2374</v>
      </c>
      <c r="M1020" s="307" t="s">
        <v>49</v>
      </c>
    </row>
    <row r="1021" spans="1:13" ht="23.25" hidden="1" customHeight="1" x14ac:dyDescent="0.2">
      <c r="A1021" s="81">
        <v>1023</v>
      </c>
      <c r="B1021" s="283" t="s">
        <v>1813</v>
      </c>
      <c r="C1021" s="288" t="s">
        <v>2292</v>
      </c>
      <c r="D1021" s="286" t="s">
        <v>2346</v>
      </c>
      <c r="E1021" s="85" t="s">
        <v>2226</v>
      </c>
      <c r="F1021" s="238" t="s">
        <v>48</v>
      </c>
      <c r="G1021" s="87">
        <v>18</v>
      </c>
      <c r="H1021" s="96" t="s">
        <v>49</v>
      </c>
      <c r="I1021" s="96" t="s">
        <v>2</v>
      </c>
      <c r="J1021" s="86" t="s">
        <v>2375</v>
      </c>
      <c r="M1021" s="307" t="s">
        <v>49</v>
      </c>
    </row>
    <row r="1022" spans="1:13" ht="23.25" hidden="1" customHeight="1" x14ac:dyDescent="0.2">
      <c r="A1022" s="81">
        <v>1024</v>
      </c>
      <c r="B1022" s="283" t="s">
        <v>1813</v>
      </c>
      <c r="C1022" s="288" t="s">
        <v>2292</v>
      </c>
      <c r="D1022" s="286" t="s">
        <v>2346</v>
      </c>
      <c r="E1022" s="85" t="s">
        <v>2227</v>
      </c>
      <c r="F1022" s="238" t="s">
        <v>48</v>
      </c>
      <c r="G1022" s="87">
        <v>18</v>
      </c>
      <c r="H1022" s="96" t="s">
        <v>49</v>
      </c>
      <c r="I1022" s="96" t="s">
        <v>2</v>
      </c>
      <c r="J1022" s="86" t="s">
        <v>2375</v>
      </c>
      <c r="M1022" s="307" t="s">
        <v>49</v>
      </c>
    </row>
    <row r="1023" spans="1:13" ht="23.25" hidden="1" customHeight="1" x14ac:dyDescent="0.2">
      <c r="A1023" s="81">
        <v>1025</v>
      </c>
      <c r="B1023" s="283" t="s">
        <v>1813</v>
      </c>
      <c r="C1023" s="288" t="s">
        <v>2293</v>
      </c>
      <c r="D1023" s="286" t="s">
        <v>2347</v>
      </c>
      <c r="E1023" s="85" t="s">
        <v>2228</v>
      </c>
      <c r="F1023" s="238" t="s">
        <v>48</v>
      </c>
      <c r="G1023" s="87">
        <v>18</v>
      </c>
      <c r="H1023" s="96" t="s">
        <v>49</v>
      </c>
      <c r="I1023" s="96" t="s">
        <v>2</v>
      </c>
      <c r="J1023" s="86" t="s">
        <v>2376</v>
      </c>
      <c r="M1023" s="307" t="s">
        <v>49</v>
      </c>
    </row>
    <row r="1024" spans="1:13" ht="23.25" hidden="1" customHeight="1" x14ac:dyDescent="0.2">
      <c r="A1024" s="81">
        <v>1026</v>
      </c>
      <c r="B1024" s="283" t="s">
        <v>1813</v>
      </c>
      <c r="C1024" s="288" t="s">
        <v>2293</v>
      </c>
      <c r="D1024" s="286" t="s">
        <v>2347</v>
      </c>
      <c r="E1024" s="85" t="s">
        <v>2229</v>
      </c>
      <c r="F1024" s="238" t="s">
        <v>48</v>
      </c>
      <c r="G1024" s="87">
        <v>18</v>
      </c>
      <c r="H1024" s="96" t="s">
        <v>49</v>
      </c>
      <c r="I1024" s="96" t="s">
        <v>2</v>
      </c>
      <c r="J1024" s="86" t="s">
        <v>2376</v>
      </c>
      <c r="M1024" s="307" t="s">
        <v>49</v>
      </c>
    </row>
    <row r="1025" spans="1:13" ht="23.25" hidden="1" customHeight="1" x14ac:dyDescent="0.2">
      <c r="A1025" s="81">
        <v>1027</v>
      </c>
      <c r="B1025" s="283" t="s">
        <v>1813</v>
      </c>
      <c r="C1025" s="288" t="s">
        <v>2293</v>
      </c>
      <c r="D1025" s="286" t="s">
        <v>2347</v>
      </c>
      <c r="E1025" s="85" t="s">
        <v>2230</v>
      </c>
      <c r="F1025" s="238" t="s">
        <v>48</v>
      </c>
      <c r="G1025" s="87">
        <v>18</v>
      </c>
      <c r="H1025" s="96" t="s">
        <v>49</v>
      </c>
      <c r="I1025" s="96" t="s">
        <v>2</v>
      </c>
      <c r="J1025" s="86" t="s">
        <v>2376</v>
      </c>
      <c r="M1025" s="307" t="s">
        <v>49</v>
      </c>
    </row>
    <row r="1026" spans="1:13" ht="23.25" hidden="1" customHeight="1" x14ac:dyDescent="0.2">
      <c r="A1026" s="81">
        <v>1028</v>
      </c>
      <c r="B1026" s="283" t="s">
        <v>1813</v>
      </c>
      <c r="C1026" s="288" t="s">
        <v>2294</v>
      </c>
      <c r="D1026" s="286" t="s">
        <v>2348</v>
      </c>
      <c r="E1026" s="85" t="s">
        <v>2231</v>
      </c>
      <c r="F1026" s="238" t="s">
        <v>48</v>
      </c>
      <c r="G1026" s="87">
        <v>18</v>
      </c>
      <c r="H1026" s="96" t="s">
        <v>49</v>
      </c>
      <c r="I1026" s="96" t="s">
        <v>2</v>
      </c>
      <c r="J1026" s="86" t="s">
        <v>2377</v>
      </c>
      <c r="M1026" s="307" t="s">
        <v>49</v>
      </c>
    </row>
    <row r="1027" spans="1:13" ht="23.25" hidden="1" customHeight="1" x14ac:dyDescent="0.2">
      <c r="A1027" s="81">
        <v>1029</v>
      </c>
      <c r="B1027" s="283" t="s">
        <v>1813</v>
      </c>
      <c r="C1027" s="288" t="s">
        <v>2294</v>
      </c>
      <c r="D1027" s="286" t="s">
        <v>2348</v>
      </c>
      <c r="E1027" s="85" t="s">
        <v>2232</v>
      </c>
      <c r="F1027" s="238" t="s">
        <v>48</v>
      </c>
      <c r="G1027" s="87">
        <v>18</v>
      </c>
      <c r="H1027" s="96" t="s">
        <v>49</v>
      </c>
      <c r="I1027" s="96" t="s">
        <v>2</v>
      </c>
      <c r="J1027" s="86" t="s">
        <v>2377</v>
      </c>
      <c r="M1027" s="307" t="s">
        <v>49</v>
      </c>
    </row>
    <row r="1028" spans="1:13" ht="23.25" hidden="1" customHeight="1" x14ac:dyDescent="0.2">
      <c r="A1028" s="81">
        <v>1030</v>
      </c>
      <c r="B1028" s="283" t="s">
        <v>1813</v>
      </c>
      <c r="C1028" s="288" t="s">
        <v>2295</v>
      </c>
      <c r="D1028" s="286" t="s">
        <v>2349</v>
      </c>
      <c r="E1028" s="85" t="s">
        <v>2233</v>
      </c>
      <c r="F1028" s="238" t="s">
        <v>48</v>
      </c>
      <c r="G1028" s="87">
        <v>18</v>
      </c>
      <c r="H1028" s="96" t="s">
        <v>49</v>
      </c>
      <c r="I1028" s="96" t="s">
        <v>2</v>
      </c>
      <c r="J1028" s="86" t="s">
        <v>2378</v>
      </c>
      <c r="M1028" s="307" t="s">
        <v>49</v>
      </c>
    </row>
    <row r="1029" spans="1:13" ht="23.25" hidden="1" customHeight="1" x14ac:dyDescent="0.2">
      <c r="A1029" s="81">
        <v>1031</v>
      </c>
      <c r="B1029" s="283" t="s">
        <v>1813</v>
      </c>
      <c r="C1029" s="288" t="s">
        <v>2295</v>
      </c>
      <c r="D1029" s="286" t="s">
        <v>2349</v>
      </c>
      <c r="E1029" s="85" t="s">
        <v>2234</v>
      </c>
      <c r="F1029" s="238" t="s">
        <v>48</v>
      </c>
      <c r="G1029" s="87">
        <v>18</v>
      </c>
      <c r="H1029" s="96" t="s">
        <v>49</v>
      </c>
      <c r="I1029" s="96" t="s">
        <v>2</v>
      </c>
      <c r="J1029" s="86" t="s">
        <v>2378</v>
      </c>
      <c r="M1029" s="307" t="s">
        <v>49</v>
      </c>
    </row>
    <row r="1030" spans="1:13" ht="23.25" hidden="1" customHeight="1" x14ac:dyDescent="0.2">
      <c r="A1030" s="81">
        <v>1032</v>
      </c>
      <c r="B1030" s="283" t="s">
        <v>1813</v>
      </c>
      <c r="C1030" s="288" t="s">
        <v>2295</v>
      </c>
      <c r="D1030" s="286" t="s">
        <v>2349</v>
      </c>
      <c r="E1030" s="85" t="s">
        <v>2235</v>
      </c>
      <c r="F1030" s="238" t="s">
        <v>48</v>
      </c>
      <c r="G1030" s="87">
        <v>18</v>
      </c>
      <c r="H1030" s="96" t="s">
        <v>49</v>
      </c>
      <c r="I1030" s="96" t="s">
        <v>2</v>
      </c>
      <c r="J1030" s="86" t="s">
        <v>2378</v>
      </c>
      <c r="M1030" s="307" t="s">
        <v>49</v>
      </c>
    </row>
    <row r="1031" spans="1:13" ht="23.25" hidden="1" customHeight="1" x14ac:dyDescent="0.2">
      <c r="A1031" s="81">
        <v>1033</v>
      </c>
      <c r="B1031" s="283" t="s">
        <v>1813</v>
      </c>
      <c r="C1031" s="288" t="s">
        <v>2296</v>
      </c>
      <c r="D1031" s="285" t="s">
        <v>2236</v>
      </c>
      <c r="E1031" s="85" t="s">
        <v>2236</v>
      </c>
      <c r="F1031" s="238" t="s">
        <v>48</v>
      </c>
      <c r="G1031" s="87">
        <v>18</v>
      </c>
      <c r="H1031" s="96" t="s">
        <v>49</v>
      </c>
      <c r="I1031" s="96" t="s">
        <v>2</v>
      </c>
      <c r="J1031" s="86" t="s">
        <v>2236</v>
      </c>
      <c r="M1031" s="307" t="s">
        <v>49</v>
      </c>
    </row>
    <row r="1032" spans="1:13" ht="23.25" hidden="1" customHeight="1" x14ac:dyDescent="0.2">
      <c r="A1032" s="81">
        <v>1034</v>
      </c>
      <c r="B1032" s="283" t="s">
        <v>1813</v>
      </c>
      <c r="C1032" s="289" t="s">
        <v>2297</v>
      </c>
      <c r="D1032" s="306" t="s">
        <v>2393</v>
      </c>
      <c r="E1032" s="85" t="s">
        <v>2237</v>
      </c>
      <c r="F1032" s="238" t="s">
        <v>48</v>
      </c>
      <c r="G1032" s="87">
        <v>18</v>
      </c>
      <c r="H1032" s="96" t="s">
        <v>49</v>
      </c>
      <c r="I1032" s="96" t="s">
        <v>2</v>
      </c>
      <c r="J1032" s="86" t="s">
        <v>2397</v>
      </c>
      <c r="M1032" s="307" t="s">
        <v>49</v>
      </c>
    </row>
    <row r="1033" spans="1:13" ht="23.25" hidden="1" customHeight="1" x14ac:dyDescent="0.2">
      <c r="A1033" s="81">
        <v>1035</v>
      </c>
      <c r="B1033" s="283" t="s">
        <v>1813</v>
      </c>
      <c r="C1033" s="288" t="s">
        <v>2297</v>
      </c>
      <c r="D1033" s="306" t="s">
        <v>2393</v>
      </c>
      <c r="E1033" s="85" t="s">
        <v>2238</v>
      </c>
      <c r="F1033" s="238" t="s">
        <v>48</v>
      </c>
      <c r="G1033" s="87">
        <v>18</v>
      </c>
      <c r="H1033" s="96" t="s">
        <v>49</v>
      </c>
      <c r="I1033" s="96" t="s">
        <v>2</v>
      </c>
      <c r="J1033" s="86" t="s">
        <v>2397</v>
      </c>
      <c r="M1033" s="307" t="s">
        <v>49</v>
      </c>
    </row>
    <row r="1034" spans="1:13" ht="23.25" hidden="1" customHeight="1" x14ac:dyDescent="0.2">
      <c r="A1034" s="81">
        <v>1036</v>
      </c>
      <c r="B1034" s="283" t="s">
        <v>1813</v>
      </c>
      <c r="C1034" s="288" t="s">
        <v>2298</v>
      </c>
      <c r="D1034" s="286" t="s">
        <v>2239</v>
      </c>
      <c r="E1034" s="85" t="s">
        <v>2239</v>
      </c>
      <c r="F1034" s="238" t="s">
        <v>48</v>
      </c>
      <c r="G1034" s="87">
        <v>18</v>
      </c>
      <c r="H1034" s="96" t="s">
        <v>49</v>
      </c>
      <c r="I1034" s="96" t="s">
        <v>2</v>
      </c>
      <c r="J1034" s="86" t="s">
        <v>2239</v>
      </c>
      <c r="M1034" s="307" t="s">
        <v>49</v>
      </c>
    </row>
    <row r="1035" spans="1:13" ht="23.25" hidden="1" customHeight="1" x14ac:dyDescent="0.2">
      <c r="A1035" s="81">
        <v>1037</v>
      </c>
      <c r="B1035" s="283" t="s">
        <v>1813</v>
      </c>
      <c r="C1035" s="289" t="s">
        <v>2314</v>
      </c>
      <c r="D1035" s="306" t="s">
        <v>2394</v>
      </c>
      <c r="E1035" s="287" t="s">
        <v>2240</v>
      </c>
      <c r="F1035" s="238" t="s">
        <v>48</v>
      </c>
      <c r="G1035" s="87">
        <v>18</v>
      </c>
      <c r="H1035" s="96" t="s">
        <v>49</v>
      </c>
      <c r="I1035" s="96" t="s">
        <v>2</v>
      </c>
      <c r="J1035" s="86" t="s">
        <v>2240</v>
      </c>
      <c r="M1035" s="307" t="s">
        <v>49</v>
      </c>
    </row>
    <row r="1036" spans="1:13" ht="23.25" hidden="1" customHeight="1" x14ac:dyDescent="0.2">
      <c r="A1036" s="81">
        <v>1038</v>
      </c>
      <c r="B1036" s="283" t="s">
        <v>1813</v>
      </c>
      <c r="C1036" s="288" t="s">
        <v>2299</v>
      </c>
      <c r="D1036" s="306" t="s">
        <v>2395</v>
      </c>
      <c r="E1036" s="85" t="s">
        <v>2241</v>
      </c>
      <c r="F1036" s="238" t="s">
        <v>48</v>
      </c>
      <c r="G1036" s="87">
        <v>18</v>
      </c>
      <c r="H1036" s="96" t="s">
        <v>49</v>
      </c>
      <c r="I1036" s="96" t="s">
        <v>2</v>
      </c>
      <c r="J1036" s="86" t="s">
        <v>2398</v>
      </c>
      <c r="M1036" s="307" t="s">
        <v>49</v>
      </c>
    </row>
    <row r="1037" spans="1:13" ht="23.25" hidden="1" customHeight="1" x14ac:dyDescent="0.2">
      <c r="A1037" s="81">
        <v>1039</v>
      </c>
      <c r="B1037" s="283" t="s">
        <v>1813</v>
      </c>
      <c r="C1037" s="288" t="s">
        <v>2299</v>
      </c>
      <c r="D1037" s="306" t="s">
        <v>2395</v>
      </c>
      <c r="E1037" s="85" t="s">
        <v>2242</v>
      </c>
      <c r="F1037" s="238" t="s">
        <v>48</v>
      </c>
      <c r="G1037" s="87">
        <v>18</v>
      </c>
      <c r="H1037" s="96" t="s">
        <v>49</v>
      </c>
      <c r="I1037" s="96" t="s">
        <v>2</v>
      </c>
      <c r="J1037" s="86" t="s">
        <v>2398</v>
      </c>
      <c r="M1037" s="307" t="s">
        <v>49</v>
      </c>
    </row>
    <row r="1038" spans="1:13" ht="23.25" hidden="1" customHeight="1" x14ac:dyDescent="0.2">
      <c r="A1038" s="81">
        <v>1040</v>
      </c>
      <c r="B1038" s="283" t="s">
        <v>1813</v>
      </c>
      <c r="C1038" s="288" t="s">
        <v>2300</v>
      </c>
      <c r="D1038" s="306" t="s">
        <v>2396</v>
      </c>
      <c r="E1038" s="85" t="s">
        <v>2243</v>
      </c>
      <c r="F1038" s="238" t="s">
        <v>48</v>
      </c>
      <c r="G1038" s="87">
        <v>18</v>
      </c>
      <c r="H1038" s="96" t="s">
        <v>49</v>
      </c>
      <c r="I1038" s="96" t="s">
        <v>2</v>
      </c>
      <c r="J1038" s="86" t="s">
        <v>2399</v>
      </c>
      <c r="M1038" s="307" t="s">
        <v>49</v>
      </c>
    </row>
    <row r="1039" spans="1:13" ht="23.25" hidden="1" customHeight="1" x14ac:dyDescent="0.2">
      <c r="A1039" s="81">
        <v>1041</v>
      </c>
      <c r="B1039" s="283" t="s">
        <v>1813</v>
      </c>
      <c r="C1039" s="288" t="s">
        <v>2300</v>
      </c>
      <c r="D1039" s="306" t="s">
        <v>2396</v>
      </c>
      <c r="E1039" s="85" t="s">
        <v>2244</v>
      </c>
      <c r="F1039" s="238" t="s">
        <v>48</v>
      </c>
      <c r="G1039" s="87">
        <v>18</v>
      </c>
      <c r="H1039" s="96" t="s">
        <v>49</v>
      </c>
      <c r="I1039" s="96" t="s">
        <v>2</v>
      </c>
      <c r="J1039" s="86" t="s">
        <v>2399</v>
      </c>
      <c r="M1039" s="307" t="s">
        <v>49</v>
      </c>
    </row>
    <row r="1040" spans="1:13" ht="23.25" hidden="1" customHeight="1" x14ac:dyDescent="0.2">
      <c r="A1040" s="81">
        <v>1042</v>
      </c>
      <c r="B1040" s="283" t="s">
        <v>1813</v>
      </c>
      <c r="C1040" s="288" t="s">
        <v>2301</v>
      </c>
      <c r="D1040" s="285" t="s">
        <v>2350</v>
      </c>
      <c r="E1040" s="85" t="s">
        <v>2245</v>
      </c>
      <c r="F1040" s="238" t="s">
        <v>48</v>
      </c>
      <c r="G1040" s="87">
        <v>18</v>
      </c>
      <c r="H1040" s="96" t="s">
        <v>49</v>
      </c>
      <c r="I1040" s="96" t="s">
        <v>2</v>
      </c>
      <c r="J1040" s="86" t="s">
        <v>2379</v>
      </c>
      <c r="M1040" s="307" t="s">
        <v>49</v>
      </c>
    </row>
    <row r="1041" spans="1:13" ht="23.25" hidden="1" customHeight="1" x14ac:dyDescent="0.2">
      <c r="A1041" s="81">
        <v>1043</v>
      </c>
      <c r="B1041" s="283" t="s">
        <v>1813</v>
      </c>
      <c r="C1041" s="288" t="s">
        <v>2301</v>
      </c>
      <c r="D1041" s="285" t="s">
        <v>2350</v>
      </c>
      <c r="E1041" s="85" t="s">
        <v>2246</v>
      </c>
      <c r="F1041" s="238" t="s">
        <v>48</v>
      </c>
      <c r="G1041" s="87">
        <v>18</v>
      </c>
      <c r="H1041" s="96" t="s">
        <v>49</v>
      </c>
      <c r="I1041" s="96" t="s">
        <v>2</v>
      </c>
      <c r="J1041" s="86" t="s">
        <v>2379</v>
      </c>
      <c r="M1041" s="307" t="s">
        <v>49</v>
      </c>
    </row>
    <row r="1042" spans="1:13" ht="23.25" hidden="1" customHeight="1" x14ac:dyDescent="0.2">
      <c r="A1042" s="81">
        <v>1044</v>
      </c>
      <c r="B1042" s="283" t="s">
        <v>1813</v>
      </c>
      <c r="C1042" s="288" t="s">
        <v>2301</v>
      </c>
      <c r="D1042" s="285" t="s">
        <v>2350</v>
      </c>
      <c r="E1042" s="85" t="s">
        <v>2247</v>
      </c>
      <c r="F1042" s="238" t="s">
        <v>48</v>
      </c>
      <c r="G1042" s="87">
        <v>18</v>
      </c>
      <c r="H1042" s="96" t="s">
        <v>49</v>
      </c>
      <c r="I1042" s="96" t="s">
        <v>2</v>
      </c>
      <c r="J1042" s="86" t="s">
        <v>2379</v>
      </c>
      <c r="M1042" s="307" t="s">
        <v>49</v>
      </c>
    </row>
    <row r="1043" spans="1:13" ht="23.25" hidden="1" customHeight="1" x14ac:dyDescent="0.2">
      <c r="A1043" s="81">
        <v>1045</v>
      </c>
      <c r="B1043" s="283" t="s">
        <v>1813</v>
      </c>
      <c r="C1043" s="288" t="s">
        <v>2302</v>
      </c>
      <c r="D1043" s="285" t="s">
        <v>2351</v>
      </c>
      <c r="E1043" s="85" t="s">
        <v>2248</v>
      </c>
      <c r="F1043" s="238" t="s">
        <v>48</v>
      </c>
      <c r="G1043" s="87">
        <v>18</v>
      </c>
      <c r="H1043" s="96" t="s">
        <v>49</v>
      </c>
      <c r="I1043" s="96" t="s">
        <v>2</v>
      </c>
      <c r="J1043" s="86" t="s">
        <v>2380</v>
      </c>
      <c r="M1043" s="307" t="s">
        <v>49</v>
      </c>
    </row>
    <row r="1044" spans="1:13" ht="23.25" hidden="1" customHeight="1" x14ac:dyDescent="0.2">
      <c r="A1044" s="81">
        <v>1046</v>
      </c>
      <c r="B1044" s="283" t="s">
        <v>1813</v>
      </c>
      <c r="C1044" s="288" t="s">
        <v>2303</v>
      </c>
      <c r="D1044" s="285" t="s">
        <v>2351</v>
      </c>
      <c r="E1044" s="85" t="s">
        <v>2249</v>
      </c>
      <c r="F1044" s="238" t="s">
        <v>48</v>
      </c>
      <c r="G1044" s="87">
        <v>18</v>
      </c>
      <c r="H1044" s="96" t="s">
        <v>49</v>
      </c>
      <c r="I1044" s="96" t="s">
        <v>2</v>
      </c>
      <c r="J1044" s="86" t="s">
        <v>2380</v>
      </c>
      <c r="M1044" s="307" t="s">
        <v>49</v>
      </c>
    </row>
    <row r="1045" spans="1:13" ht="23.25" hidden="1" customHeight="1" x14ac:dyDescent="0.2">
      <c r="A1045" s="81">
        <v>1047</v>
      </c>
      <c r="B1045" s="283" t="s">
        <v>1813</v>
      </c>
      <c r="C1045" s="288" t="s">
        <v>2304</v>
      </c>
      <c r="D1045" s="285" t="s">
        <v>2351</v>
      </c>
      <c r="E1045" s="85" t="s">
        <v>2250</v>
      </c>
      <c r="F1045" s="238" t="s">
        <v>48</v>
      </c>
      <c r="G1045" s="87">
        <v>18</v>
      </c>
      <c r="H1045" s="96" t="s">
        <v>49</v>
      </c>
      <c r="I1045" s="96" t="s">
        <v>2</v>
      </c>
      <c r="J1045" s="86" t="s">
        <v>2380</v>
      </c>
      <c r="M1045" s="307" t="s">
        <v>49</v>
      </c>
    </row>
    <row r="1046" spans="1:13" ht="23.25" hidden="1" customHeight="1" x14ac:dyDescent="0.2">
      <c r="A1046" s="81">
        <v>1048</v>
      </c>
      <c r="B1046" s="283" t="s">
        <v>1813</v>
      </c>
      <c r="C1046" s="288" t="s">
        <v>2305</v>
      </c>
      <c r="D1046" s="293" t="s">
        <v>2352</v>
      </c>
      <c r="E1046" s="85" t="s">
        <v>2251</v>
      </c>
      <c r="F1046" s="238" t="s">
        <v>48</v>
      </c>
      <c r="G1046" s="87">
        <v>18</v>
      </c>
      <c r="H1046" s="96" t="s">
        <v>49</v>
      </c>
      <c r="I1046" s="96" t="s">
        <v>2</v>
      </c>
      <c r="J1046" s="86" t="s">
        <v>2381</v>
      </c>
      <c r="M1046" s="307" t="s">
        <v>49</v>
      </c>
    </row>
    <row r="1047" spans="1:13" ht="23.25" hidden="1" customHeight="1" x14ac:dyDescent="0.2">
      <c r="A1047" s="81">
        <v>1049</v>
      </c>
      <c r="B1047" s="283" t="s">
        <v>1813</v>
      </c>
      <c r="C1047" s="288" t="s">
        <v>2305</v>
      </c>
      <c r="D1047" s="293" t="s">
        <v>2352</v>
      </c>
      <c r="E1047" s="85" t="s">
        <v>2252</v>
      </c>
      <c r="F1047" s="238" t="s">
        <v>48</v>
      </c>
      <c r="G1047" s="87">
        <v>18</v>
      </c>
      <c r="H1047" s="96" t="s">
        <v>49</v>
      </c>
      <c r="I1047" s="96" t="s">
        <v>2</v>
      </c>
      <c r="J1047" s="86" t="s">
        <v>2381</v>
      </c>
      <c r="M1047" s="307" t="s">
        <v>49</v>
      </c>
    </row>
    <row r="1048" spans="1:13" ht="23.25" hidden="1" customHeight="1" x14ac:dyDescent="0.2">
      <c r="A1048" s="81">
        <v>1050</v>
      </c>
      <c r="B1048" s="283" t="s">
        <v>1813</v>
      </c>
      <c r="C1048" s="288" t="s">
        <v>2306</v>
      </c>
      <c r="D1048" s="293" t="s">
        <v>2353</v>
      </c>
      <c r="E1048" s="85" t="s">
        <v>2253</v>
      </c>
      <c r="F1048" s="238" t="s">
        <v>48</v>
      </c>
      <c r="G1048" s="87">
        <v>18</v>
      </c>
      <c r="H1048" s="96" t="s">
        <v>49</v>
      </c>
      <c r="I1048" s="96" t="s">
        <v>2</v>
      </c>
      <c r="J1048" s="86" t="s">
        <v>2382</v>
      </c>
      <c r="M1048" s="307" t="s">
        <v>49</v>
      </c>
    </row>
    <row r="1049" spans="1:13" ht="23.25" hidden="1" customHeight="1" x14ac:dyDescent="0.2">
      <c r="A1049" s="81">
        <v>1051</v>
      </c>
      <c r="B1049" s="283" t="s">
        <v>1813</v>
      </c>
      <c r="C1049" s="288" t="s">
        <v>2306</v>
      </c>
      <c r="D1049" s="293" t="s">
        <v>2353</v>
      </c>
      <c r="E1049" s="85" t="s">
        <v>2254</v>
      </c>
      <c r="F1049" s="238" t="s">
        <v>48</v>
      </c>
      <c r="G1049" s="87">
        <v>18</v>
      </c>
      <c r="H1049" s="96" t="s">
        <v>49</v>
      </c>
      <c r="I1049" s="96" t="s">
        <v>2</v>
      </c>
      <c r="J1049" s="86" t="s">
        <v>2382</v>
      </c>
      <c r="M1049" s="307" t="s">
        <v>49</v>
      </c>
    </row>
    <row r="1050" spans="1:13" ht="23.25" hidden="1" customHeight="1" x14ac:dyDescent="0.2">
      <c r="A1050" s="81">
        <v>1052</v>
      </c>
      <c r="B1050" s="283" t="s">
        <v>1813</v>
      </c>
      <c r="C1050" s="288" t="s">
        <v>2307</v>
      </c>
      <c r="D1050" s="293" t="s">
        <v>2354</v>
      </c>
      <c r="E1050" s="85" t="s">
        <v>2255</v>
      </c>
      <c r="F1050" s="238" t="s">
        <v>48</v>
      </c>
      <c r="G1050" s="87">
        <v>18</v>
      </c>
      <c r="H1050" s="96" t="s">
        <v>49</v>
      </c>
      <c r="I1050" s="96" t="s">
        <v>2</v>
      </c>
      <c r="J1050" s="86" t="s">
        <v>2383</v>
      </c>
      <c r="M1050" s="307" t="s">
        <v>49</v>
      </c>
    </row>
    <row r="1051" spans="1:13" ht="23.25" hidden="1" customHeight="1" x14ac:dyDescent="0.2">
      <c r="A1051" s="81">
        <v>1053</v>
      </c>
      <c r="B1051" s="283" t="s">
        <v>1813</v>
      </c>
      <c r="C1051" s="288" t="s">
        <v>2307</v>
      </c>
      <c r="D1051" s="293" t="s">
        <v>2354</v>
      </c>
      <c r="E1051" s="85" t="s">
        <v>2256</v>
      </c>
      <c r="F1051" s="238" t="s">
        <v>48</v>
      </c>
      <c r="G1051" s="87">
        <v>18</v>
      </c>
      <c r="H1051" s="96" t="s">
        <v>49</v>
      </c>
      <c r="I1051" s="96" t="s">
        <v>2</v>
      </c>
      <c r="J1051" s="86" t="s">
        <v>2383</v>
      </c>
      <c r="M1051" s="307" t="s">
        <v>49</v>
      </c>
    </row>
    <row r="1052" spans="1:13" ht="23.25" hidden="1" customHeight="1" x14ac:dyDescent="0.2">
      <c r="A1052" s="81">
        <v>1054</v>
      </c>
      <c r="B1052" s="283" t="s">
        <v>1813</v>
      </c>
      <c r="C1052" s="288" t="s">
        <v>2307</v>
      </c>
      <c r="D1052" s="293" t="s">
        <v>2354</v>
      </c>
      <c r="E1052" s="85" t="s">
        <v>2257</v>
      </c>
      <c r="F1052" s="238" t="s">
        <v>48</v>
      </c>
      <c r="G1052" s="87">
        <v>18</v>
      </c>
      <c r="H1052" s="96" t="s">
        <v>49</v>
      </c>
      <c r="I1052" s="96" t="s">
        <v>2</v>
      </c>
      <c r="J1052" s="86" t="s">
        <v>2383</v>
      </c>
      <c r="M1052" s="307" t="s">
        <v>49</v>
      </c>
    </row>
    <row r="1053" spans="1:13" ht="23.25" hidden="1" customHeight="1" x14ac:dyDescent="0.2">
      <c r="A1053" s="81">
        <v>1055</v>
      </c>
      <c r="B1053" s="283" t="s">
        <v>1813</v>
      </c>
      <c r="C1053" s="288" t="s">
        <v>2308</v>
      </c>
      <c r="D1053" s="285" t="s">
        <v>2355</v>
      </c>
      <c r="E1053" s="85" t="s">
        <v>2258</v>
      </c>
      <c r="F1053" s="238" t="s">
        <v>48</v>
      </c>
      <c r="G1053" s="87">
        <v>18</v>
      </c>
      <c r="H1053" s="96" t="s">
        <v>49</v>
      </c>
      <c r="I1053" s="96" t="s">
        <v>2</v>
      </c>
      <c r="J1053" s="86" t="s">
        <v>2384</v>
      </c>
      <c r="M1053" s="307" t="s">
        <v>49</v>
      </c>
    </row>
    <row r="1054" spans="1:13" ht="23.25" hidden="1" customHeight="1" x14ac:dyDescent="0.2">
      <c r="A1054" s="81">
        <v>1056</v>
      </c>
      <c r="B1054" s="283" t="s">
        <v>1813</v>
      </c>
      <c r="C1054" s="288" t="s">
        <v>2308</v>
      </c>
      <c r="D1054" s="285" t="s">
        <v>2355</v>
      </c>
      <c r="E1054" s="85" t="s">
        <v>2259</v>
      </c>
      <c r="F1054" s="238" t="s">
        <v>48</v>
      </c>
      <c r="G1054" s="87">
        <v>18</v>
      </c>
      <c r="H1054" s="96" t="s">
        <v>49</v>
      </c>
      <c r="I1054" s="96" t="s">
        <v>2</v>
      </c>
      <c r="J1054" s="86" t="s">
        <v>2384</v>
      </c>
      <c r="M1054" s="307" t="s">
        <v>49</v>
      </c>
    </row>
    <row r="1055" spans="1:13" ht="23.25" hidden="1" customHeight="1" x14ac:dyDescent="0.2">
      <c r="A1055" s="81">
        <v>1057</v>
      </c>
      <c r="B1055" s="283" t="s">
        <v>1813</v>
      </c>
      <c r="C1055" s="288" t="s">
        <v>2309</v>
      </c>
      <c r="D1055" s="285" t="s">
        <v>2355</v>
      </c>
      <c r="E1055" s="85" t="s">
        <v>2260</v>
      </c>
      <c r="F1055" s="238" t="s">
        <v>48</v>
      </c>
      <c r="G1055" s="87">
        <v>18</v>
      </c>
      <c r="H1055" s="96" t="s">
        <v>49</v>
      </c>
      <c r="I1055" s="96" t="s">
        <v>2</v>
      </c>
      <c r="J1055" s="86" t="s">
        <v>2384</v>
      </c>
      <c r="M1055" s="307" t="s">
        <v>49</v>
      </c>
    </row>
    <row r="1056" spans="1:13" ht="23.25" hidden="1" customHeight="1" x14ac:dyDescent="0.2">
      <c r="A1056" s="81">
        <v>1058</v>
      </c>
      <c r="B1056" s="283" t="s">
        <v>1813</v>
      </c>
      <c r="C1056" s="288" t="s">
        <v>2309</v>
      </c>
      <c r="D1056" s="285" t="s">
        <v>2355</v>
      </c>
      <c r="E1056" s="85" t="s">
        <v>2261</v>
      </c>
      <c r="F1056" s="238" t="s">
        <v>48</v>
      </c>
      <c r="G1056" s="87">
        <v>18</v>
      </c>
      <c r="H1056" s="96" t="s">
        <v>49</v>
      </c>
      <c r="I1056" s="96" t="s">
        <v>2</v>
      </c>
      <c r="J1056" s="86" t="s">
        <v>2384</v>
      </c>
      <c r="M1056" s="307" t="s">
        <v>49</v>
      </c>
    </row>
    <row r="1057" spans="1:13" ht="23.25" hidden="1" customHeight="1" x14ac:dyDescent="0.2">
      <c r="A1057" s="81">
        <v>1059</v>
      </c>
      <c r="B1057" s="283" t="s">
        <v>1813</v>
      </c>
      <c r="C1057" s="288" t="s">
        <v>2309</v>
      </c>
      <c r="D1057" s="285" t="s">
        <v>2355</v>
      </c>
      <c r="E1057" s="85" t="s">
        <v>2262</v>
      </c>
      <c r="F1057" s="238" t="s">
        <v>48</v>
      </c>
      <c r="G1057" s="87">
        <v>18</v>
      </c>
      <c r="H1057" s="96" t="s">
        <v>49</v>
      </c>
      <c r="I1057" s="96" t="s">
        <v>2</v>
      </c>
      <c r="J1057" s="86" t="s">
        <v>2384</v>
      </c>
      <c r="M1057" s="307" t="s">
        <v>49</v>
      </c>
    </row>
    <row r="1058" spans="1:13" ht="23.25" hidden="1" customHeight="1" x14ac:dyDescent="0.2">
      <c r="A1058" s="81">
        <v>1060</v>
      </c>
      <c r="B1058" s="283" t="s">
        <v>1813</v>
      </c>
      <c r="C1058" s="288" t="s">
        <v>2310</v>
      </c>
      <c r="D1058" s="285" t="s">
        <v>2351</v>
      </c>
      <c r="E1058" s="85" t="s">
        <v>2263</v>
      </c>
      <c r="F1058" s="238" t="s">
        <v>48</v>
      </c>
      <c r="G1058" s="87">
        <v>18</v>
      </c>
      <c r="H1058" s="96" t="s">
        <v>49</v>
      </c>
      <c r="I1058" s="96" t="s">
        <v>2</v>
      </c>
      <c r="J1058" s="86" t="s">
        <v>2380</v>
      </c>
      <c r="M1058" s="307" t="s">
        <v>49</v>
      </c>
    </row>
    <row r="1059" spans="1:13" ht="409.5" hidden="1" x14ac:dyDescent="0.2">
      <c r="E1059" s="85" t="s">
        <v>2391</v>
      </c>
      <c r="J1059" s="86" t="s">
        <v>2400</v>
      </c>
    </row>
    <row r="1060" spans="1:13" ht="409.5" hidden="1" x14ac:dyDescent="0.2">
      <c r="E1060" s="85" t="s">
        <v>2392</v>
      </c>
      <c r="J1060" s="86" t="s">
        <v>2400</v>
      </c>
    </row>
  </sheetData>
  <autoFilter ref="A1:M1060">
    <filterColumn colId="7">
      <filters>
        <filter val="Failed"/>
      </filters>
    </filterColumn>
  </autoFilter>
  <conditionalFormatting sqref="F201:F254 F316:F343 F2:F164 F561:F614 F800:F891">
    <cfRule type="cellIs" dxfId="1762" priority="5805" operator="equal">
      <formula>"In-Progress"</formula>
    </cfRule>
    <cfRule type="cellIs" dxfId="1761" priority="5806" operator="equal">
      <formula>"Automated"</formula>
    </cfRule>
    <cfRule type="cellIs" dxfId="1760" priority="5807" operator="equal">
      <formula>"Not Automated"</formula>
    </cfRule>
  </conditionalFormatting>
  <conditionalFormatting sqref="E13">
    <cfRule type="duplicateValues" dxfId="1759" priority="5803"/>
  </conditionalFormatting>
  <conditionalFormatting sqref="E14">
    <cfRule type="duplicateValues" dxfId="1758" priority="5802"/>
  </conditionalFormatting>
  <conditionalFormatting sqref="E15">
    <cfRule type="duplicateValues" dxfId="1757" priority="5801"/>
  </conditionalFormatting>
  <conditionalFormatting sqref="E16">
    <cfRule type="duplicateValues" dxfId="1756" priority="5800"/>
  </conditionalFormatting>
  <conditionalFormatting sqref="E12">
    <cfRule type="duplicateValues" dxfId="1755" priority="5799"/>
  </conditionalFormatting>
  <conditionalFormatting sqref="E88">
    <cfRule type="duplicateValues" dxfId="1754" priority="5798"/>
  </conditionalFormatting>
  <conditionalFormatting sqref="D160">
    <cfRule type="duplicateValues" dxfId="1753" priority="5797"/>
  </conditionalFormatting>
  <conditionalFormatting sqref="H2:H11 H262:H263 H273 H275:H276 H279 H281:H286 H294:H299 H301:H303 H306:H354 H390:H391 H394:H395 H406:H416 H418 H420 H422 H429:H434 H437:H453 H455:H462 H466:H548 H551:H554 H559:H572 H580:H582 H588:H710 H713:H714 H717:H727 H810:H857 H20:H65 H131:H255 H67:H89 H91:H129 H356:H386">
    <cfRule type="cellIs" dxfId="1752" priority="5792" operator="equal">
      <formula>"Unexecuted"</formula>
    </cfRule>
    <cfRule type="cellIs" dxfId="1751" priority="5793" operator="equal">
      <formula>"Blocked"</formula>
    </cfRule>
    <cfRule type="cellIs" dxfId="1750" priority="5794" operator="equal">
      <formula>"Passed"</formula>
    </cfRule>
    <cfRule type="cellIs" dxfId="1749" priority="5795" operator="equal">
      <formula>"Failed"</formula>
    </cfRule>
  </conditionalFormatting>
  <conditionalFormatting sqref="I1:J1 I201:J201 J202:J254 I256:J256 J257:J313 I202:I325 I316:L343 L466 J467:L560 I561:L665 I2:I160 K198:L254 J344:L465 L255 I800:I891 K256:L313">
    <cfRule type="cellIs" dxfId="1748" priority="5785" operator="equal">
      <formula>"Regression"</formula>
    </cfRule>
    <cfRule type="cellIs" dxfId="1747" priority="5789" operator="equal">
      <formula>"In-Sprint"</formula>
    </cfRule>
    <cfRule type="cellIs" dxfId="1746" priority="5790" operator="equal">
      <formula>"Regression"</formula>
    </cfRule>
    <cfRule type="cellIs" dxfId="1745" priority="5791" operator="equal">
      <formula>"Regression"</formula>
    </cfRule>
  </conditionalFormatting>
  <conditionalFormatting sqref="D1:H1">
    <cfRule type="cellIs" dxfId="1744" priority="5786" operator="equal">
      <formula>"In-Sprint"</formula>
    </cfRule>
    <cfRule type="cellIs" dxfId="1743" priority="5787" operator="equal">
      <formula>"Regression"</formula>
    </cfRule>
    <cfRule type="cellIs" dxfId="1742" priority="5788" operator="equal">
      <formula>"Regression"</formula>
    </cfRule>
  </conditionalFormatting>
  <conditionalFormatting sqref="E161">
    <cfRule type="duplicateValues" dxfId="1741" priority="5784"/>
  </conditionalFormatting>
  <conditionalFormatting sqref="I161">
    <cfRule type="cellIs" dxfId="1740" priority="5780" operator="equal">
      <formula>"Regression"</formula>
    </cfRule>
    <cfRule type="cellIs" dxfId="1739" priority="5781" operator="equal">
      <formula>"In-Sprint"</formula>
    </cfRule>
    <cfRule type="cellIs" dxfId="1738" priority="5782" operator="equal">
      <formula>"Regression"</formula>
    </cfRule>
    <cfRule type="cellIs" dxfId="1737" priority="5783" operator="equal">
      <formula>"Regression"</formula>
    </cfRule>
  </conditionalFormatting>
  <conditionalFormatting sqref="E162">
    <cfRule type="duplicateValues" dxfId="1736" priority="5779"/>
  </conditionalFormatting>
  <conditionalFormatting sqref="I162">
    <cfRule type="cellIs" dxfId="1735" priority="5775" operator="equal">
      <formula>"Regression"</formula>
    </cfRule>
    <cfRule type="cellIs" dxfId="1734" priority="5776" operator="equal">
      <formula>"In-Sprint"</formula>
    </cfRule>
    <cfRule type="cellIs" dxfId="1733" priority="5777" operator="equal">
      <formula>"Regression"</formula>
    </cfRule>
    <cfRule type="cellIs" dxfId="1732" priority="5778" operator="equal">
      <formula>"Regression"</formula>
    </cfRule>
  </conditionalFormatting>
  <conditionalFormatting sqref="E163">
    <cfRule type="duplicateValues" dxfId="1731" priority="5774"/>
  </conditionalFormatting>
  <conditionalFormatting sqref="I163">
    <cfRule type="cellIs" dxfId="1730" priority="5770" operator="equal">
      <formula>"Regression"</formula>
    </cfRule>
    <cfRule type="cellIs" dxfId="1729" priority="5771" operator="equal">
      <formula>"In-Sprint"</formula>
    </cfRule>
    <cfRule type="cellIs" dxfId="1728" priority="5772" operator="equal">
      <formula>"Regression"</formula>
    </cfRule>
    <cfRule type="cellIs" dxfId="1727" priority="5773" operator="equal">
      <formula>"Regression"</formula>
    </cfRule>
  </conditionalFormatting>
  <conditionalFormatting sqref="E164">
    <cfRule type="duplicateValues" dxfId="1726" priority="5769"/>
  </conditionalFormatting>
  <conditionalFormatting sqref="I164">
    <cfRule type="cellIs" dxfId="1725" priority="5765" operator="equal">
      <formula>"Regression"</formula>
    </cfRule>
    <cfRule type="cellIs" dxfId="1724" priority="5766" operator="equal">
      <formula>"In-Sprint"</formula>
    </cfRule>
    <cfRule type="cellIs" dxfId="1723" priority="5767" operator="equal">
      <formula>"Regression"</formula>
    </cfRule>
    <cfRule type="cellIs" dxfId="1722" priority="5768" operator="equal">
      <formula>"Regression"</formula>
    </cfRule>
  </conditionalFormatting>
  <conditionalFormatting sqref="A1:B1">
    <cfRule type="cellIs" dxfId="1721" priority="5762" operator="equal">
      <formula>"In-Sprint"</formula>
    </cfRule>
    <cfRule type="cellIs" dxfId="1720" priority="5763" operator="equal">
      <formula>"Regression"</formula>
    </cfRule>
    <cfRule type="cellIs" dxfId="1719" priority="5764" operator="equal">
      <formula>"Regression"</formula>
    </cfRule>
  </conditionalFormatting>
  <conditionalFormatting sqref="K1:L160">
    <cfRule type="cellIs" dxfId="1718" priority="5756" operator="equal">
      <formula>"Regression"</formula>
    </cfRule>
    <cfRule type="cellIs" dxfId="1717" priority="5757" operator="equal">
      <formula>"In-Sprint"</formula>
    </cfRule>
    <cfRule type="cellIs" dxfId="1716" priority="5758" operator="equal">
      <formula>"Regression"</formula>
    </cfRule>
    <cfRule type="cellIs" dxfId="1715" priority="5759" operator="equal">
      <formula>"Regression"</formula>
    </cfRule>
  </conditionalFormatting>
  <conditionalFormatting sqref="K161:L161">
    <cfRule type="cellIs" dxfId="1714" priority="5752" operator="equal">
      <formula>"Regression"</formula>
    </cfRule>
    <cfRule type="cellIs" dxfId="1713" priority="5753" operator="equal">
      <formula>"In-Sprint"</formula>
    </cfRule>
    <cfRule type="cellIs" dxfId="1712" priority="5754" operator="equal">
      <formula>"Regression"</formula>
    </cfRule>
    <cfRule type="cellIs" dxfId="1711" priority="5755" operator="equal">
      <formula>"Regression"</formula>
    </cfRule>
  </conditionalFormatting>
  <conditionalFormatting sqref="K162:L162">
    <cfRule type="cellIs" dxfId="1710" priority="5748" operator="equal">
      <formula>"Regression"</formula>
    </cfRule>
    <cfRule type="cellIs" dxfId="1709" priority="5749" operator="equal">
      <formula>"In-Sprint"</formula>
    </cfRule>
    <cfRule type="cellIs" dxfId="1708" priority="5750" operator="equal">
      <formula>"Regression"</formula>
    </cfRule>
    <cfRule type="cellIs" dxfId="1707" priority="5751" operator="equal">
      <formula>"Regression"</formula>
    </cfRule>
  </conditionalFormatting>
  <conditionalFormatting sqref="K163:L163">
    <cfRule type="cellIs" dxfId="1706" priority="5744" operator="equal">
      <formula>"Regression"</formula>
    </cfRule>
    <cfRule type="cellIs" dxfId="1705" priority="5745" operator="equal">
      <formula>"In-Sprint"</formula>
    </cfRule>
    <cfRule type="cellIs" dxfId="1704" priority="5746" operator="equal">
      <formula>"Regression"</formula>
    </cfRule>
    <cfRule type="cellIs" dxfId="1703" priority="5747" operator="equal">
      <formula>"Regression"</formula>
    </cfRule>
  </conditionalFormatting>
  <conditionalFormatting sqref="K164:L164">
    <cfRule type="cellIs" dxfId="1702" priority="5740" operator="equal">
      <formula>"Regression"</formula>
    </cfRule>
    <cfRule type="cellIs" dxfId="1701" priority="5741" operator="equal">
      <formula>"In-Sprint"</formula>
    </cfRule>
    <cfRule type="cellIs" dxfId="1700" priority="5742" operator="equal">
      <formula>"Regression"</formula>
    </cfRule>
    <cfRule type="cellIs" dxfId="1699" priority="5743" operator="equal">
      <formula>"Regression"</formula>
    </cfRule>
  </conditionalFormatting>
  <conditionalFormatting sqref="D161:D164">
    <cfRule type="duplicateValues" dxfId="1698" priority="5739"/>
  </conditionalFormatting>
  <conditionalFormatting sqref="J2:J164">
    <cfRule type="cellIs" dxfId="1697" priority="5735" operator="equal">
      <formula>"Regression"</formula>
    </cfRule>
    <cfRule type="cellIs" dxfId="1696" priority="5736" operator="equal">
      <formula>"In-Sprint"</formula>
    </cfRule>
    <cfRule type="cellIs" dxfId="1695" priority="5737" operator="equal">
      <formula>"Regression"</formula>
    </cfRule>
    <cfRule type="cellIs" dxfId="1694" priority="5738" operator="equal">
      <formula>"Regression"</formula>
    </cfRule>
  </conditionalFormatting>
  <conditionalFormatting sqref="E165:E197">
    <cfRule type="duplicateValues" dxfId="1693" priority="5734"/>
  </conditionalFormatting>
  <conditionalFormatting sqref="K165:L197">
    <cfRule type="cellIs" dxfId="1692" priority="5730" operator="equal">
      <formula>"Regression"</formula>
    </cfRule>
    <cfRule type="cellIs" dxfId="1691" priority="5731" operator="equal">
      <formula>"In-Sprint"</formula>
    </cfRule>
    <cfRule type="cellIs" dxfId="1690" priority="5732" operator="equal">
      <formula>"Regression"</formula>
    </cfRule>
    <cfRule type="cellIs" dxfId="1689" priority="5733" operator="equal">
      <formula>"Regression"</formula>
    </cfRule>
  </conditionalFormatting>
  <conditionalFormatting sqref="D183:D197 D165:D169 D173:D174">
    <cfRule type="duplicateValues" dxfId="1688" priority="5729"/>
  </conditionalFormatting>
  <conditionalFormatting sqref="J165:J197">
    <cfRule type="cellIs" dxfId="1687" priority="5725" operator="equal">
      <formula>"Regression"</formula>
    </cfRule>
    <cfRule type="cellIs" dxfId="1686" priority="5726" operator="equal">
      <formula>"In-Sprint"</formula>
    </cfRule>
    <cfRule type="cellIs" dxfId="1685" priority="5727" operator="equal">
      <formula>"Regression"</formula>
    </cfRule>
    <cfRule type="cellIs" dxfId="1684" priority="5728" operator="equal">
      <formula>"Regression"</formula>
    </cfRule>
  </conditionalFormatting>
  <conditionalFormatting sqref="F165:F197">
    <cfRule type="cellIs" dxfId="1683" priority="5722" operator="equal">
      <formula>"In-Progress"</formula>
    </cfRule>
    <cfRule type="cellIs" dxfId="1682" priority="5723" operator="equal">
      <formula>"Automated"</formula>
    </cfRule>
    <cfRule type="cellIs" dxfId="1681" priority="5724" operator="equal">
      <formula>"Not Automated"</formula>
    </cfRule>
  </conditionalFormatting>
  <conditionalFormatting sqref="I165:I200">
    <cfRule type="cellIs" dxfId="1680" priority="5716" operator="equal">
      <formula>"Regression"</formula>
    </cfRule>
    <cfRule type="cellIs" dxfId="1679" priority="5717" operator="equal">
      <formula>"In-Sprint"</formula>
    </cfRule>
    <cfRule type="cellIs" dxfId="1678" priority="5718" operator="equal">
      <formula>"Regression"</formula>
    </cfRule>
    <cfRule type="cellIs" dxfId="1677" priority="5719" operator="equal">
      <formula>"Regression"</formula>
    </cfRule>
  </conditionalFormatting>
  <conditionalFormatting sqref="D144">
    <cfRule type="duplicateValues" dxfId="1676" priority="5715"/>
  </conditionalFormatting>
  <conditionalFormatting sqref="D103">
    <cfRule type="duplicateValues" dxfId="1675" priority="5709"/>
  </conditionalFormatting>
  <conditionalFormatting sqref="D104">
    <cfRule type="duplicateValues" dxfId="1674" priority="5708"/>
  </conditionalFormatting>
  <conditionalFormatting sqref="D105">
    <cfRule type="duplicateValues" dxfId="1673" priority="5707"/>
  </conditionalFormatting>
  <conditionalFormatting sqref="D106">
    <cfRule type="duplicateValues" dxfId="1672" priority="5706"/>
  </conditionalFormatting>
  <conditionalFormatting sqref="D107">
    <cfRule type="duplicateValues" dxfId="1671" priority="5705"/>
  </conditionalFormatting>
  <conditionalFormatting sqref="D108">
    <cfRule type="duplicateValues" dxfId="1670" priority="5704"/>
  </conditionalFormatting>
  <conditionalFormatting sqref="D109">
    <cfRule type="duplicateValues" dxfId="1669" priority="5703"/>
  </conditionalFormatting>
  <conditionalFormatting sqref="D110">
    <cfRule type="duplicateValues" dxfId="1668" priority="5702"/>
  </conditionalFormatting>
  <conditionalFormatting sqref="D111">
    <cfRule type="duplicateValues" dxfId="1667" priority="5701"/>
  </conditionalFormatting>
  <conditionalFormatting sqref="D112">
    <cfRule type="duplicateValues" dxfId="1666" priority="5700"/>
  </conditionalFormatting>
  <conditionalFormatting sqref="D113">
    <cfRule type="duplicateValues" dxfId="1665" priority="5699"/>
  </conditionalFormatting>
  <conditionalFormatting sqref="D114">
    <cfRule type="duplicateValues" dxfId="1664" priority="5698"/>
  </conditionalFormatting>
  <conditionalFormatting sqref="D130">
    <cfRule type="duplicateValues" dxfId="1663" priority="5697"/>
  </conditionalFormatting>
  <conditionalFormatting sqref="D131">
    <cfRule type="duplicateValues" dxfId="1662" priority="5696"/>
  </conditionalFormatting>
  <conditionalFormatting sqref="D132">
    <cfRule type="duplicateValues" dxfId="1661" priority="5695"/>
  </conditionalFormatting>
  <conditionalFormatting sqref="D133">
    <cfRule type="duplicateValues" dxfId="1660" priority="5694"/>
  </conditionalFormatting>
  <conditionalFormatting sqref="D154">
    <cfRule type="duplicateValues" dxfId="1659" priority="5693"/>
  </conditionalFormatting>
  <conditionalFormatting sqref="D155">
    <cfRule type="duplicateValues" dxfId="1658" priority="5692"/>
  </conditionalFormatting>
  <conditionalFormatting sqref="D156">
    <cfRule type="duplicateValues" dxfId="1657" priority="5691"/>
  </conditionalFormatting>
  <conditionalFormatting sqref="J198:J200">
    <cfRule type="cellIs" dxfId="1656" priority="5687" operator="equal">
      <formula>"Regression"</formula>
    </cfRule>
    <cfRule type="cellIs" dxfId="1655" priority="5688" operator="equal">
      <formula>"In-Sprint"</formula>
    </cfRule>
    <cfRule type="cellIs" dxfId="1654" priority="5689" operator="equal">
      <formula>"Regression"</formula>
    </cfRule>
    <cfRule type="cellIs" dxfId="1653" priority="5690" operator="equal">
      <formula>"Regression"</formula>
    </cfRule>
  </conditionalFormatting>
  <conditionalFormatting sqref="F198">
    <cfRule type="cellIs" dxfId="1652" priority="5684" operator="equal">
      <formula>"In-Progress"</formula>
    </cfRule>
    <cfRule type="cellIs" dxfId="1651" priority="5685" operator="equal">
      <formula>"Automated"</formula>
    </cfRule>
    <cfRule type="cellIs" dxfId="1650" priority="5686" operator="equal">
      <formula>"Not Automated"</formula>
    </cfRule>
  </conditionalFormatting>
  <conditionalFormatting sqref="F199">
    <cfRule type="cellIs" dxfId="1649" priority="5679" operator="equal">
      <formula>"In-Progress"</formula>
    </cfRule>
    <cfRule type="cellIs" dxfId="1648" priority="5680" operator="equal">
      <formula>"Automated"</formula>
    </cfRule>
    <cfRule type="cellIs" dxfId="1647" priority="5681" operator="equal">
      <formula>"Not Automated"</formula>
    </cfRule>
  </conditionalFormatting>
  <conditionalFormatting sqref="D180">
    <cfRule type="duplicateValues" dxfId="1646" priority="5674"/>
  </conditionalFormatting>
  <conditionalFormatting sqref="F200">
    <cfRule type="cellIs" dxfId="1645" priority="5670" operator="equal">
      <formula>"In-Progress"</formula>
    </cfRule>
    <cfRule type="cellIs" dxfId="1644" priority="5671" operator="equal">
      <formula>"Automated"</formula>
    </cfRule>
    <cfRule type="cellIs" dxfId="1643" priority="5672" operator="equal">
      <formula>"Not Automated"</formula>
    </cfRule>
  </conditionalFormatting>
  <conditionalFormatting sqref="D37:D50">
    <cfRule type="duplicateValues" dxfId="1642" priority="5667"/>
  </conditionalFormatting>
  <conditionalFormatting sqref="I561:I665 I1:I343 I800:I891">
    <cfRule type="cellIs" dxfId="1641" priority="5666" operator="equal">
      <formula>"Regression_API"</formula>
    </cfRule>
  </conditionalFormatting>
  <conditionalFormatting sqref="J255">
    <cfRule type="cellIs" dxfId="1640" priority="5662" operator="equal">
      <formula>"Regression"</formula>
    </cfRule>
    <cfRule type="cellIs" dxfId="1639" priority="5663" operator="equal">
      <formula>"In-Sprint"</formula>
    </cfRule>
    <cfRule type="cellIs" dxfId="1638" priority="5664" operator="equal">
      <formula>"Regression"</formula>
    </cfRule>
    <cfRule type="cellIs" dxfId="1637" priority="5665" operator="equal">
      <formula>"Regression"</formula>
    </cfRule>
  </conditionalFormatting>
  <conditionalFormatting sqref="F255:F313">
    <cfRule type="cellIs" dxfId="1636" priority="5659" operator="equal">
      <formula>"In-Progress"</formula>
    </cfRule>
    <cfRule type="cellIs" dxfId="1635" priority="5660" operator="equal">
      <formula>"Automated"</formula>
    </cfRule>
    <cfRule type="cellIs" dxfId="1634" priority="5661" operator="equal">
      <formula>"Not Automated"</formula>
    </cfRule>
  </conditionalFormatting>
  <conditionalFormatting sqref="D239:D242">
    <cfRule type="duplicateValues" dxfId="1633" priority="5655"/>
  </conditionalFormatting>
  <conditionalFormatting sqref="E201:E254">
    <cfRule type="duplicateValues" dxfId="1632" priority="5808"/>
  </conditionalFormatting>
  <conditionalFormatting sqref="E314">
    <cfRule type="duplicateValues" dxfId="1631" priority="5290"/>
  </conditionalFormatting>
  <conditionalFormatting sqref="J314:L314">
    <cfRule type="cellIs" dxfId="1630" priority="5286" operator="equal">
      <formula>"Regression"</formula>
    </cfRule>
    <cfRule type="cellIs" dxfId="1629" priority="5287" operator="equal">
      <formula>"In-Sprint"</formula>
    </cfRule>
    <cfRule type="cellIs" dxfId="1628" priority="5288" operator="equal">
      <formula>"Regression"</formula>
    </cfRule>
    <cfRule type="cellIs" dxfId="1627" priority="5289" operator="equal">
      <formula>"Regression"</formula>
    </cfRule>
  </conditionalFormatting>
  <conditionalFormatting sqref="F314">
    <cfRule type="cellIs" dxfId="1626" priority="5282" operator="equal">
      <formula>"In-Progress"</formula>
    </cfRule>
    <cfRule type="cellIs" dxfId="1625" priority="5283" operator="equal">
      <formula>"Automated"</formula>
    </cfRule>
    <cfRule type="cellIs" dxfId="1624" priority="5284" operator="equal">
      <formula>"Not Automated"</formula>
    </cfRule>
  </conditionalFormatting>
  <conditionalFormatting sqref="E315">
    <cfRule type="duplicateValues" dxfId="1623" priority="5274"/>
  </conditionalFormatting>
  <conditionalFormatting sqref="J315:L315">
    <cfRule type="cellIs" dxfId="1622" priority="5270" operator="equal">
      <formula>"Regression"</formula>
    </cfRule>
    <cfRule type="cellIs" dxfId="1621" priority="5271" operator="equal">
      <formula>"In-Sprint"</formula>
    </cfRule>
    <cfRule type="cellIs" dxfId="1620" priority="5272" operator="equal">
      <formula>"Regression"</formula>
    </cfRule>
    <cfRule type="cellIs" dxfId="1619" priority="5273" operator="equal">
      <formula>"Regression"</formula>
    </cfRule>
  </conditionalFormatting>
  <conditionalFormatting sqref="F315">
    <cfRule type="cellIs" dxfId="1618" priority="5266" operator="equal">
      <formula>"In-Progress"</formula>
    </cfRule>
    <cfRule type="cellIs" dxfId="1617" priority="5267" operator="equal">
      <formula>"Automated"</formula>
    </cfRule>
    <cfRule type="cellIs" dxfId="1616" priority="5268" operator="equal">
      <formula>"Not Automated"</formula>
    </cfRule>
  </conditionalFormatting>
  <conditionalFormatting sqref="D265:D270">
    <cfRule type="duplicateValues" dxfId="1615" priority="5238"/>
  </conditionalFormatting>
  <conditionalFormatting sqref="D311">
    <cfRule type="duplicateValues" dxfId="1614" priority="5227"/>
  </conditionalFormatting>
  <conditionalFormatting sqref="D310">
    <cfRule type="duplicateValues" dxfId="1613" priority="5222"/>
  </conditionalFormatting>
  <conditionalFormatting sqref="D312">
    <cfRule type="duplicateValues" dxfId="1612" priority="5217"/>
  </conditionalFormatting>
  <conditionalFormatting sqref="D313">
    <cfRule type="duplicateValues" dxfId="1611" priority="5212"/>
  </conditionalFormatting>
  <conditionalFormatting sqref="D262">
    <cfRule type="duplicateValues" dxfId="1610" priority="5206"/>
  </conditionalFormatting>
  <conditionalFormatting sqref="D263">
    <cfRule type="duplicateValues" dxfId="1609" priority="5203"/>
  </conditionalFormatting>
  <conditionalFormatting sqref="D260">
    <cfRule type="duplicateValues" dxfId="1608" priority="5200"/>
  </conditionalFormatting>
  <conditionalFormatting sqref="D261">
    <cfRule type="duplicateValues" dxfId="1607" priority="5198"/>
  </conditionalFormatting>
  <conditionalFormatting sqref="D301">
    <cfRule type="duplicateValues" dxfId="1606" priority="5187"/>
  </conditionalFormatting>
  <conditionalFormatting sqref="D302">
    <cfRule type="duplicateValues" dxfId="1605" priority="5184"/>
  </conditionalFormatting>
  <conditionalFormatting sqref="D259">
    <cfRule type="duplicateValues" dxfId="1604" priority="5181"/>
  </conditionalFormatting>
  <conditionalFormatting sqref="D283:D284">
    <cfRule type="duplicateValues" dxfId="1603" priority="5175"/>
  </conditionalFormatting>
  <conditionalFormatting sqref="F1:F343 F561:F614 F800:F891">
    <cfRule type="cellIs" dxfId="1602" priority="5117" operator="equal">
      <formula>"Completed"</formula>
    </cfRule>
  </conditionalFormatting>
  <conditionalFormatting sqref="E355:E356">
    <cfRule type="duplicateValues" dxfId="1601" priority="4810"/>
  </conditionalFormatting>
  <conditionalFormatting sqref="D357">
    <cfRule type="duplicateValues" dxfId="1600" priority="4808"/>
  </conditionalFormatting>
  <conditionalFormatting sqref="D358">
    <cfRule type="duplicateValues" dxfId="1599" priority="4806"/>
  </conditionalFormatting>
  <conditionalFormatting sqref="I344:I370">
    <cfRule type="cellIs" dxfId="1598" priority="4759" operator="equal">
      <formula>"Regression_API"</formula>
    </cfRule>
  </conditionalFormatting>
  <conditionalFormatting sqref="D346">
    <cfRule type="duplicateValues" dxfId="1597" priority="4782"/>
  </conditionalFormatting>
  <conditionalFormatting sqref="D350">
    <cfRule type="duplicateValues" dxfId="1596" priority="4779"/>
  </conditionalFormatting>
  <conditionalFormatting sqref="D351">
    <cfRule type="duplicateValues" dxfId="1595" priority="4778"/>
  </conditionalFormatting>
  <conditionalFormatting sqref="D352">
    <cfRule type="duplicateValues" dxfId="1594" priority="4777"/>
  </conditionalFormatting>
  <conditionalFormatting sqref="D353">
    <cfRule type="duplicateValues" dxfId="1593" priority="4776"/>
  </conditionalFormatting>
  <conditionalFormatting sqref="D354">
    <cfRule type="duplicateValues" dxfId="1592" priority="4775"/>
  </conditionalFormatting>
  <conditionalFormatting sqref="B362">
    <cfRule type="duplicateValues" dxfId="1591" priority="4772"/>
  </conditionalFormatting>
  <conditionalFormatting sqref="F344:F370">
    <cfRule type="cellIs" dxfId="1590" priority="4769" operator="equal">
      <formula>"In-Progress"</formula>
    </cfRule>
    <cfRule type="cellIs" dxfId="1589" priority="4770" operator="equal">
      <formula>"Automated"</formula>
    </cfRule>
    <cfRule type="cellIs" dxfId="1588" priority="4771" operator="equal">
      <formula>"Not Automated"</formula>
    </cfRule>
  </conditionalFormatting>
  <conditionalFormatting sqref="F344:F370">
    <cfRule type="cellIs" dxfId="1587" priority="4766" operator="equal">
      <formula>"Completed"</formula>
    </cfRule>
  </conditionalFormatting>
  <conditionalFormatting sqref="I344:I370">
    <cfRule type="cellIs" dxfId="1586" priority="4760" operator="equal">
      <formula>"Regression"</formula>
    </cfRule>
    <cfRule type="cellIs" dxfId="1585" priority="4761" operator="equal">
      <formula>"In-Sprint"</formula>
    </cfRule>
    <cfRule type="cellIs" dxfId="1584" priority="4762" operator="equal">
      <formula>"Regression"</formula>
    </cfRule>
    <cfRule type="cellIs" dxfId="1583" priority="4763" operator="equal">
      <formula>"Regression"</formula>
    </cfRule>
  </conditionalFormatting>
  <conditionalFormatting sqref="D264">
    <cfRule type="duplicateValues" dxfId="1582" priority="4732"/>
  </conditionalFormatting>
  <conditionalFormatting sqref="D275">
    <cfRule type="duplicateValues" dxfId="1581" priority="4727"/>
  </conditionalFormatting>
  <conditionalFormatting sqref="D276">
    <cfRule type="duplicateValues" dxfId="1580" priority="4726"/>
  </conditionalFormatting>
  <conditionalFormatting sqref="D277">
    <cfRule type="duplicateValues" dxfId="1579" priority="4725"/>
  </conditionalFormatting>
  <conditionalFormatting sqref="D278">
    <cfRule type="duplicateValues" dxfId="1578" priority="4724"/>
  </conditionalFormatting>
  <conditionalFormatting sqref="D271">
    <cfRule type="duplicateValues" dxfId="1577" priority="4720"/>
  </conditionalFormatting>
  <conditionalFormatting sqref="D272">
    <cfRule type="duplicateValues" dxfId="1576" priority="4714"/>
  </conditionalFormatting>
  <conditionalFormatting sqref="D274">
    <cfRule type="duplicateValues" dxfId="1575" priority="4712"/>
  </conditionalFormatting>
  <conditionalFormatting sqref="D280">
    <cfRule type="duplicateValues" dxfId="1574" priority="4710"/>
  </conditionalFormatting>
  <conditionalFormatting sqref="D295">
    <cfRule type="duplicateValues" dxfId="1573" priority="4709"/>
  </conditionalFormatting>
  <conditionalFormatting sqref="D296">
    <cfRule type="duplicateValues" dxfId="1572" priority="4707"/>
  </conditionalFormatting>
  <conditionalFormatting sqref="D297">
    <cfRule type="duplicateValues" dxfId="1571" priority="4701"/>
  </conditionalFormatting>
  <conditionalFormatting sqref="D300">
    <cfRule type="duplicateValues" dxfId="1570" priority="4690"/>
  </conditionalFormatting>
  <conditionalFormatting sqref="D304">
    <cfRule type="duplicateValues" dxfId="1569" priority="4688"/>
  </conditionalFormatting>
  <conditionalFormatting sqref="D305">
    <cfRule type="duplicateValues" dxfId="1568" priority="4685"/>
  </conditionalFormatting>
  <conditionalFormatting sqref="D306">
    <cfRule type="duplicateValues" dxfId="1567" priority="4681"/>
  </conditionalFormatting>
  <conditionalFormatting sqref="D355">
    <cfRule type="duplicateValues" dxfId="1566" priority="4655"/>
  </conditionalFormatting>
  <conditionalFormatting sqref="D356">
    <cfRule type="duplicateValues" dxfId="1565" priority="4653"/>
  </conditionalFormatting>
  <conditionalFormatting sqref="D325">
    <cfRule type="duplicateValues" dxfId="1564" priority="4651"/>
  </conditionalFormatting>
  <conditionalFormatting sqref="D326">
    <cfRule type="duplicateValues" dxfId="1563" priority="4650"/>
  </conditionalFormatting>
  <conditionalFormatting sqref="D336">
    <cfRule type="duplicateValues" dxfId="1562" priority="4649"/>
  </conditionalFormatting>
  <conditionalFormatting sqref="F371:F560">
    <cfRule type="cellIs" dxfId="1561" priority="4646" operator="equal">
      <formula>"In-Progress"</formula>
    </cfRule>
    <cfRule type="cellIs" dxfId="1560" priority="4647" operator="equal">
      <formula>"Automated"</formula>
    </cfRule>
    <cfRule type="cellIs" dxfId="1559" priority="4648" operator="equal">
      <formula>"Not Automated"</formula>
    </cfRule>
  </conditionalFormatting>
  <conditionalFormatting sqref="F371:F560">
    <cfRule type="cellIs" dxfId="1558" priority="4643" operator="equal">
      <formula>"Completed"</formula>
    </cfRule>
  </conditionalFormatting>
  <conditionalFormatting sqref="I371:I465">
    <cfRule type="cellIs" dxfId="1557" priority="4632" operator="equal">
      <formula>"Regression_API"</formula>
    </cfRule>
  </conditionalFormatting>
  <conditionalFormatting sqref="I371:I465">
    <cfRule type="cellIs" dxfId="1556" priority="4633" operator="equal">
      <formula>"Regression"</formula>
    </cfRule>
    <cfRule type="cellIs" dxfId="1555" priority="4634" operator="equal">
      <formula>"In-Sprint"</formula>
    </cfRule>
    <cfRule type="cellIs" dxfId="1554" priority="4635" operator="equal">
      <formula>"Regression"</formula>
    </cfRule>
    <cfRule type="cellIs" dxfId="1553" priority="4636" operator="equal">
      <formula>"Regression"</formula>
    </cfRule>
  </conditionalFormatting>
  <conditionalFormatting sqref="C1">
    <cfRule type="cellIs" dxfId="1552" priority="4627" operator="equal">
      <formula>"In-Sprint"</formula>
    </cfRule>
    <cfRule type="cellIs" dxfId="1551" priority="4628" operator="equal">
      <formula>"Regression"</formula>
    </cfRule>
    <cfRule type="cellIs" dxfId="1550" priority="4629" operator="equal">
      <formula>"Regression"</formula>
    </cfRule>
  </conditionalFormatting>
  <conditionalFormatting sqref="D432">
    <cfRule type="duplicateValues" dxfId="1549" priority="4625"/>
  </conditionalFormatting>
  <conditionalFormatting sqref="D433">
    <cfRule type="duplicateValues" dxfId="1548" priority="4579"/>
  </conditionalFormatting>
  <conditionalFormatting sqref="D440">
    <cfRule type="duplicateValues" dxfId="1547" priority="4577"/>
  </conditionalFormatting>
  <conditionalFormatting sqref="D444">
    <cfRule type="duplicateValues" dxfId="1546" priority="4576"/>
  </conditionalFormatting>
  <conditionalFormatting sqref="D273">
    <cfRule type="duplicateValues" dxfId="1545" priority="4573"/>
  </conditionalFormatting>
  <conditionalFormatting sqref="D279">
    <cfRule type="duplicateValues" dxfId="1544" priority="4571"/>
  </conditionalFormatting>
  <conditionalFormatting sqref="D298">
    <cfRule type="duplicateValues" dxfId="1543" priority="4558"/>
  </conditionalFormatting>
  <conditionalFormatting sqref="D299">
    <cfRule type="duplicateValues" dxfId="1542" priority="4555"/>
  </conditionalFormatting>
  <conditionalFormatting sqref="D303">
    <cfRule type="duplicateValues" dxfId="1541" priority="4552"/>
  </conditionalFormatting>
  <conditionalFormatting sqref="D434">
    <cfRule type="duplicateValues" dxfId="1540" priority="4551"/>
  </conditionalFormatting>
  <conditionalFormatting sqref="D145">
    <cfRule type="duplicateValues" dxfId="1539" priority="3232"/>
  </conditionalFormatting>
  <conditionalFormatting sqref="D146">
    <cfRule type="duplicateValues" dxfId="1538" priority="3231"/>
  </conditionalFormatting>
  <conditionalFormatting sqref="D147">
    <cfRule type="duplicateValues" dxfId="1537" priority="3230"/>
  </conditionalFormatting>
  <conditionalFormatting sqref="D148">
    <cfRule type="duplicateValues" dxfId="1536" priority="3229"/>
  </conditionalFormatting>
  <conditionalFormatting sqref="D149">
    <cfRule type="duplicateValues" dxfId="1535" priority="3228"/>
  </conditionalFormatting>
  <conditionalFormatting sqref="D177">
    <cfRule type="duplicateValues" dxfId="1534" priority="3227"/>
  </conditionalFormatting>
  <conditionalFormatting sqref="D178">
    <cfRule type="duplicateValues" dxfId="1533" priority="3226"/>
  </conditionalFormatting>
  <conditionalFormatting sqref="D179">
    <cfRule type="duplicateValues" dxfId="1532" priority="3225"/>
  </conditionalFormatting>
  <conditionalFormatting sqref="D200">
    <cfRule type="duplicateValues" dxfId="1531" priority="3224"/>
  </conditionalFormatting>
  <conditionalFormatting sqref="D235">
    <cfRule type="duplicateValues" dxfId="1530" priority="3223"/>
  </conditionalFormatting>
  <conditionalFormatting sqref="D236">
    <cfRule type="duplicateValues" dxfId="1529" priority="3222"/>
  </conditionalFormatting>
  <conditionalFormatting sqref="D237">
    <cfRule type="duplicateValues" dxfId="1528" priority="3221"/>
  </conditionalFormatting>
  <conditionalFormatting sqref="D238">
    <cfRule type="duplicateValues" dxfId="1527" priority="3220"/>
  </conditionalFormatting>
  <conditionalFormatting sqref="D181">
    <cfRule type="duplicateValues" dxfId="1526" priority="3219"/>
  </conditionalFormatting>
  <conditionalFormatting sqref="D182">
    <cfRule type="duplicateValues" dxfId="1525" priority="3217"/>
  </conditionalFormatting>
  <conditionalFormatting sqref="J466:K466">
    <cfRule type="cellIs" dxfId="1524" priority="2838" operator="equal">
      <formula>"Regression"</formula>
    </cfRule>
    <cfRule type="cellIs" dxfId="1523" priority="2839" operator="equal">
      <formula>"In-Sprint"</formula>
    </cfRule>
    <cfRule type="cellIs" dxfId="1522" priority="2840" operator="equal">
      <formula>"Regression"</formula>
    </cfRule>
    <cfRule type="cellIs" dxfId="1521" priority="2841" operator="equal">
      <formula>"Regression"</formula>
    </cfRule>
  </conditionalFormatting>
  <conditionalFormatting sqref="I466">
    <cfRule type="cellIs" dxfId="1520" priority="2821" operator="equal">
      <formula>"Regression_API"</formula>
    </cfRule>
  </conditionalFormatting>
  <conditionalFormatting sqref="I466">
    <cfRule type="cellIs" dxfId="1519" priority="2822" operator="equal">
      <formula>"Regression"</formula>
    </cfRule>
    <cfRule type="cellIs" dxfId="1518" priority="2823" operator="equal">
      <formula>"In-Sprint"</formula>
    </cfRule>
    <cfRule type="cellIs" dxfId="1517" priority="2824" operator="equal">
      <formula>"Regression"</formula>
    </cfRule>
    <cfRule type="cellIs" dxfId="1516" priority="2825" operator="equal">
      <formula>"Regression"</formula>
    </cfRule>
  </conditionalFormatting>
  <conditionalFormatting sqref="I467:I560">
    <cfRule type="cellIs" dxfId="1515" priority="2804" operator="equal">
      <formula>"Regression_API"</formula>
    </cfRule>
  </conditionalFormatting>
  <conditionalFormatting sqref="I467:I560">
    <cfRule type="cellIs" dxfId="1514" priority="2805" operator="equal">
      <formula>"Regression"</formula>
    </cfRule>
    <cfRule type="cellIs" dxfId="1513" priority="2806" operator="equal">
      <formula>"In-Sprint"</formula>
    </cfRule>
    <cfRule type="cellIs" dxfId="1512" priority="2807" operator="equal">
      <formula>"Regression"</formula>
    </cfRule>
    <cfRule type="cellIs" dxfId="1511" priority="2808" operator="equal">
      <formula>"Regression"</formula>
    </cfRule>
  </conditionalFormatting>
  <conditionalFormatting sqref="D469">
    <cfRule type="duplicateValues" dxfId="1510" priority="2803"/>
  </conditionalFormatting>
  <conditionalFormatting sqref="D470">
    <cfRule type="duplicateValues" dxfId="1509" priority="2799"/>
  </conditionalFormatting>
  <conditionalFormatting sqref="D471">
    <cfRule type="duplicateValues" dxfId="1508" priority="2795"/>
  </conditionalFormatting>
  <conditionalFormatting sqref="D472">
    <cfRule type="duplicateValues" dxfId="1507" priority="2791"/>
  </conditionalFormatting>
  <conditionalFormatting sqref="D473">
    <cfRule type="duplicateValues" dxfId="1506" priority="2787"/>
  </conditionalFormatting>
  <conditionalFormatting sqref="D474">
    <cfRule type="duplicateValues" dxfId="1505" priority="2783"/>
  </conditionalFormatting>
  <conditionalFormatting sqref="D475">
    <cfRule type="duplicateValues" dxfId="1504" priority="2780"/>
  </conditionalFormatting>
  <conditionalFormatting sqref="D476">
    <cfRule type="duplicateValues" dxfId="1503" priority="2777"/>
  </conditionalFormatting>
  <conditionalFormatting sqref="D477">
    <cfRule type="duplicateValues" dxfId="1502" priority="2773"/>
  </conditionalFormatting>
  <conditionalFormatting sqref="D478">
    <cfRule type="duplicateValues" dxfId="1501" priority="2769"/>
  </conditionalFormatting>
  <conditionalFormatting sqref="D479">
    <cfRule type="duplicateValues" dxfId="1500" priority="2765"/>
  </conditionalFormatting>
  <conditionalFormatting sqref="D480">
    <cfRule type="duplicateValues" dxfId="1499" priority="2761"/>
  </conditionalFormatting>
  <conditionalFormatting sqref="D481">
    <cfRule type="duplicateValues" dxfId="1498" priority="2757"/>
  </conditionalFormatting>
  <conditionalFormatting sqref="D482">
    <cfRule type="duplicateValues" dxfId="1497" priority="2753"/>
  </conditionalFormatting>
  <conditionalFormatting sqref="D483">
    <cfRule type="duplicateValues" dxfId="1496" priority="2749"/>
  </conditionalFormatting>
  <conditionalFormatting sqref="D484">
    <cfRule type="duplicateValues" dxfId="1495" priority="2746"/>
  </conditionalFormatting>
  <conditionalFormatting sqref="D485">
    <cfRule type="duplicateValues" dxfId="1494" priority="2741"/>
  </conditionalFormatting>
  <conditionalFormatting sqref="D486">
    <cfRule type="duplicateValues" dxfId="1493" priority="2739"/>
  </conditionalFormatting>
  <conditionalFormatting sqref="D487">
    <cfRule type="duplicateValues" dxfId="1492" priority="2737"/>
  </conditionalFormatting>
  <conditionalFormatting sqref="D488">
    <cfRule type="duplicateValues" dxfId="1491" priority="2735"/>
  </conditionalFormatting>
  <conditionalFormatting sqref="D489">
    <cfRule type="duplicateValues" dxfId="1490" priority="2733"/>
  </conditionalFormatting>
  <conditionalFormatting sqref="D490">
    <cfRule type="duplicateValues" dxfId="1489" priority="2731"/>
  </conditionalFormatting>
  <conditionalFormatting sqref="D491">
    <cfRule type="duplicateValues" dxfId="1488" priority="2728"/>
  </conditionalFormatting>
  <conditionalFormatting sqref="D492">
    <cfRule type="duplicateValues" dxfId="1487" priority="2725"/>
  </conditionalFormatting>
  <conditionalFormatting sqref="D493">
    <cfRule type="duplicateValues" dxfId="1486" priority="2722"/>
  </conditionalFormatting>
  <conditionalFormatting sqref="D494">
    <cfRule type="duplicateValues" dxfId="1485" priority="2719"/>
  </conditionalFormatting>
  <conditionalFormatting sqref="D495">
    <cfRule type="duplicateValues" dxfId="1484" priority="2717"/>
  </conditionalFormatting>
  <conditionalFormatting sqref="D496">
    <cfRule type="duplicateValues" dxfId="1483" priority="2715"/>
  </conditionalFormatting>
  <conditionalFormatting sqref="D497">
    <cfRule type="duplicateValues" dxfId="1482" priority="2713"/>
  </conditionalFormatting>
  <conditionalFormatting sqref="D498">
    <cfRule type="duplicateValues" dxfId="1481" priority="2711"/>
  </conditionalFormatting>
  <conditionalFormatting sqref="D499">
    <cfRule type="duplicateValues" dxfId="1480" priority="2709"/>
  </conditionalFormatting>
  <conditionalFormatting sqref="D500">
    <cfRule type="duplicateValues" dxfId="1479" priority="2707"/>
  </conditionalFormatting>
  <conditionalFormatting sqref="D501">
    <cfRule type="duplicateValues" dxfId="1478" priority="2705"/>
  </conditionalFormatting>
  <conditionalFormatting sqref="D502">
    <cfRule type="duplicateValues" dxfId="1477" priority="2703"/>
  </conditionalFormatting>
  <conditionalFormatting sqref="D503">
    <cfRule type="duplicateValues" dxfId="1476" priority="2701"/>
  </conditionalFormatting>
  <conditionalFormatting sqref="D504">
    <cfRule type="duplicateValues" dxfId="1475" priority="2699"/>
  </conditionalFormatting>
  <conditionalFormatting sqref="D505">
    <cfRule type="duplicateValues" dxfId="1474" priority="2697"/>
  </conditionalFormatting>
  <conditionalFormatting sqref="D506">
    <cfRule type="duplicateValues" dxfId="1473" priority="2695"/>
  </conditionalFormatting>
  <conditionalFormatting sqref="D507">
    <cfRule type="duplicateValues" dxfId="1472" priority="2694"/>
  </conditionalFormatting>
  <conditionalFormatting sqref="D508">
    <cfRule type="duplicateValues" dxfId="1471" priority="2691"/>
  </conditionalFormatting>
  <conditionalFormatting sqref="D509">
    <cfRule type="duplicateValues" dxfId="1470" priority="2688"/>
  </conditionalFormatting>
  <conditionalFormatting sqref="D510">
    <cfRule type="duplicateValues" dxfId="1469" priority="2685"/>
  </conditionalFormatting>
  <conditionalFormatting sqref="D511">
    <cfRule type="duplicateValues" dxfId="1468" priority="2683"/>
  </conditionalFormatting>
  <conditionalFormatting sqref="D512">
    <cfRule type="duplicateValues" dxfId="1467" priority="2681"/>
  </conditionalFormatting>
  <conditionalFormatting sqref="D513">
    <cfRule type="duplicateValues" dxfId="1466" priority="2679"/>
  </conditionalFormatting>
  <conditionalFormatting sqref="D307">
    <cfRule type="duplicateValues" dxfId="1465" priority="2030"/>
  </conditionalFormatting>
  <conditionalFormatting sqref="D308">
    <cfRule type="duplicateValues" dxfId="1464" priority="2023"/>
  </conditionalFormatting>
  <conditionalFormatting sqref="D309">
    <cfRule type="duplicateValues" dxfId="1463" priority="2016"/>
  </conditionalFormatting>
  <conditionalFormatting sqref="D410">
    <cfRule type="duplicateValues" dxfId="1462" priority="2009"/>
  </conditionalFormatting>
  <conditionalFormatting sqref="D411">
    <cfRule type="duplicateValues" dxfId="1461" priority="2002"/>
  </conditionalFormatting>
  <conditionalFormatting sqref="D412">
    <cfRule type="duplicateValues" dxfId="1460" priority="1995"/>
  </conditionalFormatting>
  <conditionalFormatting sqref="D413">
    <cfRule type="duplicateValues" dxfId="1459" priority="1988"/>
  </conditionalFormatting>
  <conditionalFormatting sqref="D347">
    <cfRule type="duplicateValues" dxfId="1458" priority="1828"/>
  </conditionalFormatting>
  <conditionalFormatting sqref="D348">
    <cfRule type="duplicateValues" dxfId="1457" priority="1827"/>
  </conditionalFormatting>
  <conditionalFormatting sqref="D349">
    <cfRule type="duplicateValues" dxfId="1456" priority="1826"/>
  </conditionalFormatting>
  <conditionalFormatting sqref="F615:F665">
    <cfRule type="cellIs" dxfId="1455" priority="1823" operator="equal">
      <formula>"In-Progress"</formula>
    </cfRule>
    <cfRule type="cellIs" dxfId="1454" priority="1824" operator="equal">
      <formula>"Automated"</formula>
    </cfRule>
    <cfRule type="cellIs" dxfId="1453" priority="1825" operator="equal">
      <formula>"Not Automated"</formula>
    </cfRule>
  </conditionalFormatting>
  <conditionalFormatting sqref="F615:F665">
    <cfRule type="cellIs" dxfId="1452" priority="1822" operator="equal">
      <formula>"Completed"</formula>
    </cfRule>
  </conditionalFormatting>
  <conditionalFormatting sqref="D562">
    <cfRule type="duplicateValues" dxfId="1451" priority="1811"/>
  </conditionalFormatting>
  <conditionalFormatting sqref="D563">
    <cfRule type="duplicateValues" dxfId="1450" priority="1807"/>
  </conditionalFormatting>
  <conditionalFormatting sqref="D564">
    <cfRule type="duplicateValues" dxfId="1449" priority="1802"/>
  </conditionalFormatting>
  <conditionalFormatting sqref="D565">
    <cfRule type="duplicateValues" dxfId="1448" priority="1798"/>
  </conditionalFormatting>
  <conditionalFormatting sqref="D566">
    <cfRule type="duplicateValues" dxfId="1447" priority="1794"/>
  </conditionalFormatting>
  <conditionalFormatting sqref="D567">
    <cfRule type="duplicateValues" dxfId="1446" priority="1790"/>
  </conditionalFormatting>
  <conditionalFormatting sqref="D568">
    <cfRule type="duplicateValues" dxfId="1445" priority="1786"/>
  </conditionalFormatting>
  <conditionalFormatting sqref="D569">
    <cfRule type="duplicateValues" dxfId="1444" priority="1782"/>
  </conditionalFormatting>
  <conditionalFormatting sqref="D570">
    <cfRule type="duplicateValues" dxfId="1443" priority="1778"/>
  </conditionalFormatting>
  <conditionalFormatting sqref="D571">
    <cfRule type="duplicateValues" dxfId="1442" priority="1774"/>
  </conditionalFormatting>
  <conditionalFormatting sqref="D572">
    <cfRule type="duplicateValues" dxfId="1441" priority="1770"/>
  </conditionalFormatting>
  <conditionalFormatting sqref="D573:D610 D612:D665">
    <cfRule type="duplicateValues" dxfId="1440" priority="1766"/>
  </conditionalFormatting>
  <conditionalFormatting sqref="E357:E358 E255:E313 E316:E343 E2:E205 E407:E465">
    <cfRule type="duplicateValues" dxfId="1439" priority="5809"/>
  </conditionalFormatting>
  <conditionalFormatting sqref="E357:E358 E316:E343 E1:E313 E407:E465">
    <cfRule type="duplicateValues" dxfId="1438" priority="5814"/>
  </conditionalFormatting>
  <conditionalFormatting sqref="I666:I738">
    <cfRule type="cellIs" dxfId="1437" priority="1733" operator="equal">
      <formula>"Regression"</formula>
    </cfRule>
    <cfRule type="cellIs" dxfId="1436" priority="1734" operator="equal">
      <formula>"In-Sprint"</formula>
    </cfRule>
    <cfRule type="cellIs" dxfId="1435" priority="1735" operator="equal">
      <formula>"Regression"</formula>
    </cfRule>
    <cfRule type="cellIs" dxfId="1434" priority="1736" operator="equal">
      <formula>"Regression"</formula>
    </cfRule>
  </conditionalFormatting>
  <conditionalFormatting sqref="I666:I738">
    <cfRule type="cellIs" dxfId="1433" priority="1732" operator="equal">
      <formula>"Regression_API"</formula>
    </cfRule>
  </conditionalFormatting>
  <conditionalFormatting sqref="F666:F738">
    <cfRule type="cellIs" dxfId="1432" priority="1729" operator="equal">
      <formula>"In-Progress"</formula>
    </cfRule>
    <cfRule type="cellIs" dxfId="1431" priority="1730" operator="equal">
      <formula>"Automated"</formula>
    </cfRule>
    <cfRule type="cellIs" dxfId="1430" priority="1731" operator="equal">
      <formula>"Not Automated"</formula>
    </cfRule>
  </conditionalFormatting>
  <conditionalFormatting sqref="F666:F738">
    <cfRule type="cellIs" dxfId="1429" priority="1728" operator="equal">
      <formula>"Completed"</formula>
    </cfRule>
  </conditionalFormatting>
  <conditionalFormatting sqref="D704">
    <cfRule type="duplicateValues" dxfId="1428" priority="1717"/>
  </conditionalFormatting>
  <conditionalFormatting sqref="D721">
    <cfRule type="duplicateValues" dxfId="1427" priority="1716"/>
  </conditionalFormatting>
  <conditionalFormatting sqref="D722">
    <cfRule type="duplicateValues" dxfId="1426" priority="1715"/>
  </conditionalFormatting>
  <conditionalFormatting sqref="D724">
    <cfRule type="duplicateValues" dxfId="1425" priority="1714"/>
  </conditionalFormatting>
  <conditionalFormatting sqref="D725">
    <cfRule type="duplicateValues" dxfId="1424" priority="1712"/>
  </conditionalFormatting>
  <conditionalFormatting sqref="D729">
    <cfRule type="duplicateValues" dxfId="1423" priority="1710"/>
  </conditionalFormatting>
  <conditionalFormatting sqref="D719">
    <cfRule type="duplicateValues" dxfId="1422" priority="1708"/>
  </conditionalFormatting>
  <conditionalFormatting sqref="D666">
    <cfRule type="duplicateValues" dxfId="1421" priority="1705"/>
  </conditionalFormatting>
  <conditionalFormatting sqref="D667">
    <cfRule type="duplicateValues" dxfId="1420" priority="1701"/>
  </conditionalFormatting>
  <conditionalFormatting sqref="D668">
    <cfRule type="duplicateValues" dxfId="1419" priority="1697"/>
  </conditionalFormatting>
  <conditionalFormatting sqref="D669:D673">
    <cfRule type="duplicateValues" dxfId="1418" priority="1693"/>
  </conditionalFormatting>
  <conditionalFormatting sqref="D674">
    <cfRule type="duplicateValues" dxfId="1417" priority="1689"/>
  </conditionalFormatting>
  <conditionalFormatting sqref="D675">
    <cfRule type="duplicateValues" dxfId="1416" priority="1685"/>
  </conditionalFormatting>
  <conditionalFormatting sqref="D676">
    <cfRule type="duplicateValues" dxfId="1415" priority="1681"/>
  </conditionalFormatting>
  <conditionalFormatting sqref="D677">
    <cfRule type="duplicateValues" dxfId="1414" priority="1677"/>
  </conditionalFormatting>
  <conditionalFormatting sqref="D678">
    <cfRule type="duplicateValues" dxfId="1413" priority="1673"/>
  </conditionalFormatting>
  <conditionalFormatting sqref="D679">
    <cfRule type="duplicateValues" dxfId="1412" priority="1669"/>
  </conditionalFormatting>
  <conditionalFormatting sqref="D680:D684">
    <cfRule type="duplicateValues" dxfId="1411" priority="1665"/>
  </conditionalFormatting>
  <conditionalFormatting sqref="D685:D687">
    <cfRule type="duplicateValues" dxfId="1410" priority="1661"/>
  </conditionalFormatting>
  <conditionalFormatting sqref="D691:D694">
    <cfRule type="duplicateValues" dxfId="1409" priority="1653"/>
  </conditionalFormatting>
  <conditionalFormatting sqref="D688">
    <cfRule type="duplicateValues" dxfId="1408" priority="1649"/>
  </conditionalFormatting>
  <conditionalFormatting sqref="D689">
    <cfRule type="duplicateValues" dxfId="1407" priority="1646"/>
  </conditionalFormatting>
  <conditionalFormatting sqref="D690">
    <cfRule type="duplicateValues" dxfId="1406" priority="1643"/>
  </conditionalFormatting>
  <conditionalFormatting sqref="D708">
    <cfRule type="duplicateValues" dxfId="1405" priority="1640"/>
  </conditionalFormatting>
  <conditionalFormatting sqref="D709">
    <cfRule type="duplicateValues" dxfId="1404" priority="1637"/>
  </conditionalFormatting>
  <conditionalFormatting sqref="D710">
    <cfRule type="duplicateValues" dxfId="1403" priority="1634"/>
  </conditionalFormatting>
  <conditionalFormatting sqref="D705">
    <cfRule type="duplicateValues" dxfId="1402" priority="1632"/>
  </conditionalFormatting>
  <conditionalFormatting sqref="D706">
    <cfRule type="duplicateValues" dxfId="1401" priority="1631"/>
  </conditionalFormatting>
  <conditionalFormatting sqref="D707">
    <cfRule type="duplicateValues" dxfId="1400" priority="1630"/>
  </conditionalFormatting>
  <conditionalFormatting sqref="D695">
    <cfRule type="duplicateValues" dxfId="1399" priority="1629"/>
  </conditionalFormatting>
  <conditionalFormatting sqref="D696">
    <cfRule type="duplicateValues" dxfId="1398" priority="1628"/>
  </conditionalFormatting>
  <conditionalFormatting sqref="D699:D702">
    <cfRule type="duplicateValues" dxfId="1397" priority="1627"/>
  </conditionalFormatting>
  <conditionalFormatting sqref="D697">
    <cfRule type="duplicateValues" dxfId="1396" priority="1626"/>
  </conditionalFormatting>
  <conditionalFormatting sqref="D738">
    <cfRule type="duplicateValues" dxfId="1395" priority="1606"/>
  </conditionalFormatting>
  <conditionalFormatting sqref="D698">
    <cfRule type="duplicateValues" dxfId="1394" priority="1604"/>
  </conditionalFormatting>
  <conditionalFormatting sqref="D170">
    <cfRule type="duplicateValues" dxfId="1393" priority="1602"/>
  </conditionalFormatting>
  <conditionalFormatting sqref="D171">
    <cfRule type="duplicateValues" dxfId="1392" priority="1600"/>
  </conditionalFormatting>
  <conditionalFormatting sqref="D172">
    <cfRule type="duplicateValues" dxfId="1391" priority="1598"/>
  </conditionalFormatting>
  <conditionalFormatting sqref="D703">
    <cfRule type="duplicateValues" dxfId="1390" priority="1596"/>
  </conditionalFormatting>
  <conditionalFormatting sqref="B346">
    <cfRule type="duplicateValues" dxfId="1389" priority="979"/>
  </conditionalFormatting>
  <conditionalFormatting sqref="B350">
    <cfRule type="duplicateValues" dxfId="1388" priority="978"/>
  </conditionalFormatting>
  <conditionalFormatting sqref="B351">
    <cfRule type="duplicateValues" dxfId="1387" priority="977"/>
  </conditionalFormatting>
  <conditionalFormatting sqref="B352">
    <cfRule type="duplicateValues" dxfId="1386" priority="976"/>
  </conditionalFormatting>
  <conditionalFormatting sqref="B353">
    <cfRule type="duplicateValues" dxfId="1385" priority="975"/>
  </conditionalFormatting>
  <conditionalFormatting sqref="B354">
    <cfRule type="duplicateValues" dxfId="1384" priority="974"/>
  </conditionalFormatting>
  <conditionalFormatting sqref="B347">
    <cfRule type="duplicateValues" dxfId="1383" priority="973"/>
  </conditionalFormatting>
  <conditionalFormatting sqref="B348">
    <cfRule type="duplicateValues" dxfId="1382" priority="972"/>
  </conditionalFormatting>
  <conditionalFormatting sqref="B349">
    <cfRule type="duplicateValues" dxfId="1381" priority="971"/>
  </conditionalFormatting>
  <conditionalFormatting sqref="E346">
    <cfRule type="duplicateValues" dxfId="1380" priority="970"/>
  </conditionalFormatting>
  <conditionalFormatting sqref="E350">
    <cfRule type="duplicateValues" dxfId="1379" priority="969"/>
  </conditionalFormatting>
  <conditionalFormatting sqref="E351">
    <cfRule type="duplicateValues" dxfId="1378" priority="968"/>
  </conditionalFormatting>
  <conditionalFormatting sqref="E352">
    <cfRule type="duplicateValues" dxfId="1377" priority="967"/>
  </conditionalFormatting>
  <conditionalFormatting sqref="E353">
    <cfRule type="duplicateValues" dxfId="1376" priority="966"/>
  </conditionalFormatting>
  <conditionalFormatting sqref="E354">
    <cfRule type="duplicateValues" dxfId="1375" priority="965"/>
  </conditionalFormatting>
  <conditionalFormatting sqref="E347">
    <cfRule type="duplicateValues" dxfId="1374" priority="964"/>
  </conditionalFormatting>
  <conditionalFormatting sqref="E348">
    <cfRule type="duplicateValues" dxfId="1373" priority="963"/>
  </conditionalFormatting>
  <conditionalFormatting sqref="E349">
    <cfRule type="duplicateValues" dxfId="1372" priority="962"/>
  </conditionalFormatting>
  <conditionalFormatting sqref="I255">
    <cfRule type="cellIs" dxfId="1371" priority="944" operator="equal">
      <formula>"Regression"</formula>
    </cfRule>
    <cfRule type="cellIs" dxfId="1370" priority="945" operator="equal">
      <formula>"In-Sprint"</formula>
    </cfRule>
    <cfRule type="cellIs" dxfId="1369" priority="946" operator="equal">
      <formula>"Regression"</formula>
    </cfRule>
    <cfRule type="cellIs" dxfId="1368" priority="947" operator="equal">
      <formula>"Regression"</formula>
    </cfRule>
  </conditionalFormatting>
  <conditionalFormatting sqref="K255">
    <cfRule type="cellIs" dxfId="1367" priority="940" operator="equal">
      <formula>"Regression"</formula>
    </cfRule>
    <cfRule type="cellIs" dxfId="1366" priority="941" operator="equal">
      <formula>"In-Sprint"</formula>
    </cfRule>
    <cfRule type="cellIs" dxfId="1365" priority="942" operator="equal">
      <formula>"Regression"</formula>
    </cfRule>
    <cfRule type="cellIs" dxfId="1364" priority="943" operator="equal">
      <formula>"Regression"</formula>
    </cfRule>
  </conditionalFormatting>
  <conditionalFormatting sqref="I739">
    <cfRule type="cellIs" dxfId="1363" priority="880" operator="equal">
      <formula>"Regression"</formula>
    </cfRule>
    <cfRule type="cellIs" dxfId="1362" priority="881" operator="equal">
      <formula>"In-Sprint"</formula>
    </cfRule>
    <cfRule type="cellIs" dxfId="1361" priority="882" operator="equal">
      <formula>"Regression"</formula>
    </cfRule>
    <cfRule type="cellIs" dxfId="1360" priority="883" operator="equal">
      <formula>"Regression"</formula>
    </cfRule>
  </conditionalFormatting>
  <conditionalFormatting sqref="I739">
    <cfRule type="cellIs" dxfId="1359" priority="879" operator="equal">
      <formula>"Regression_API"</formula>
    </cfRule>
  </conditionalFormatting>
  <conditionalFormatting sqref="I740:I798">
    <cfRule type="cellIs" dxfId="1358" priority="875" operator="equal">
      <formula>"Regression"</formula>
    </cfRule>
    <cfRule type="cellIs" dxfId="1357" priority="876" operator="equal">
      <formula>"In-Sprint"</formula>
    </cfRule>
    <cfRule type="cellIs" dxfId="1356" priority="877" operator="equal">
      <formula>"Regression"</formula>
    </cfRule>
    <cfRule type="cellIs" dxfId="1355" priority="878" operator="equal">
      <formula>"Regression"</formula>
    </cfRule>
  </conditionalFormatting>
  <conditionalFormatting sqref="I740:I798">
    <cfRule type="cellIs" dxfId="1354" priority="874" operator="equal">
      <formula>"Regression_API"</formula>
    </cfRule>
  </conditionalFormatting>
  <conditionalFormatting sqref="D755">
    <cfRule type="duplicateValues" dxfId="1353" priority="871"/>
  </conditionalFormatting>
  <conditionalFormatting sqref="D779:D780">
    <cfRule type="duplicateValues" dxfId="1352" priority="850"/>
  </conditionalFormatting>
  <conditionalFormatting sqref="D781">
    <cfRule type="duplicateValues" dxfId="1351" priority="845"/>
  </conditionalFormatting>
  <conditionalFormatting sqref="D782">
    <cfRule type="duplicateValues" dxfId="1350" priority="844"/>
  </conditionalFormatting>
  <conditionalFormatting sqref="D792">
    <cfRule type="duplicateValues" dxfId="1349" priority="843"/>
  </conditionalFormatting>
  <conditionalFormatting sqref="D793:D795">
    <cfRule type="duplicateValues" dxfId="1348" priority="842"/>
  </conditionalFormatting>
  <conditionalFormatting sqref="F752:F773">
    <cfRule type="cellIs" dxfId="1347" priority="823" operator="equal">
      <formula>"In-Progress"</formula>
    </cfRule>
    <cfRule type="cellIs" dxfId="1346" priority="824" operator="equal">
      <formula>"Automated"</formula>
    </cfRule>
    <cfRule type="cellIs" dxfId="1345" priority="825" operator="equal">
      <formula>"Not Automated"</formula>
    </cfRule>
  </conditionalFormatting>
  <conditionalFormatting sqref="F752:F773">
    <cfRule type="cellIs" dxfId="1344" priority="822" operator="equal">
      <formula>"Completed"</formula>
    </cfRule>
  </conditionalFormatting>
  <conditionalFormatting sqref="F775:F785">
    <cfRule type="cellIs" dxfId="1343" priority="815" operator="equal">
      <formula>"In-Progress"</formula>
    </cfRule>
    <cfRule type="cellIs" dxfId="1342" priority="816" operator="equal">
      <formula>"Automated"</formula>
    </cfRule>
    <cfRule type="cellIs" dxfId="1341" priority="817" operator="equal">
      <formula>"Not Automated"</formula>
    </cfRule>
  </conditionalFormatting>
  <conditionalFormatting sqref="F775:F785">
    <cfRule type="cellIs" dxfId="1340" priority="814" operator="equal">
      <formula>"Completed"</formula>
    </cfRule>
  </conditionalFormatting>
  <conditionalFormatting sqref="F787:F798">
    <cfRule type="cellIs" dxfId="1339" priority="807" operator="equal">
      <formula>"In-Progress"</formula>
    </cfRule>
    <cfRule type="cellIs" dxfId="1338" priority="808" operator="equal">
      <formula>"Automated"</formula>
    </cfRule>
    <cfRule type="cellIs" dxfId="1337" priority="809" operator="equal">
      <formula>"Not Automated"</formula>
    </cfRule>
  </conditionalFormatting>
  <conditionalFormatting sqref="F787:F798">
    <cfRule type="cellIs" dxfId="1336" priority="806" operator="equal">
      <formula>"Completed"</formula>
    </cfRule>
  </conditionalFormatting>
  <conditionalFormatting sqref="D734">
    <cfRule type="duplicateValues" dxfId="1335" priority="801"/>
  </conditionalFormatting>
  <conditionalFormatting sqref="D735">
    <cfRule type="duplicateValues" dxfId="1334" priority="798"/>
  </conditionalFormatting>
  <conditionalFormatting sqref="D736">
    <cfRule type="duplicateValues" dxfId="1333" priority="795"/>
  </conditionalFormatting>
  <conditionalFormatting sqref="D737">
    <cfRule type="duplicateValues" dxfId="1332" priority="792"/>
  </conditionalFormatting>
  <conditionalFormatting sqref="D739">
    <cfRule type="duplicateValues" dxfId="1331" priority="786"/>
  </conditionalFormatting>
  <conditionalFormatting sqref="D740">
    <cfRule type="duplicateValues" dxfId="1330" priority="783"/>
  </conditionalFormatting>
  <conditionalFormatting sqref="D744">
    <cfRule type="duplicateValues" dxfId="1329" priority="780"/>
  </conditionalFormatting>
  <conditionalFormatting sqref="D745">
    <cfRule type="duplicateValues" dxfId="1328" priority="777"/>
  </conditionalFormatting>
  <conditionalFormatting sqref="F751">
    <cfRule type="cellIs" dxfId="1327" priority="769" operator="equal">
      <formula>"In-Progress"</formula>
    </cfRule>
    <cfRule type="cellIs" dxfId="1326" priority="770" operator="equal">
      <formula>"Automated"</formula>
    </cfRule>
    <cfRule type="cellIs" dxfId="1325" priority="771" operator="equal">
      <formula>"Not Automated"</formula>
    </cfRule>
  </conditionalFormatting>
  <conditionalFormatting sqref="F751">
    <cfRule type="cellIs" dxfId="1324" priority="768" operator="equal">
      <formula>"Completed"</formula>
    </cfRule>
  </conditionalFormatting>
  <conditionalFormatting sqref="F774">
    <cfRule type="cellIs" dxfId="1323" priority="761" operator="equal">
      <formula>"In-Progress"</formula>
    </cfRule>
    <cfRule type="cellIs" dxfId="1322" priority="762" operator="equal">
      <formula>"Automated"</formula>
    </cfRule>
    <cfRule type="cellIs" dxfId="1321" priority="763" operator="equal">
      <formula>"Not Automated"</formula>
    </cfRule>
  </conditionalFormatting>
  <conditionalFormatting sqref="F774">
    <cfRule type="cellIs" dxfId="1320" priority="760" operator="equal">
      <formula>"Completed"</formula>
    </cfRule>
  </conditionalFormatting>
  <conditionalFormatting sqref="F786">
    <cfRule type="cellIs" dxfId="1319" priority="753" operator="equal">
      <formula>"In-Progress"</formula>
    </cfRule>
    <cfRule type="cellIs" dxfId="1318" priority="754" operator="equal">
      <formula>"Automated"</formula>
    </cfRule>
    <cfRule type="cellIs" dxfId="1317" priority="755" operator="equal">
      <formula>"Not Automated"</formula>
    </cfRule>
  </conditionalFormatting>
  <conditionalFormatting sqref="F786">
    <cfRule type="cellIs" dxfId="1316" priority="752" operator="equal">
      <formula>"Completed"</formula>
    </cfRule>
  </conditionalFormatting>
  <conditionalFormatting sqref="F739">
    <cfRule type="cellIs" dxfId="1315" priority="745" operator="equal">
      <formula>"In-Progress"</formula>
    </cfRule>
    <cfRule type="cellIs" dxfId="1314" priority="746" operator="equal">
      <formula>"Automated"</formula>
    </cfRule>
    <cfRule type="cellIs" dxfId="1313" priority="747" operator="equal">
      <formula>"Not Automated"</formula>
    </cfRule>
  </conditionalFormatting>
  <conditionalFormatting sqref="F739">
    <cfRule type="cellIs" dxfId="1312" priority="744" operator="equal">
      <formula>"Completed"</formula>
    </cfRule>
  </conditionalFormatting>
  <conditionalFormatting sqref="F740">
    <cfRule type="cellIs" dxfId="1311" priority="737" operator="equal">
      <formula>"In-Progress"</formula>
    </cfRule>
    <cfRule type="cellIs" dxfId="1310" priority="738" operator="equal">
      <formula>"Automated"</formula>
    </cfRule>
    <cfRule type="cellIs" dxfId="1309" priority="739" operator="equal">
      <formula>"Not Automated"</formula>
    </cfRule>
  </conditionalFormatting>
  <conditionalFormatting sqref="F740">
    <cfRule type="cellIs" dxfId="1308" priority="736" operator="equal">
      <formula>"Completed"</formula>
    </cfRule>
  </conditionalFormatting>
  <conditionalFormatting sqref="F741:F750">
    <cfRule type="cellIs" dxfId="1307" priority="729" operator="equal">
      <formula>"In-Progress"</formula>
    </cfRule>
    <cfRule type="cellIs" dxfId="1306" priority="730" operator="equal">
      <formula>"Automated"</formula>
    </cfRule>
    <cfRule type="cellIs" dxfId="1305" priority="731" operator="equal">
      <formula>"Not Automated"</formula>
    </cfRule>
  </conditionalFormatting>
  <conditionalFormatting sqref="F741:F750">
    <cfRule type="cellIs" dxfId="1304" priority="728" operator="equal">
      <formula>"Completed"</formula>
    </cfRule>
  </conditionalFormatting>
  <conditionalFormatting sqref="F799">
    <cfRule type="cellIs" dxfId="1303" priority="717" operator="equal">
      <formula>"In-Progress"</formula>
    </cfRule>
    <cfRule type="cellIs" dxfId="1302" priority="718" operator="equal">
      <formula>"Automated"</formula>
    </cfRule>
    <cfRule type="cellIs" dxfId="1301" priority="719" operator="equal">
      <formula>"Not Automated"</formula>
    </cfRule>
  </conditionalFormatting>
  <conditionalFormatting sqref="F799">
    <cfRule type="cellIs" dxfId="1300" priority="716" operator="equal">
      <formula>"Completed"</formula>
    </cfRule>
  </conditionalFormatting>
  <conditionalFormatting sqref="I799">
    <cfRule type="cellIs" dxfId="1299" priority="704" operator="equal">
      <formula>"Regression"</formula>
    </cfRule>
    <cfRule type="cellIs" dxfId="1298" priority="705" operator="equal">
      <formula>"In-Sprint"</formula>
    </cfRule>
    <cfRule type="cellIs" dxfId="1297" priority="706" operator="equal">
      <formula>"Regression"</formula>
    </cfRule>
    <cfRule type="cellIs" dxfId="1296" priority="707" operator="equal">
      <formula>"Regression"</formula>
    </cfRule>
  </conditionalFormatting>
  <conditionalFormatting sqref="I799">
    <cfRule type="cellIs" dxfId="1295" priority="703" operator="equal">
      <formula>"Regression_API"</formula>
    </cfRule>
  </conditionalFormatting>
  <conditionalFormatting sqref="D805">
    <cfRule type="duplicateValues" dxfId="1294" priority="680"/>
  </conditionalFormatting>
  <conditionalFormatting sqref="D806">
    <cfRule type="duplicateValues" dxfId="1293" priority="679"/>
  </conditionalFormatting>
  <conditionalFormatting sqref="D803">
    <cfRule type="duplicateValues" dxfId="1292" priority="678"/>
  </conditionalFormatting>
  <conditionalFormatting sqref="D804">
    <cfRule type="duplicateValues" dxfId="1291" priority="675"/>
  </conditionalFormatting>
  <conditionalFormatting sqref="D807">
    <cfRule type="duplicateValues" dxfId="1290" priority="672"/>
  </conditionalFormatting>
  <conditionalFormatting sqref="D808">
    <cfRule type="duplicateValues" dxfId="1289" priority="669"/>
  </conditionalFormatting>
  <conditionalFormatting sqref="D809">
    <cfRule type="duplicateValues" dxfId="1288" priority="665"/>
  </conditionalFormatting>
  <conditionalFormatting sqref="D810">
    <cfRule type="duplicateValues" dxfId="1287" priority="663"/>
  </conditionalFormatting>
  <conditionalFormatting sqref="D811">
    <cfRule type="duplicateValues" dxfId="1286" priority="661"/>
  </conditionalFormatting>
  <conditionalFormatting sqref="D818">
    <cfRule type="duplicateValues" dxfId="1285" priority="658"/>
  </conditionalFormatting>
  <conditionalFormatting sqref="D819">
    <cfRule type="duplicateValues" dxfId="1284" priority="655"/>
  </conditionalFormatting>
  <conditionalFormatting sqref="D820">
    <cfRule type="duplicateValues" dxfId="1283" priority="652"/>
  </conditionalFormatting>
  <conditionalFormatting sqref="D822">
    <cfRule type="duplicateValues" dxfId="1282" priority="649"/>
  </conditionalFormatting>
  <conditionalFormatting sqref="D829">
    <cfRule type="duplicateValues" dxfId="1281" priority="646"/>
  </conditionalFormatting>
  <conditionalFormatting sqref="D830">
    <cfRule type="duplicateValues" dxfId="1280" priority="643"/>
  </conditionalFormatting>
  <conditionalFormatting sqref="D831">
    <cfRule type="duplicateValues" dxfId="1279" priority="641"/>
  </conditionalFormatting>
  <conditionalFormatting sqref="D832">
    <cfRule type="duplicateValues" dxfId="1278" priority="638"/>
  </conditionalFormatting>
  <conditionalFormatting sqref="D812">
    <cfRule type="duplicateValues" dxfId="1277" priority="625"/>
  </conditionalFormatting>
  <conditionalFormatting sqref="D813">
    <cfRule type="duplicateValues" dxfId="1276" priority="621"/>
  </conditionalFormatting>
  <conditionalFormatting sqref="D814">
    <cfRule type="duplicateValues" dxfId="1275" priority="617"/>
  </conditionalFormatting>
  <conditionalFormatting sqref="D815">
    <cfRule type="duplicateValues" dxfId="1274" priority="615"/>
  </conditionalFormatting>
  <conditionalFormatting sqref="D816">
    <cfRule type="duplicateValues" dxfId="1273" priority="612"/>
  </conditionalFormatting>
  <conditionalFormatting sqref="D817">
    <cfRule type="duplicateValues" dxfId="1272" priority="609"/>
  </conditionalFormatting>
  <conditionalFormatting sqref="D823">
    <cfRule type="duplicateValues" dxfId="1271" priority="607"/>
  </conditionalFormatting>
  <conditionalFormatting sqref="D824">
    <cfRule type="duplicateValues" dxfId="1270" priority="606"/>
  </conditionalFormatting>
  <conditionalFormatting sqref="D825">
    <cfRule type="duplicateValues" dxfId="1269" priority="605"/>
  </conditionalFormatting>
  <conditionalFormatting sqref="D826">
    <cfRule type="duplicateValues" dxfId="1268" priority="604"/>
  </conditionalFormatting>
  <conditionalFormatting sqref="D827">
    <cfRule type="duplicateValues" dxfId="1267" priority="603"/>
  </conditionalFormatting>
  <conditionalFormatting sqref="D828">
    <cfRule type="duplicateValues" dxfId="1266" priority="602"/>
  </conditionalFormatting>
  <conditionalFormatting sqref="D836">
    <cfRule type="duplicateValues" dxfId="1265" priority="601"/>
  </conditionalFormatting>
  <conditionalFormatting sqref="D799">
    <cfRule type="duplicateValues" dxfId="1264" priority="600"/>
  </conditionalFormatting>
  <conditionalFormatting sqref="D800">
    <cfRule type="duplicateValues" dxfId="1263" priority="599"/>
  </conditionalFormatting>
  <conditionalFormatting sqref="D821">
    <cfRule type="duplicateValues" dxfId="1262" priority="597"/>
  </conditionalFormatting>
  <conditionalFormatting sqref="D859">
    <cfRule type="duplicateValues" dxfId="1261" priority="577"/>
  </conditionalFormatting>
  <conditionalFormatting sqref="D859">
    <cfRule type="duplicateValues" dxfId="1260" priority="574"/>
    <cfRule type="duplicateValues" dxfId="1259" priority="575"/>
  </conditionalFormatting>
  <conditionalFormatting sqref="D860">
    <cfRule type="duplicateValues" dxfId="1258" priority="570"/>
  </conditionalFormatting>
  <conditionalFormatting sqref="D860">
    <cfRule type="duplicateValues" dxfId="1257" priority="567"/>
    <cfRule type="duplicateValues" dxfId="1256" priority="568"/>
  </conditionalFormatting>
  <conditionalFormatting sqref="D862">
    <cfRule type="duplicateValues" dxfId="1255" priority="563"/>
  </conditionalFormatting>
  <conditionalFormatting sqref="D862">
    <cfRule type="duplicateValues" dxfId="1254" priority="560"/>
    <cfRule type="duplicateValues" dxfId="1253" priority="561"/>
  </conditionalFormatting>
  <conditionalFormatting sqref="D863">
    <cfRule type="duplicateValues" dxfId="1252" priority="556"/>
  </conditionalFormatting>
  <conditionalFormatting sqref="D863">
    <cfRule type="duplicateValues" dxfId="1251" priority="553"/>
    <cfRule type="duplicateValues" dxfId="1250" priority="554"/>
  </conditionalFormatting>
  <conditionalFormatting sqref="D861">
    <cfRule type="duplicateValues" dxfId="1249" priority="549"/>
  </conditionalFormatting>
  <conditionalFormatting sqref="D861">
    <cfRule type="duplicateValues" dxfId="1248" priority="546"/>
    <cfRule type="duplicateValues" dxfId="1247" priority="547"/>
  </conditionalFormatting>
  <conditionalFormatting sqref="D864">
    <cfRule type="duplicateValues" dxfId="1246" priority="542"/>
  </conditionalFormatting>
  <conditionalFormatting sqref="D864">
    <cfRule type="duplicateValues" dxfId="1245" priority="539"/>
    <cfRule type="duplicateValues" dxfId="1244" priority="540"/>
  </conditionalFormatting>
  <conditionalFormatting sqref="D865">
    <cfRule type="duplicateValues" dxfId="1243" priority="535"/>
  </conditionalFormatting>
  <conditionalFormatting sqref="D865">
    <cfRule type="duplicateValues" dxfId="1242" priority="532"/>
    <cfRule type="duplicateValues" dxfId="1241" priority="533"/>
  </conditionalFormatting>
  <conditionalFormatting sqref="H893 H924">
    <cfRule type="cellIs" dxfId="1240" priority="526" operator="equal">
      <formula>"Unexecuted"</formula>
    </cfRule>
    <cfRule type="cellIs" dxfId="1239" priority="527" operator="equal">
      <formula>"Blocked"</formula>
    </cfRule>
    <cfRule type="cellIs" dxfId="1238" priority="528" operator="equal">
      <formula>"Passed"</formula>
    </cfRule>
    <cfRule type="cellIs" dxfId="1237" priority="529" operator="equal">
      <formula>"Failed"</formula>
    </cfRule>
  </conditionalFormatting>
  <conditionalFormatting sqref="I892">
    <cfRule type="cellIs" dxfId="1236" priority="522" operator="equal">
      <formula>"Regression"</formula>
    </cfRule>
    <cfRule type="cellIs" dxfId="1235" priority="523" operator="equal">
      <formula>"In-Sprint"</formula>
    </cfRule>
    <cfRule type="cellIs" dxfId="1234" priority="524" operator="equal">
      <formula>"Regression"</formula>
    </cfRule>
    <cfRule type="cellIs" dxfId="1233" priority="525" operator="equal">
      <formula>"Regression"</formula>
    </cfRule>
  </conditionalFormatting>
  <conditionalFormatting sqref="I892">
    <cfRule type="cellIs" dxfId="1232" priority="521" operator="equal">
      <formula>"Regression_API"</formula>
    </cfRule>
  </conditionalFormatting>
  <conditionalFormatting sqref="F906">
    <cfRule type="cellIs" dxfId="1231" priority="513" operator="equal">
      <formula>"In-Progress"</formula>
    </cfRule>
    <cfRule type="cellIs" dxfId="1230" priority="514" operator="equal">
      <formula>"Automated"</formula>
    </cfRule>
    <cfRule type="cellIs" dxfId="1229" priority="515" operator="equal">
      <formula>"Not Automated"</formula>
    </cfRule>
  </conditionalFormatting>
  <conditionalFormatting sqref="F906">
    <cfRule type="cellIs" dxfId="1228" priority="512" operator="equal">
      <formula>"Completed"</formula>
    </cfRule>
  </conditionalFormatting>
  <conditionalFormatting sqref="F907">
    <cfRule type="cellIs" dxfId="1227" priority="505" operator="equal">
      <formula>"In-Progress"</formula>
    </cfRule>
    <cfRule type="cellIs" dxfId="1226" priority="506" operator="equal">
      <formula>"Automated"</formula>
    </cfRule>
    <cfRule type="cellIs" dxfId="1225" priority="507" operator="equal">
      <formula>"Not Automated"</formula>
    </cfRule>
  </conditionalFormatting>
  <conditionalFormatting sqref="F907">
    <cfRule type="cellIs" dxfId="1224" priority="504" operator="equal">
      <formula>"Completed"</formula>
    </cfRule>
  </conditionalFormatting>
  <conditionalFormatting sqref="F908">
    <cfRule type="cellIs" dxfId="1223" priority="497" operator="equal">
      <formula>"In-Progress"</formula>
    </cfRule>
    <cfRule type="cellIs" dxfId="1222" priority="498" operator="equal">
      <formula>"Automated"</formula>
    </cfRule>
    <cfRule type="cellIs" dxfId="1221" priority="499" operator="equal">
      <formula>"Not Automated"</formula>
    </cfRule>
  </conditionalFormatting>
  <conditionalFormatting sqref="F908">
    <cfRule type="cellIs" dxfId="1220" priority="496" operator="equal">
      <formula>"Completed"</formula>
    </cfRule>
  </conditionalFormatting>
  <conditionalFormatting sqref="F909">
    <cfRule type="cellIs" dxfId="1219" priority="489" operator="equal">
      <formula>"In-Progress"</formula>
    </cfRule>
    <cfRule type="cellIs" dxfId="1218" priority="490" operator="equal">
      <formula>"Automated"</formula>
    </cfRule>
    <cfRule type="cellIs" dxfId="1217" priority="491" operator="equal">
      <formula>"Not Automated"</formula>
    </cfRule>
  </conditionalFormatting>
  <conditionalFormatting sqref="F909">
    <cfRule type="cellIs" dxfId="1216" priority="488" operator="equal">
      <formula>"Completed"</formula>
    </cfRule>
  </conditionalFormatting>
  <conditionalFormatting sqref="F910">
    <cfRule type="cellIs" dxfId="1215" priority="481" operator="equal">
      <formula>"In-Progress"</formula>
    </cfRule>
    <cfRule type="cellIs" dxfId="1214" priority="482" operator="equal">
      <formula>"Automated"</formula>
    </cfRule>
    <cfRule type="cellIs" dxfId="1213" priority="483" operator="equal">
      <formula>"Not Automated"</formula>
    </cfRule>
  </conditionalFormatting>
  <conditionalFormatting sqref="F910">
    <cfRule type="cellIs" dxfId="1212" priority="480" operator="equal">
      <formula>"Completed"</formula>
    </cfRule>
  </conditionalFormatting>
  <conditionalFormatting sqref="F911">
    <cfRule type="cellIs" dxfId="1211" priority="473" operator="equal">
      <formula>"In-Progress"</formula>
    </cfRule>
    <cfRule type="cellIs" dxfId="1210" priority="474" operator="equal">
      <formula>"Automated"</formula>
    </cfRule>
    <cfRule type="cellIs" dxfId="1209" priority="475" operator="equal">
      <formula>"Not Automated"</formula>
    </cfRule>
  </conditionalFormatting>
  <conditionalFormatting sqref="F911">
    <cfRule type="cellIs" dxfId="1208" priority="472" operator="equal">
      <formula>"Completed"</formula>
    </cfRule>
  </conditionalFormatting>
  <conditionalFormatting sqref="F912">
    <cfRule type="cellIs" dxfId="1207" priority="465" operator="equal">
      <formula>"In-Progress"</formula>
    </cfRule>
    <cfRule type="cellIs" dxfId="1206" priority="466" operator="equal">
      <formula>"Automated"</formula>
    </cfRule>
    <cfRule type="cellIs" dxfId="1205" priority="467" operator="equal">
      <formula>"Not Automated"</formula>
    </cfRule>
  </conditionalFormatting>
  <conditionalFormatting sqref="F912">
    <cfRule type="cellIs" dxfId="1204" priority="464" operator="equal">
      <formula>"Completed"</formula>
    </cfRule>
  </conditionalFormatting>
  <conditionalFormatting sqref="F913">
    <cfRule type="cellIs" dxfId="1203" priority="457" operator="equal">
      <formula>"In-Progress"</formula>
    </cfRule>
    <cfRule type="cellIs" dxfId="1202" priority="458" operator="equal">
      <formula>"Automated"</formula>
    </cfRule>
    <cfRule type="cellIs" dxfId="1201" priority="459" operator="equal">
      <formula>"Not Automated"</formula>
    </cfRule>
  </conditionalFormatting>
  <conditionalFormatting sqref="F913">
    <cfRule type="cellIs" dxfId="1200" priority="456" operator="equal">
      <formula>"Completed"</formula>
    </cfRule>
  </conditionalFormatting>
  <conditionalFormatting sqref="F914">
    <cfRule type="cellIs" dxfId="1199" priority="449" operator="equal">
      <formula>"In-Progress"</formula>
    </cfRule>
    <cfRule type="cellIs" dxfId="1198" priority="450" operator="equal">
      <formula>"Automated"</formula>
    </cfRule>
    <cfRule type="cellIs" dxfId="1197" priority="451" operator="equal">
      <formula>"Not Automated"</formula>
    </cfRule>
  </conditionalFormatting>
  <conditionalFormatting sqref="F914">
    <cfRule type="cellIs" dxfId="1196" priority="448" operator="equal">
      <formula>"Completed"</formula>
    </cfRule>
  </conditionalFormatting>
  <conditionalFormatting sqref="F915">
    <cfRule type="cellIs" dxfId="1195" priority="441" operator="equal">
      <formula>"In-Progress"</formula>
    </cfRule>
    <cfRule type="cellIs" dxfId="1194" priority="442" operator="equal">
      <formula>"Automated"</formula>
    </cfRule>
    <cfRule type="cellIs" dxfId="1193" priority="443" operator="equal">
      <formula>"Not Automated"</formula>
    </cfRule>
  </conditionalFormatting>
  <conditionalFormatting sqref="F915">
    <cfRule type="cellIs" dxfId="1192" priority="440" operator="equal">
      <formula>"Completed"</formula>
    </cfRule>
  </conditionalFormatting>
  <conditionalFormatting sqref="F916">
    <cfRule type="cellIs" dxfId="1191" priority="433" operator="equal">
      <formula>"In-Progress"</formula>
    </cfRule>
    <cfRule type="cellIs" dxfId="1190" priority="434" operator="equal">
      <formula>"Automated"</formula>
    </cfRule>
    <cfRule type="cellIs" dxfId="1189" priority="435" operator="equal">
      <formula>"Not Automated"</formula>
    </cfRule>
  </conditionalFormatting>
  <conditionalFormatting sqref="F916">
    <cfRule type="cellIs" dxfId="1188" priority="432" operator="equal">
      <formula>"Completed"</formula>
    </cfRule>
  </conditionalFormatting>
  <conditionalFormatting sqref="F900">
    <cfRule type="cellIs" dxfId="1187" priority="425" operator="equal">
      <formula>"In-Progress"</formula>
    </cfRule>
    <cfRule type="cellIs" dxfId="1186" priority="426" operator="equal">
      <formula>"Automated"</formula>
    </cfRule>
    <cfRule type="cellIs" dxfId="1185" priority="427" operator="equal">
      <formula>"Not Automated"</formula>
    </cfRule>
  </conditionalFormatting>
  <conditionalFormatting sqref="F900">
    <cfRule type="cellIs" dxfId="1184" priority="424" operator="equal">
      <formula>"Completed"</formula>
    </cfRule>
  </conditionalFormatting>
  <conditionalFormatting sqref="F901">
    <cfRule type="cellIs" dxfId="1183" priority="417" operator="equal">
      <formula>"In-Progress"</formula>
    </cfRule>
    <cfRule type="cellIs" dxfId="1182" priority="418" operator="equal">
      <formula>"Automated"</formula>
    </cfRule>
    <cfRule type="cellIs" dxfId="1181" priority="419" operator="equal">
      <formula>"Not Automated"</formula>
    </cfRule>
  </conditionalFormatting>
  <conditionalFormatting sqref="F901">
    <cfRule type="cellIs" dxfId="1180" priority="416" operator="equal">
      <formula>"Completed"</formula>
    </cfRule>
  </conditionalFormatting>
  <conditionalFormatting sqref="F902">
    <cfRule type="cellIs" dxfId="1179" priority="409" operator="equal">
      <formula>"In-Progress"</formula>
    </cfRule>
    <cfRule type="cellIs" dxfId="1178" priority="410" operator="equal">
      <formula>"Automated"</formula>
    </cfRule>
    <cfRule type="cellIs" dxfId="1177" priority="411" operator="equal">
      <formula>"Not Automated"</formula>
    </cfRule>
  </conditionalFormatting>
  <conditionalFormatting sqref="F902">
    <cfRule type="cellIs" dxfId="1176" priority="408" operator="equal">
      <formula>"Completed"</formula>
    </cfRule>
  </conditionalFormatting>
  <conditionalFormatting sqref="F903">
    <cfRule type="cellIs" dxfId="1175" priority="401" operator="equal">
      <formula>"In-Progress"</formula>
    </cfRule>
    <cfRule type="cellIs" dxfId="1174" priority="402" operator="equal">
      <formula>"Automated"</formula>
    </cfRule>
    <cfRule type="cellIs" dxfId="1173" priority="403" operator="equal">
      <formula>"Not Automated"</formula>
    </cfRule>
  </conditionalFormatting>
  <conditionalFormatting sqref="F903">
    <cfRule type="cellIs" dxfId="1172" priority="400" operator="equal">
      <formula>"Completed"</formula>
    </cfRule>
  </conditionalFormatting>
  <conditionalFormatting sqref="H18">
    <cfRule type="cellIs" dxfId="1171" priority="359" operator="equal">
      <formula>"Unexecuted"</formula>
    </cfRule>
    <cfRule type="cellIs" dxfId="1170" priority="360" operator="equal">
      <formula>"Blocked"</formula>
    </cfRule>
    <cfRule type="cellIs" dxfId="1169" priority="361" operator="equal">
      <formula>"Passed"</formula>
    </cfRule>
    <cfRule type="cellIs" dxfId="1168" priority="362" operator="equal">
      <formula>"Failed"</formula>
    </cfRule>
  </conditionalFormatting>
  <conditionalFormatting sqref="H934:H937">
    <cfRule type="cellIs" dxfId="1167" priority="319" operator="equal">
      <formula>"Unexecuted"</formula>
    </cfRule>
    <cfRule type="cellIs" dxfId="1166" priority="320" operator="equal">
      <formula>"Blocked"</formula>
    </cfRule>
    <cfRule type="cellIs" dxfId="1165" priority="321" operator="equal">
      <formula>"Passed"</formula>
    </cfRule>
    <cfRule type="cellIs" dxfId="1164" priority="322" operator="equal">
      <formula>"Failed"</formula>
    </cfRule>
  </conditionalFormatting>
  <conditionalFormatting sqref="F892:F899">
    <cfRule type="cellIs" dxfId="1163" priority="311" operator="equal">
      <formula>"In-Progress"</formula>
    </cfRule>
    <cfRule type="cellIs" dxfId="1162" priority="312" operator="equal">
      <formula>"Automated"</formula>
    </cfRule>
    <cfRule type="cellIs" dxfId="1161" priority="313" operator="equal">
      <formula>"Not Automated"</formula>
    </cfRule>
  </conditionalFormatting>
  <conditionalFormatting sqref="F892:F899">
    <cfRule type="cellIs" dxfId="1160" priority="310" operator="equal">
      <formula>"Completed"</formula>
    </cfRule>
  </conditionalFormatting>
  <conditionalFormatting sqref="F904">
    <cfRule type="cellIs" dxfId="1159" priority="303" operator="equal">
      <formula>"In-Progress"</formula>
    </cfRule>
    <cfRule type="cellIs" dxfId="1158" priority="304" operator="equal">
      <formula>"Automated"</formula>
    </cfRule>
    <cfRule type="cellIs" dxfId="1157" priority="305" operator="equal">
      <formula>"Not Automated"</formula>
    </cfRule>
  </conditionalFormatting>
  <conditionalFormatting sqref="F904">
    <cfRule type="cellIs" dxfId="1156" priority="302" operator="equal">
      <formula>"Completed"</formula>
    </cfRule>
  </conditionalFormatting>
  <conditionalFormatting sqref="F905">
    <cfRule type="cellIs" dxfId="1155" priority="295" operator="equal">
      <formula>"In-Progress"</formula>
    </cfRule>
    <cfRule type="cellIs" dxfId="1154" priority="296" operator="equal">
      <formula>"Automated"</formula>
    </cfRule>
    <cfRule type="cellIs" dxfId="1153" priority="297" operator="equal">
      <formula>"Not Automated"</formula>
    </cfRule>
  </conditionalFormatting>
  <conditionalFormatting sqref="F905">
    <cfRule type="cellIs" dxfId="1152" priority="294" operator="equal">
      <formula>"Completed"</formula>
    </cfRule>
  </conditionalFormatting>
  <conditionalFormatting sqref="F917:F944">
    <cfRule type="cellIs" dxfId="1151" priority="287" operator="equal">
      <formula>"In-Progress"</formula>
    </cfRule>
    <cfRule type="cellIs" dxfId="1150" priority="288" operator="equal">
      <formula>"Automated"</formula>
    </cfRule>
    <cfRule type="cellIs" dxfId="1149" priority="289" operator="equal">
      <formula>"Not Automated"</formula>
    </cfRule>
  </conditionalFormatting>
  <conditionalFormatting sqref="F917:F944">
    <cfRule type="cellIs" dxfId="1148" priority="286" operator="equal">
      <formula>"Completed"</formula>
    </cfRule>
  </conditionalFormatting>
  <conditionalFormatting sqref="I893:I944">
    <cfRule type="cellIs" dxfId="1147" priority="278" operator="equal">
      <formula>"Regression"</formula>
    </cfRule>
    <cfRule type="cellIs" dxfId="1146" priority="279" operator="equal">
      <formula>"In-Sprint"</formula>
    </cfRule>
    <cfRule type="cellIs" dxfId="1145" priority="280" operator="equal">
      <formula>"Regression"</formula>
    </cfRule>
    <cfRule type="cellIs" dxfId="1144" priority="281" operator="equal">
      <formula>"Regression"</formula>
    </cfRule>
  </conditionalFormatting>
  <conditionalFormatting sqref="I893:I944">
    <cfRule type="cellIs" dxfId="1143" priority="277" operator="equal">
      <formula>"Regression_API"</formula>
    </cfRule>
  </conditionalFormatting>
  <conditionalFormatting sqref="E1:E1048576">
    <cfRule type="duplicateValues" dxfId="1142" priority="276"/>
  </conditionalFormatting>
  <conditionalFormatting sqref="F945">
    <cfRule type="cellIs" dxfId="1141" priority="269" operator="equal">
      <formula>"In-Progress"</formula>
    </cfRule>
    <cfRule type="cellIs" dxfId="1140" priority="270" operator="equal">
      <formula>"Automated"</formula>
    </cfRule>
    <cfRule type="cellIs" dxfId="1139" priority="271" operator="equal">
      <formula>"Not Automated"</formula>
    </cfRule>
  </conditionalFormatting>
  <conditionalFormatting sqref="F945">
    <cfRule type="cellIs" dxfId="1138" priority="268" operator="equal">
      <formula>"Completed"</formula>
    </cfRule>
  </conditionalFormatting>
  <conditionalFormatting sqref="H945">
    <cfRule type="cellIs" dxfId="1137" priority="260" operator="equal">
      <formula>"Unexecuted"</formula>
    </cfRule>
    <cfRule type="cellIs" dxfId="1136" priority="261" operator="equal">
      <formula>"Blocked"</formula>
    </cfRule>
    <cfRule type="cellIs" dxfId="1135" priority="262" operator="equal">
      <formula>"Passed"</formula>
    </cfRule>
    <cfRule type="cellIs" dxfId="1134" priority="263" operator="equal">
      <formula>"Failed"</formula>
    </cfRule>
  </conditionalFormatting>
  <conditionalFormatting sqref="I945">
    <cfRule type="cellIs" dxfId="1133" priority="256" operator="equal">
      <formula>"Regression"</formula>
    </cfRule>
    <cfRule type="cellIs" dxfId="1132" priority="257" operator="equal">
      <formula>"In-Sprint"</formula>
    </cfRule>
    <cfRule type="cellIs" dxfId="1131" priority="258" operator="equal">
      <formula>"Regression"</formula>
    </cfRule>
    <cfRule type="cellIs" dxfId="1130" priority="259" operator="equal">
      <formula>"Regression"</formula>
    </cfRule>
  </conditionalFormatting>
  <conditionalFormatting sqref="I945">
    <cfRule type="cellIs" dxfId="1129" priority="255" operator="equal">
      <formula>"Regression_API"</formula>
    </cfRule>
  </conditionalFormatting>
  <conditionalFormatting sqref="H946:H1058">
    <cfRule type="cellIs" dxfId="1128" priority="243" operator="equal">
      <formula>"Unexecuted"</formula>
    </cfRule>
    <cfRule type="cellIs" dxfId="1127" priority="244" operator="equal">
      <formula>"Blocked"</formula>
    </cfRule>
    <cfRule type="cellIs" dxfId="1126" priority="245" operator="equal">
      <formula>"Passed"</formula>
    </cfRule>
    <cfRule type="cellIs" dxfId="1125" priority="246" operator="equal">
      <formula>"Failed"</formula>
    </cfRule>
  </conditionalFormatting>
  <conditionalFormatting sqref="D949:D950">
    <cfRule type="duplicateValues" dxfId="1124" priority="237"/>
  </conditionalFormatting>
  <conditionalFormatting sqref="D949:D950">
    <cfRule type="duplicateValues" dxfId="1123" priority="236"/>
  </conditionalFormatting>
  <conditionalFormatting sqref="D954">
    <cfRule type="duplicateValues" dxfId="1122" priority="235"/>
  </conditionalFormatting>
  <conditionalFormatting sqref="D955">
    <cfRule type="duplicateValues" dxfId="1121" priority="234"/>
  </conditionalFormatting>
  <conditionalFormatting sqref="D966">
    <cfRule type="duplicateValues" dxfId="1120" priority="228"/>
  </conditionalFormatting>
  <conditionalFormatting sqref="D966">
    <cfRule type="duplicateValues" dxfId="1119" priority="229"/>
  </conditionalFormatting>
  <conditionalFormatting sqref="D966">
    <cfRule type="duplicateValues" dxfId="1118" priority="230"/>
  </conditionalFormatting>
  <conditionalFormatting sqref="D966">
    <cfRule type="duplicateValues" dxfId="1117" priority="231"/>
  </conditionalFormatting>
  <conditionalFormatting sqref="D966">
    <cfRule type="duplicateValues" dxfId="1116" priority="232"/>
  </conditionalFormatting>
  <conditionalFormatting sqref="D966">
    <cfRule type="duplicateValues" dxfId="1115" priority="233"/>
  </conditionalFormatting>
  <conditionalFormatting sqref="D967">
    <cfRule type="duplicateValues" dxfId="1114" priority="222"/>
  </conditionalFormatting>
  <conditionalFormatting sqref="D967">
    <cfRule type="duplicateValues" dxfId="1113" priority="223"/>
  </conditionalFormatting>
  <conditionalFormatting sqref="D967">
    <cfRule type="duplicateValues" dxfId="1112" priority="224"/>
  </conditionalFormatting>
  <conditionalFormatting sqref="D967">
    <cfRule type="duplicateValues" dxfId="1111" priority="225"/>
  </conditionalFormatting>
  <conditionalFormatting sqref="D967">
    <cfRule type="duplicateValues" dxfId="1110" priority="226"/>
  </conditionalFormatting>
  <conditionalFormatting sqref="D967">
    <cfRule type="duplicateValues" dxfId="1109" priority="227"/>
  </conditionalFormatting>
  <conditionalFormatting sqref="D968">
    <cfRule type="duplicateValues" dxfId="1108" priority="216"/>
  </conditionalFormatting>
  <conditionalFormatting sqref="D968">
    <cfRule type="duplicateValues" dxfId="1107" priority="217"/>
  </conditionalFormatting>
  <conditionalFormatting sqref="D968">
    <cfRule type="duplicateValues" dxfId="1106" priority="218"/>
  </conditionalFormatting>
  <conditionalFormatting sqref="D968">
    <cfRule type="duplicateValues" dxfId="1105" priority="219"/>
  </conditionalFormatting>
  <conditionalFormatting sqref="D968">
    <cfRule type="duplicateValues" dxfId="1104" priority="220"/>
  </conditionalFormatting>
  <conditionalFormatting sqref="D968">
    <cfRule type="duplicateValues" dxfId="1103" priority="221"/>
  </conditionalFormatting>
  <conditionalFormatting sqref="D969">
    <cfRule type="duplicateValues" dxfId="1102" priority="210"/>
  </conditionalFormatting>
  <conditionalFormatting sqref="D969">
    <cfRule type="duplicateValues" dxfId="1101" priority="211"/>
  </conditionalFormatting>
  <conditionalFormatting sqref="D969">
    <cfRule type="duplicateValues" dxfId="1100" priority="212"/>
  </conditionalFormatting>
  <conditionalFormatting sqref="D969">
    <cfRule type="duplicateValues" dxfId="1099" priority="213"/>
  </conditionalFormatting>
  <conditionalFormatting sqref="D969">
    <cfRule type="duplicateValues" dxfId="1098" priority="214"/>
  </conditionalFormatting>
  <conditionalFormatting sqref="D969">
    <cfRule type="duplicateValues" dxfId="1097" priority="215"/>
  </conditionalFormatting>
  <conditionalFormatting sqref="D970">
    <cfRule type="duplicateValues" dxfId="1096" priority="204"/>
  </conditionalFormatting>
  <conditionalFormatting sqref="D970">
    <cfRule type="duplicateValues" dxfId="1095" priority="205"/>
  </conditionalFormatting>
  <conditionalFormatting sqref="D970">
    <cfRule type="duplicateValues" dxfId="1094" priority="206"/>
  </conditionalFormatting>
  <conditionalFormatting sqref="D970">
    <cfRule type="duplicateValues" dxfId="1093" priority="207"/>
  </conditionalFormatting>
  <conditionalFormatting sqref="D970">
    <cfRule type="duplicateValues" dxfId="1092" priority="208"/>
  </conditionalFormatting>
  <conditionalFormatting sqref="D970">
    <cfRule type="duplicateValues" dxfId="1091" priority="209"/>
  </conditionalFormatting>
  <conditionalFormatting sqref="D971">
    <cfRule type="duplicateValues" dxfId="1090" priority="198"/>
  </conditionalFormatting>
  <conditionalFormatting sqref="D971">
    <cfRule type="duplicateValues" dxfId="1089" priority="199"/>
  </conditionalFormatting>
  <conditionalFormatting sqref="D971">
    <cfRule type="duplicateValues" dxfId="1088" priority="200"/>
  </conditionalFormatting>
  <conditionalFormatting sqref="D971">
    <cfRule type="duplicateValues" dxfId="1087" priority="201"/>
  </conditionalFormatting>
  <conditionalFormatting sqref="D971">
    <cfRule type="duplicateValues" dxfId="1086" priority="202"/>
  </conditionalFormatting>
  <conditionalFormatting sqref="D971">
    <cfRule type="duplicateValues" dxfId="1085" priority="203"/>
  </conditionalFormatting>
  <conditionalFormatting sqref="D972">
    <cfRule type="duplicateValues" dxfId="1084" priority="192"/>
  </conditionalFormatting>
  <conditionalFormatting sqref="D972">
    <cfRule type="duplicateValues" dxfId="1083" priority="193"/>
  </conditionalFormatting>
  <conditionalFormatting sqref="D972">
    <cfRule type="duplicateValues" dxfId="1082" priority="194"/>
  </conditionalFormatting>
  <conditionalFormatting sqref="D972">
    <cfRule type="duplicateValues" dxfId="1081" priority="195"/>
  </conditionalFormatting>
  <conditionalFormatting sqref="D972">
    <cfRule type="duplicateValues" dxfId="1080" priority="196"/>
  </conditionalFormatting>
  <conditionalFormatting sqref="D972">
    <cfRule type="duplicateValues" dxfId="1079" priority="197"/>
  </conditionalFormatting>
  <conditionalFormatting sqref="D988">
    <cfRule type="duplicateValues" dxfId="1078" priority="191"/>
  </conditionalFormatting>
  <conditionalFormatting sqref="D993">
    <cfRule type="duplicateValues" dxfId="1077" priority="184"/>
  </conditionalFormatting>
  <conditionalFormatting sqref="D993">
    <cfRule type="duplicateValues" dxfId="1076" priority="185"/>
  </conditionalFormatting>
  <conditionalFormatting sqref="D993">
    <cfRule type="duplicateValues" dxfId="1075" priority="186"/>
  </conditionalFormatting>
  <conditionalFormatting sqref="D993">
    <cfRule type="duplicateValues" dxfId="1074" priority="187"/>
  </conditionalFormatting>
  <conditionalFormatting sqref="D993">
    <cfRule type="duplicateValues" dxfId="1073" priority="188"/>
  </conditionalFormatting>
  <conditionalFormatting sqref="D993">
    <cfRule type="duplicateValues" dxfId="1072" priority="189"/>
  </conditionalFormatting>
  <conditionalFormatting sqref="D993">
    <cfRule type="duplicateValues" dxfId="1071" priority="190"/>
  </conditionalFormatting>
  <conditionalFormatting sqref="D994">
    <cfRule type="duplicateValues" dxfId="1070" priority="177"/>
  </conditionalFormatting>
  <conditionalFormatting sqref="D994">
    <cfRule type="duplicateValues" dxfId="1069" priority="178"/>
  </conditionalFormatting>
  <conditionalFormatting sqref="D994">
    <cfRule type="duplicateValues" dxfId="1068" priority="179"/>
  </conditionalFormatting>
  <conditionalFormatting sqref="D994">
    <cfRule type="duplicateValues" dxfId="1067" priority="180"/>
  </conditionalFormatting>
  <conditionalFormatting sqref="D994">
    <cfRule type="duplicateValues" dxfId="1066" priority="181"/>
  </conditionalFormatting>
  <conditionalFormatting sqref="D994">
    <cfRule type="duplicateValues" dxfId="1065" priority="182"/>
  </conditionalFormatting>
  <conditionalFormatting sqref="D994">
    <cfRule type="duplicateValues" dxfId="1064" priority="183"/>
  </conditionalFormatting>
  <conditionalFormatting sqref="D995">
    <cfRule type="duplicateValues" dxfId="1063" priority="173"/>
  </conditionalFormatting>
  <conditionalFormatting sqref="D995">
    <cfRule type="duplicateValues" dxfId="1062" priority="174"/>
  </conditionalFormatting>
  <conditionalFormatting sqref="D995">
    <cfRule type="duplicateValues" dxfId="1061" priority="175"/>
  </conditionalFormatting>
  <conditionalFormatting sqref="D995">
    <cfRule type="duplicateValues" dxfId="1060" priority="176"/>
  </conditionalFormatting>
  <conditionalFormatting sqref="D996">
    <cfRule type="duplicateValues" dxfId="1059" priority="169"/>
  </conditionalFormatting>
  <conditionalFormatting sqref="D996">
    <cfRule type="duplicateValues" dxfId="1058" priority="170"/>
  </conditionalFormatting>
  <conditionalFormatting sqref="D996">
    <cfRule type="duplicateValues" dxfId="1057" priority="171"/>
  </conditionalFormatting>
  <conditionalFormatting sqref="D996">
    <cfRule type="duplicateValues" dxfId="1056" priority="172"/>
  </conditionalFormatting>
  <conditionalFormatting sqref="D997:D999">
    <cfRule type="duplicateValues" dxfId="1055" priority="168"/>
  </conditionalFormatting>
  <conditionalFormatting sqref="D1000">
    <cfRule type="duplicateValues" dxfId="1054" priority="167"/>
  </conditionalFormatting>
  <conditionalFormatting sqref="D1004">
    <cfRule type="duplicateValues" dxfId="1053" priority="163"/>
  </conditionalFormatting>
  <conditionalFormatting sqref="D1004">
    <cfRule type="duplicateValues" dxfId="1052" priority="162"/>
  </conditionalFormatting>
  <conditionalFormatting sqref="D1004">
    <cfRule type="duplicateValues" dxfId="1051" priority="164"/>
  </conditionalFormatting>
  <conditionalFormatting sqref="D1004">
    <cfRule type="duplicateValues" dxfId="1050" priority="165"/>
  </conditionalFormatting>
  <conditionalFormatting sqref="D1004">
    <cfRule type="duplicateValues" dxfId="1049" priority="166"/>
  </conditionalFormatting>
  <conditionalFormatting sqref="D1005">
    <cfRule type="duplicateValues" dxfId="1048" priority="158"/>
  </conditionalFormatting>
  <conditionalFormatting sqref="D1005">
    <cfRule type="duplicateValues" dxfId="1047" priority="157"/>
  </conditionalFormatting>
  <conditionalFormatting sqref="D1005">
    <cfRule type="duplicateValues" dxfId="1046" priority="159"/>
  </conditionalFormatting>
  <conditionalFormatting sqref="D1005">
    <cfRule type="duplicateValues" dxfId="1045" priority="160"/>
  </conditionalFormatting>
  <conditionalFormatting sqref="D1005">
    <cfRule type="duplicateValues" dxfId="1044" priority="161"/>
  </conditionalFormatting>
  <conditionalFormatting sqref="D1006">
    <cfRule type="duplicateValues" dxfId="1043" priority="153"/>
  </conditionalFormatting>
  <conditionalFormatting sqref="D1006">
    <cfRule type="duplicateValues" dxfId="1042" priority="152"/>
  </conditionalFormatting>
  <conditionalFormatting sqref="D1006">
    <cfRule type="duplicateValues" dxfId="1041" priority="154"/>
  </conditionalFormatting>
  <conditionalFormatting sqref="D1006">
    <cfRule type="duplicateValues" dxfId="1040" priority="155"/>
  </conditionalFormatting>
  <conditionalFormatting sqref="D1006">
    <cfRule type="duplicateValues" dxfId="1039" priority="156"/>
  </conditionalFormatting>
  <conditionalFormatting sqref="D1028">
    <cfRule type="duplicateValues" dxfId="1038" priority="149"/>
  </conditionalFormatting>
  <conditionalFormatting sqref="D1028">
    <cfRule type="duplicateValues" dxfId="1037" priority="150"/>
  </conditionalFormatting>
  <conditionalFormatting sqref="D1028">
    <cfRule type="duplicateValues" dxfId="1036" priority="151"/>
  </conditionalFormatting>
  <conditionalFormatting sqref="D1029">
    <cfRule type="duplicateValues" dxfId="1035" priority="146"/>
  </conditionalFormatting>
  <conditionalFormatting sqref="D1029">
    <cfRule type="duplicateValues" dxfId="1034" priority="147"/>
  </conditionalFormatting>
  <conditionalFormatting sqref="D1029">
    <cfRule type="duplicateValues" dxfId="1033" priority="148"/>
  </conditionalFormatting>
  <conditionalFormatting sqref="D1030">
    <cfRule type="duplicateValues" dxfId="1032" priority="143"/>
  </conditionalFormatting>
  <conditionalFormatting sqref="D1030">
    <cfRule type="duplicateValues" dxfId="1031" priority="144"/>
  </conditionalFormatting>
  <conditionalFormatting sqref="D1030">
    <cfRule type="duplicateValues" dxfId="1030" priority="145"/>
  </conditionalFormatting>
  <conditionalFormatting sqref="F946:F1058">
    <cfRule type="cellIs" dxfId="1029" priority="140" operator="equal">
      <formula>"In-Progress"</formula>
    </cfRule>
    <cfRule type="cellIs" dxfId="1028" priority="141" operator="equal">
      <formula>"Automated"</formula>
    </cfRule>
    <cfRule type="cellIs" dxfId="1027" priority="142" operator="equal">
      <formula>"Not Automated"</formula>
    </cfRule>
  </conditionalFormatting>
  <conditionalFormatting sqref="F946:F1058">
    <cfRule type="cellIs" dxfId="1026" priority="139" operator="equal">
      <formula>"Completed"</formula>
    </cfRule>
  </conditionalFormatting>
  <conditionalFormatting sqref="H423 H392:H393 H387:H389 H280 H274 H272">
    <cfRule type="cellIs" dxfId="1025" priority="131" operator="equal">
      <formula>"Unexecuted"</formula>
    </cfRule>
    <cfRule type="cellIs" dxfId="1024" priority="132" operator="equal">
      <formula>"Blocked"</formula>
    </cfRule>
    <cfRule type="cellIs" dxfId="1023" priority="133" operator="equal">
      <formula>"Passed"</formula>
    </cfRule>
    <cfRule type="cellIs" dxfId="1022" priority="134" operator="equal">
      <formula>"Failed"</formula>
    </cfRule>
  </conditionalFormatting>
  <conditionalFormatting sqref="I947:I948 I958:I965">
    <cfRule type="cellIs" dxfId="1021" priority="123" operator="equal">
      <formula>"Regression"</formula>
    </cfRule>
    <cfRule type="cellIs" dxfId="1020" priority="124" operator="equal">
      <formula>"In-Sprint"</formula>
    </cfRule>
    <cfRule type="cellIs" dxfId="1019" priority="125" operator="equal">
      <formula>"Regression"</formula>
    </cfRule>
    <cfRule type="cellIs" dxfId="1018" priority="126" operator="equal">
      <formula>"Regression"</formula>
    </cfRule>
  </conditionalFormatting>
  <conditionalFormatting sqref="I947:I948 I958:I965">
    <cfRule type="cellIs" dxfId="1017" priority="122" operator="equal">
      <formula>"Regression_API"</formula>
    </cfRule>
  </conditionalFormatting>
  <conditionalFormatting sqref="H938:H944 H925:H933 H894:H923 H858:H892 H728:H809 H291 H265:H271 H19">
    <cfRule type="cellIs" dxfId="1016" priority="118" operator="equal">
      <formula>"Unexecuted"</formula>
    </cfRule>
    <cfRule type="cellIs" dxfId="1015" priority="119" operator="equal">
      <formula>"Blocked"</formula>
    </cfRule>
    <cfRule type="cellIs" dxfId="1014" priority="120" operator="equal">
      <formula>"Passed"</formula>
    </cfRule>
    <cfRule type="cellIs" dxfId="1013" priority="121" operator="equal">
      <formula>"Failed"</formula>
    </cfRule>
  </conditionalFormatting>
  <conditionalFormatting sqref="D1032">
    <cfRule type="duplicateValues" dxfId="1012" priority="115"/>
  </conditionalFormatting>
  <conditionalFormatting sqref="D1032">
    <cfRule type="duplicateValues" dxfId="1011" priority="116"/>
  </conditionalFormatting>
  <conditionalFormatting sqref="D1032">
    <cfRule type="duplicateValues" dxfId="1010" priority="117"/>
  </conditionalFormatting>
  <conditionalFormatting sqref="D1033">
    <cfRule type="duplicateValues" dxfId="1009" priority="112"/>
  </conditionalFormatting>
  <conditionalFormatting sqref="D1033">
    <cfRule type="duplicateValues" dxfId="1008" priority="113"/>
  </conditionalFormatting>
  <conditionalFormatting sqref="D1033">
    <cfRule type="duplicateValues" dxfId="1007" priority="114"/>
  </conditionalFormatting>
  <conditionalFormatting sqref="D1035">
    <cfRule type="duplicateValues" dxfId="1006" priority="109"/>
  </conditionalFormatting>
  <conditionalFormatting sqref="D1035">
    <cfRule type="duplicateValues" dxfId="1005" priority="110"/>
  </conditionalFormatting>
  <conditionalFormatting sqref="D1035">
    <cfRule type="duplicateValues" dxfId="1004" priority="111"/>
  </conditionalFormatting>
  <conditionalFormatting sqref="D1036">
    <cfRule type="duplicateValues" dxfId="1003" priority="106"/>
  </conditionalFormatting>
  <conditionalFormatting sqref="D1036">
    <cfRule type="duplicateValues" dxfId="1002" priority="107"/>
  </conditionalFormatting>
  <conditionalFormatting sqref="D1036">
    <cfRule type="duplicateValues" dxfId="1001" priority="108"/>
  </conditionalFormatting>
  <conditionalFormatting sqref="D1037">
    <cfRule type="duplicateValues" dxfId="1000" priority="103"/>
  </conditionalFormatting>
  <conditionalFormatting sqref="D1037">
    <cfRule type="duplicateValues" dxfId="999" priority="104"/>
  </conditionalFormatting>
  <conditionalFormatting sqref="D1037">
    <cfRule type="duplicateValues" dxfId="998" priority="105"/>
  </conditionalFormatting>
  <conditionalFormatting sqref="D1038">
    <cfRule type="duplicateValues" dxfId="997" priority="97"/>
  </conditionalFormatting>
  <conditionalFormatting sqref="D1038">
    <cfRule type="duplicateValues" dxfId="996" priority="98"/>
  </conditionalFormatting>
  <conditionalFormatting sqref="D1038">
    <cfRule type="duplicateValues" dxfId="995" priority="99"/>
  </conditionalFormatting>
  <conditionalFormatting sqref="D1039">
    <cfRule type="duplicateValues" dxfId="994" priority="94"/>
  </conditionalFormatting>
  <conditionalFormatting sqref="D1039">
    <cfRule type="duplicateValues" dxfId="993" priority="95"/>
  </conditionalFormatting>
  <conditionalFormatting sqref="D1039">
    <cfRule type="duplicateValues" dxfId="992" priority="96"/>
  </conditionalFormatting>
  <conditionalFormatting sqref="I966:I1058 I949:I957 I946">
    <cfRule type="cellIs" dxfId="991" priority="90" operator="equal">
      <formula>"Regression"</formula>
    </cfRule>
    <cfRule type="cellIs" dxfId="990" priority="91" operator="equal">
      <formula>"In-Sprint"</formula>
    </cfRule>
    <cfRule type="cellIs" dxfId="989" priority="92" operator="equal">
      <formula>"Regression"</formula>
    </cfRule>
    <cfRule type="cellIs" dxfId="988" priority="93" operator="equal">
      <formula>"Regression"</formula>
    </cfRule>
  </conditionalFormatting>
  <conditionalFormatting sqref="I966:I1058 I949:I957 I946">
    <cfRule type="cellIs" dxfId="987" priority="89" operator="equal">
      <formula>"Regression_API"</formula>
    </cfRule>
  </conditionalFormatting>
  <conditionalFormatting sqref="M1">
    <cfRule type="cellIs" dxfId="986" priority="81" operator="equal">
      <formula>"Regression"</formula>
    </cfRule>
    <cfRule type="cellIs" dxfId="985" priority="82" operator="equal">
      <formula>"In-Sprint"</formula>
    </cfRule>
    <cfRule type="cellIs" dxfId="984" priority="83" operator="equal">
      <formula>"Regression"</formula>
    </cfRule>
    <cfRule type="cellIs" dxfId="983" priority="84" operator="equal">
      <formula>"Regression"</formula>
    </cfRule>
  </conditionalFormatting>
  <conditionalFormatting sqref="M2:M12 M262:M263 M273 M275:M276 M279 M281:M286 M294:M299 M301:M303 M306:M354 M356:M386 M390:M391 M394:M395 M406:M416 M418 M420 M422 M429:M434 M437:M453 M455:M462 M466:M548 M551:M554 M559:M572 M580:M582 M588:M710 M713:M714 M717:M727 M810:M857 M20:M255">
    <cfRule type="cellIs" dxfId="982" priority="49" operator="equal">
      <formula>"Unexecuted"</formula>
    </cfRule>
    <cfRule type="cellIs" dxfId="981" priority="50" operator="equal">
      <formula>"Blocked"</formula>
    </cfRule>
    <cfRule type="cellIs" dxfId="980" priority="51" operator="equal">
      <formula>"Passed"</formula>
    </cfRule>
    <cfRule type="cellIs" dxfId="979" priority="52" operator="equal">
      <formula>"Failed"</formula>
    </cfRule>
  </conditionalFormatting>
  <conditionalFormatting sqref="M893 M924">
    <cfRule type="cellIs" dxfId="978" priority="45" operator="equal">
      <formula>"Unexecuted"</formula>
    </cfRule>
    <cfRule type="cellIs" dxfId="977" priority="46" operator="equal">
      <formula>"Blocked"</formula>
    </cfRule>
    <cfRule type="cellIs" dxfId="976" priority="47" operator="equal">
      <formula>"Passed"</formula>
    </cfRule>
    <cfRule type="cellIs" dxfId="975" priority="48" operator="equal">
      <formula>"Failed"</formula>
    </cfRule>
  </conditionalFormatting>
  <conditionalFormatting sqref="M18">
    <cfRule type="cellIs" dxfId="974" priority="41" operator="equal">
      <formula>"Unexecuted"</formula>
    </cfRule>
    <cfRule type="cellIs" dxfId="973" priority="42" operator="equal">
      <formula>"Blocked"</formula>
    </cfRule>
    <cfRule type="cellIs" dxfId="972" priority="43" operator="equal">
      <formula>"Passed"</formula>
    </cfRule>
    <cfRule type="cellIs" dxfId="971" priority="44" operator="equal">
      <formula>"Failed"</formula>
    </cfRule>
  </conditionalFormatting>
  <conditionalFormatting sqref="M934:M937">
    <cfRule type="cellIs" dxfId="970" priority="37" operator="equal">
      <formula>"Unexecuted"</formula>
    </cfRule>
    <cfRule type="cellIs" dxfId="969" priority="38" operator="equal">
      <formula>"Blocked"</formula>
    </cfRule>
    <cfRule type="cellIs" dxfId="968" priority="39" operator="equal">
      <formula>"Passed"</formula>
    </cfRule>
    <cfRule type="cellIs" dxfId="967" priority="40" operator="equal">
      <formula>"Failed"</formula>
    </cfRule>
  </conditionalFormatting>
  <conditionalFormatting sqref="M13:M17">
    <cfRule type="cellIs" dxfId="966" priority="33" operator="equal">
      <formula>"Unexecuted"</formula>
    </cfRule>
    <cfRule type="cellIs" dxfId="965" priority="34" operator="equal">
      <formula>"Blocked"</formula>
    </cfRule>
    <cfRule type="cellIs" dxfId="964" priority="35" operator="equal">
      <formula>"Passed"</formula>
    </cfRule>
    <cfRule type="cellIs" dxfId="963" priority="36" operator="equal">
      <formula>"Failed"</formula>
    </cfRule>
  </conditionalFormatting>
  <conditionalFormatting sqref="M945">
    <cfRule type="cellIs" dxfId="962" priority="29" operator="equal">
      <formula>"Unexecuted"</formula>
    </cfRule>
    <cfRule type="cellIs" dxfId="961" priority="30" operator="equal">
      <formula>"Blocked"</formula>
    </cfRule>
    <cfRule type="cellIs" dxfId="960" priority="31" operator="equal">
      <formula>"Passed"</formula>
    </cfRule>
    <cfRule type="cellIs" dxfId="959" priority="32" operator="equal">
      <formula>"Failed"</formula>
    </cfRule>
  </conditionalFormatting>
  <conditionalFormatting sqref="M946:M1058">
    <cfRule type="cellIs" dxfId="958" priority="25" operator="equal">
      <formula>"Unexecuted"</formula>
    </cfRule>
    <cfRule type="cellIs" dxfId="957" priority="26" operator="equal">
      <formula>"Blocked"</formula>
    </cfRule>
    <cfRule type="cellIs" dxfId="956" priority="27" operator="equal">
      <formula>"Passed"</formula>
    </cfRule>
    <cfRule type="cellIs" dxfId="955" priority="28" operator="equal">
      <formula>"Failed"</formula>
    </cfRule>
  </conditionalFormatting>
  <conditionalFormatting sqref="M715:M716 M711:M712 M583:M587 M573:M579 M555:M558 M549:M550 M463:M465 M454 M435:M436 M423:M428 M421 M419 M417 M396:M405 M392:M393 M387:M389 M355 M304:M305 M300 M292:M293 M287:M290 M280 M277:M278 M274 M272 M264 M256:M261">
    <cfRule type="cellIs" dxfId="954" priority="21" operator="equal">
      <formula>"Unexecuted"</formula>
    </cfRule>
    <cfRule type="cellIs" dxfId="953" priority="22" operator="equal">
      <formula>"Blocked"</formula>
    </cfRule>
    <cfRule type="cellIs" dxfId="952" priority="23" operator="equal">
      <formula>"Passed"</formula>
    </cfRule>
    <cfRule type="cellIs" dxfId="951" priority="24" operator="equal">
      <formula>"Failed"</formula>
    </cfRule>
  </conditionalFormatting>
  <conditionalFormatting sqref="M938:M944 M925:M933 M894:M923 M858:M892 M728:M809 M291 M265:M271 M19">
    <cfRule type="cellIs" dxfId="950" priority="17" operator="equal">
      <formula>"Unexecuted"</formula>
    </cfRule>
    <cfRule type="cellIs" dxfId="949" priority="18" operator="equal">
      <formula>"Blocked"</formula>
    </cfRule>
    <cfRule type="cellIs" dxfId="948" priority="19" operator="equal">
      <formula>"Passed"</formula>
    </cfRule>
    <cfRule type="cellIs" dxfId="947" priority="20" operator="equal">
      <formula>"Failed"</formula>
    </cfRule>
  </conditionalFormatting>
  <conditionalFormatting sqref="H12">
    <cfRule type="cellIs" dxfId="946" priority="9" operator="equal">
      <formula>"Unexecuted"</formula>
    </cfRule>
    <cfRule type="cellIs" dxfId="945" priority="10" operator="equal">
      <formula>"Blocked"</formula>
    </cfRule>
    <cfRule type="cellIs" dxfId="944" priority="11" operator="equal">
      <formula>"Passed"</formula>
    </cfRule>
    <cfRule type="cellIs" dxfId="943" priority="12" operator="equal">
      <formula>"Failed"</formula>
    </cfRule>
  </conditionalFormatting>
  <conditionalFormatting sqref="H715:H716 H711:H712 H583:H587 H573:H579 H555:H558 H549:H550 H463:H465 H454 H435:H436 H424:H428 H421 H419 H417 H396:H405 H355 H304:H305 H300 H292:H293 H287:H290 H277:H278 H264 H256:H261 H130 H90 H66 H13:H17">
    <cfRule type="cellIs" dxfId="942" priority="1" operator="equal">
      <formula>"Unexecuted"</formula>
    </cfRule>
    <cfRule type="cellIs" dxfId="941" priority="2" operator="equal">
      <formula>"Blocked"</formula>
    </cfRule>
    <cfRule type="cellIs" dxfId="940" priority="3" operator="equal">
      <formula>"Passed"</formula>
    </cfRule>
    <cfRule type="cellIs" dxfId="939" priority="4" operator="equal">
      <formula>"Failed"</formula>
    </cfRule>
  </conditionalFormatting>
  <dataValidations count="1">
    <dataValidation type="list" allowBlank="1" showInputMessage="1" showErrorMessage="1" sqref="H18 M18">
      <formula1>#REF!</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ellIs" priority="5760" operator="equal" id="{ED66E7AC-9DAF-475A-BF05-A81AD8AFFF37}">
            <xm:f>'F:\Users\U397319\Documents\Archive\[Master_Automation_Regression_04_JUNE_2019 - Copy.xlsm]ListSource'!#REF!</xm:f>
            <x14:dxf>
              <font>
                <b/>
                <i val="0"/>
              </font>
              <fill>
                <patternFill>
                  <bgColor theme="0" tint="-0.14996795556505021"/>
                </patternFill>
              </fill>
            </x14:dxf>
          </x14:cfRule>
          <x14:cfRule type="cellIs" priority="5761" operator="equal" id="{85725A38-6903-456C-9FF1-ECF81C2FB9BC}">
            <xm:f>'F:\Users\U397319\Documents\Archive\[Master_Automation_Regression_04_JUNE_2019 - Copy.xlsm]ListSource'!#REF!</xm:f>
            <x14:dxf>
              <font>
                <color rgb="FF006100"/>
              </font>
              <fill>
                <patternFill>
                  <bgColor rgb="FFC6EFCE"/>
                </patternFill>
              </fill>
            </x14:dxf>
          </x14:cfRule>
          <xm:sqref>F201:F254 F316:F343 F1:F164</xm:sqref>
        </x14:conditionalFormatting>
        <x14:conditionalFormatting xmlns:xm="http://schemas.microsoft.com/office/excel/2006/main">
          <x14:cfRule type="cellIs" priority="5720" operator="equal" id="{F3692609-1B4B-43FB-AC01-25F3B3170B96}">
            <xm:f>'F:\Users\U397319\Documents\Archive\[Master_Automation_Regression_04_JUNE_2019 - Copy.xlsm]ListSource'!#REF!</xm:f>
            <x14:dxf>
              <font>
                <b/>
                <i val="0"/>
              </font>
              <fill>
                <patternFill>
                  <bgColor theme="0" tint="-0.14996795556505021"/>
                </patternFill>
              </fill>
            </x14:dxf>
          </x14:cfRule>
          <x14:cfRule type="cellIs" priority="5721" operator="equal" id="{9B4BF7C5-45E4-455C-8D9F-95964EC78B2C}">
            <xm:f>'F:\Users\U397319\Documents\Archive\[Master_Automation_Regression_04_JUNE_2019 - Copy.xlsm]ListSource'!#REF!</xm:f>
            <x14:dxf>
              <font>
                <color rgb="FF006100"/>
              </font>
              <fill>
                <patternFill>
                  <bgColor rgb="FFC6EFCE"/>
                </patternFill>
              </fill>
            </x14:dxf>
          </x14:cfRule>
          <xm:sqref>F165:F197</xm:sqref>
        </x14:conditionalFormatting>
        <x14:conditionalFormatting xmlns:xm="http://schemas.microsoft.com/office/excel/2006/main">
          <x14:cfRule type="cellIs" priority="5682" operator="equal" id="{2A9D8555-B1A7-42CC-9A03-221241BAA44B}">
            <xm:f>'F:\Users\U397319\Documents\Archive\[Master_Automation_Regression_04_JUNE_2019 - Copy.xlsm]ListSource'!#REF!</xm:f>
            <x14:dxf>
              <font>
                <b/>
                <i val="0"/>
              </font>
              <fill>
                <patternFill>
                  <bgColor theme="0" tint="-0.14996795556505021"/>
                </patternFill>
              </fill>
            </x14:dxf>
          </x14:cfRule>
          <x14:cfRule type="cellIs" priority="5683" operator="equal" id="{9261D43D-05E5-4952-8785-404FBA039282}">
            <xm:f>'F:\Users\U397319\Documents\Archive\[Master_Automation_Regression_04_JUNE_2019 - Copy.xlsm]ListSource'!#REF!</xm:f>
            <x14:dxf>
              <font>
                <color rgb="FF006100"/>
              </font>
              <fill>
                <patternFill>
                  <bgColor rgb="FFC6EFCE"/>
                </patternFill>
              </fill>
            </x14:dxf>
          </x14:cfRule>
          <xm:sqref>F198</xm:sqref>
        </x14:conditionalFormatting>
        <x14:conditionalFormatting xmlns:xm="http://schemas.microsoft.com/office/excel/2006/main">
          <x14:cfRule type="cellIs" priority="5677" operator="equal" id="{4EF1EB7A-11C9-43B9-A681-45E31DB21E33}">
            <xm:f>'F:\Users\U397319\Documents\Archive\[Master_Automation_Regression_04_JUNE_2019 - Copy.xlsm]ListSource'!#REF!</xm:f>
            <x14:dxf>
              <font>
                <b/>
                <i val="0"/>
              </font>
              <fill>
                <patternFill>
                  <bgColor theme="0" tint="-0.14996795556505021"/>
                </patternFill>
              </fill>
            </x14:dxf>
          </x14:cfRule>
          <x14:cfRule type="cellIs" priority="5678" operator="equal" id="{17D285E1-CAD4-4A6C-A7A4-D7DE38B19170}">
            <xm:f>'F:\Users\U397319\Documents\Archive\[Master_Automation_Regression_04_JUNE_2019 - Copy.xlsm]ListSource'!#REF!</xm:f>
            <x14:dxf>
              <font>
                <color rgb="FF006100"/>
              </font>
              <fill>
                <patternFill>
                  <bgColor rgb="FFC6EFCE"/>
                </patternFill>
              </fill>
            </x14:dxf>
          </x14:cfRule>
          <xm:sqref>F199</xm:sqref>
        </x14:conditionalFormatting>
        <x14:conditionalFormatting xmlns:xm="http://schemas.microsoft.com/office/excel/2006/main">
          <x14:cfRule type="cellIs" priority="5668" operator="equal" id="{BE67DA39-9757-440C-BA23-55D80CE79443}">
            <xm:f>'F:\Users\U397319\Documents\Archive\[Master_Automation_Regression_04_JUNE_2019 - Copy.xlsm]ListSource'!#REF!</xm:f>
            <x14:dxf>
              <font>
                <b/>
                <i val="0"/>
              </font>
              <fill>
                <patternFill>
                  <bgColor theme="0" tint="-0.14996795556505021"/>
                </patternFill>
              </fill>
            </x14:dxf>
          </x14:cfRule>
          <x14:cfRule type="cellIs" priority="5669" operator="equal" id="{B5F78B0E-CCE8-4E58-B6B6-AA72444E4501}">
            <xm:f>'F:\Users\U397319\Documents\Archive\[Master_Automation_Regression_04_JUNE_2019 - Copy.xlsm]ListSource'!#REF!</xm:f>
            <x14:dxf>
              <font>
                <color rgb="FF006100"/>
              </font>
              <fill>
                <patternFill>
                  <bgColor rgb="FFC6EFCE"/>
                </patternFill>
              </fill>
            </x14:dxf>
          </x14:cfRule>
          <xm:sqref>F200</xm:sqref>
        </x14:conditionalFormatting>
        <x14:conditionalFormatting xmlns:xm="http://schemas.microsoft.com/office/excel/2006/main">
          <x14:cfRule type="cellIs" priority="5657" operator="equal" id="{671C3661-2B93-4EA0-8308-2FD768BD17DF}">
            <xm:f>'F:\Users\U397319\Documents\Archive\[Master_Automation_Regression_04_JUNE_2019 - Copy.xlsm]ListSource'!#REF!</xm:f>
            <x14:dxf>
              <font>
                <b/>
                <i val="0"/>
              </font>
              <fill>
                <patternFill>
                  <bgColor theme="0" tint="-0.14996795556505021"/>
                </patternFill>
              </fill>
            </x14:dxf>
          </x14:cfRule>
          <x14:cfRule type="cellIs" priority="5658" operator="equal" id="{D05DF46F-6366-4BA1-8842-D33A640DC318}">
            <xm:f>'F:\Users\U397319\Documents\Archive\[Master_Automation_Regression_04_JUNE_2019 - Copy.xlsm]ListSource'!#REF!</xm:f>
            <x14:dxf>
              <font>
                <color rgb="FF006100"/>
              </font>
              <fill>
                <patternFill>
                  <bgColor rgb="FFC6EFCE"/>
                </patternFill>
              </fill>
            </x14:dxf>
          </x14:cfRule>
          <xm:sqref>F255:F313</xm:sqref>
        </x14:conditionalFormatting>
        <x14:conditionalFormatting xmlns:xm="http://schemas.microsoft.com/office/excel/2006/main">
          <x14:cfRule type="cellIs" priority="5280" operator="equal" id="{388A3760-F69E-484B-8548-938A0477559F}">
            <xm:f>'F:\Users\U397319\Documents\Archive\[Master_Automation_Regression_04_JUNE_2019 - Copy.xlsm]ListSource'!#REF!</xm:f>
            <x14:dxf>
              <font>
                <b/>
                <i val="0"/>
              </font>
              <fill>
                <patternFill>
                  <bgColor theme="0" tint="-0.14996795556505021"/>
                </patternFill>
              </fill>
            </x14:dxf>
          </x14:cfRule>
          <x14:cfRule type="cellIs" priority="5281" operator="equal" id="{39742408-2FE8-4787-9906-E356934AB083}">
            <xm:f>'F:\Users\U397319\Documents\Archive\[Master_Automation_Regression_04_JUNE_2019 - Copy.xlsm]ListSource'!#REF!</xm:f>
            <x14:dxf>
              <font>
                <color rgb="FF006100"/>
              </font>
              <fill>
                <patternFill>
                  <bgColor rgb="FFC6EFCE"/>
                </patternFill>
              </fill>
            </x14:dxf>
          </x14:cfRule>
          <xm:sqref>F314</xm:sqref>
        </x14:conditionalFormatting>
        <x14:conditionalFormatting xmlns:xm="http://schemas.microsoft.com/office/excel/2006/main">
          <x14:cfRule type="cellIs" priority="5264" operator="equal" id="{DC6EE50D-F0C6-45B9-8A2B-D99B68D1C388}">
            <xm:f>'F:\Users\U397319\Documents\Archive\[Master_Automation_Regression_04_JUNE_2019 - Copy.xlsm]ListSource'!#REF!</xm:f>
            <x14:dxf>
              <font>
                <b/>
                <i val="0"/>
              </font>
              <fill>
                <patternFill>
                  <bgColor theme="0" tint="-0.14996795556505021"/>
                </patternFill>
              </fill>
            </x14:dxf>
          </x14:cfRule>
          <x14:cfRule type="cellIs" priority="5265" operator="equal" id="{BB650BC1-4140-4A7D-AB8D-FF697C3FF8C4}">
            <xm:f>'F:\Users\U397319\Documents\Archive\[Master_Automation_Regression_04_JUNE_2019 - Copy.xlsm]ListSource'!#REF!</xm:f>
            <x14:dxf>
              <font>
                <color rgb="FF006100"/>
              </font>
              <fill>
                <patternFill>
                  <bgColor rgb="FFC6EFCE"/>
                </patternFill>
              </fill>
            </x14:dxf>
          </x14:cfRule>
          <xm:sqref>F315</xm:sqref>
        </x14:conditionalFormatting>
        <x14:conditionalFormatting xmlns:xm="http://schemas.microsoft.com/office/excel/2006/main">
          <x14:cfRule type="cellIs" priority="4894" operator="equal" id="{C3BE9AF3-2814-48DA-8C72-CE61A55CD8CA}">
            <xm:f>'F:\Users\U397319\Documents\Archive\[Master_Automation_Regression_04_JUNE_2019 - Copy.xlsm]ListSource'!#REF!</xm:f>
            <x14:dxf>
              <font>
                <b/>
                <i val="0"/>
              </font>
              <fill>
                <patternFill>
                  <bgColor theme="0" tint="-0.14996795556505021"/>
                </patternFill>
              </fill>
            </x14:dxf>
          </x14:cfRule>
          <x14:cfRule type="cellIs" priority="4895" operator="equal" id="{1B401B7B-A59D-4EC7-903B-4A0F11C159F4}">
            <xm:f>'F:\Users\U397319\Documents\Archive\[Master_Automation_Regression_04_JUNE_2019 - Copy.xlsm]ListSource'!#REF!</xm:f>
            <x14:dxf>
              <font>
                <color rgb="FF006100"/>
              </font>
              <fill>
                <patternFill>
                  <bgColor rgb="FFC6EFCE"/>
                </patternFill>
              </fill>
            </x14:dxf>
          </x14:cfRule>
          <xm:sqref>F316:F343</xm:sqref>
        </x14:conditionalFormatting>
        <x14:conditionalFormatting xmlns:xm="http://schemas.microsoft.com/office/excel/2006/main">
          <x14:cfRule type="cellIs" priority="4767" operator="equal" id="{B1F2FA34-B0B9-4EC1-92AC-C3C66BC62A53}">
            <xm:f>'F:\Users\U397319\Documents\Archive\[Master_Automation_Regression_04_JUNE_2019 - Copy.xlsm]ListSource'!#REF!</xm:f>
            <x14:dxf>
              <font>
                <b/>
                <i val="0"/>
              </font>
              <fill>
                <patternFill>
                  <bgColor theme="0" tint="-0.14996795556505021"/>
                </patternFill>
              </fill>
            </x14:dxf>
          </x14:cfRule>
          <x14:cfRule type="cellIs" priority="4768" operator="equal" id="{8FD2C0F0-B960-4B3F-B96C-D4566B553F80}">
            <xm:f>'F:\Users\U397319\Documents\Archive\[Master_Automation_Regression_04_JUNE_2019 - Copy.xlsm]ListSource'!#REF!</xm:f>
            <x14:dxf>
              <font>
                <color rgb="FF006100"/>
              </font>
              <fill>
                <patternFill>
                  <bgColor rgb="FFC6EFCE"/>
                </patternFill>
              </fill>
            </x14:dxf>
          </x14:cfRule>
          <xm:sqref>F344:F370</xm:sqref>
        </x14:conditionalFormatting>
        <x14:conditionalFormatting xmlns:xm="http://schemas.microsoft.com/office/excel/2006/main">
          <x14:cfRule type="cellIs" priority="4764" operator="equal" id="{54F9A8F6-87CE-4D1E-AACC-B739E3F5D57D}">
            <xm:f>'F:\Users\U397319\Documents\Archive\[Master_Automation_Regression_04_JUNE_2019 - Copy.xlsm]ListSource'!#REF!</xm:f>
            <x14:dxf>
              <font>
                <b/>
                <i val="0"/>
              </font>
              <fill>
                <patternFill>
                  <bgColor theme="0" tint="-0.14996795556505021"/>
                </patternFill>
              </fill>
            </x14:dxf>
          </x14:cfRule>
          <x14:cfRule type="cellIs" priority="4765" operator="equal" id="{435B9003-74C9-4791-B094-2951E952E1C6}">
            <xm:f>'F:\Users\U397319\Documents\Archive\[Master_Automation_Regression_04_JUNE_2019 - Copy.xlsm]ListSource'!#REF!</xm:f>
            <x14:dxf>
              <font>
                <color rgb="FF006100"/>
              </font>
              <fill>
                <patternFill>
                  <bgColor rgb="FFC6EFCE"/>
                </patternFill>
              </fill>
            </x14:dxf>
          </x14:cfRule>
          <xm:sqref>F344:F370 F561:F614</xm:sqref>
        </x14:conditionalFormatting>
        <x14:conditionalFormatting xmlns:xm="http://schemas.microsoft.com/office/excel/2006/main">
          <x14:cfRule type="cellIs" priority="4644" operator="equal" id="{5F6FB911-3DED-4E6F-A5F6-B5C20351EFE7}">
            <xm:f>'F:\Users\U397319\Documents\Archive\[Master_Automation_Regression_04_JUNE_2019 - Copy.xlsm]ListSource'!#REF!</xm:f>
            <x14:dxf>
              <font>
                <b/>
                <i val="0"/>
              </font>
              <fill>
                <patternFill>
                  <bgColor theme="0" tint="-0.14996795556505021"/>
                </patternFill>
              </fill>
            </x14:dxf>
          </x14:cfRule>
          <x14:cfRule type="cellIs" priority="4645" operator="equal" id="{2B4D30D9-DF61-47A5-8674-FF5FED2F82C2}">
            <xm:f>'F:\Users\U397319\Documents\Archive\[Master_Automation_Regression_04_JUNE_2019 - Copy.xlsm]ListSource'!#REF!</xm:f>
            <x14:dxf>
              <font>
                <color rgb="FF006100"/>
              </font>
              <fill>
                <patternFill>
                  <bgColor rgb="FFC6EFCE"/>
                </patternFill>
              </fill>
            </x14:dxf>
          </x14:cfRule>
          <xm:sqref>F371:F560</xm:sqref>
        </x14:conditionalFormatting>
        <x14:conditionalFormatting xmlns:xm="http://schemas.microsoft.com/office/excel/2006/main">
          <x14:cfRule type="cellIs" priority="4641" operator="equal" id="{898E5AF3-0ADB-42A0-9855-C7B42C92D579}">
            <xm:f>'F:\Users\U397319\Documents\Archive\[Master_Automation_Regression_04_JUNE_2019 - Copy.xlsm]ListSource'!#REF!</xm:f>
            <x14:dxf>
              <font>
                <b/>
                <i val="0"/>
              </font>
              <fill>
                <patternFill>
                  <bgColor theme="0" tint="-0.14996795556505021"/>
                </patternFill>
              </fill>
            </x14:dxf>
          </x14:cfRule>
          <x14:cfRule type="cellIs" priority="4642" operator="equal" id="{E2196FF7-796E-448A-B887-F686CD204FC2}">
            <xm:f>'F:\Users\U397319\Documents\Archive\[Master_Automation_Regression_04_JUNE_2019 - Copy.xlsm]ListSource'!#REF!</xm:f>
            <x14:dxf>
              <font>
                <color rgb="FF006100"/>
              </font>
              <fill>
                <patternFill>
                  <bgColor rgb="FFC6EFCE"/>
                </patternFill>
              </fill>
            </x14:dxf>
          </x14:cfRule>
          <xm:sqref>F371:F560</xm:sqref>
        </x14:conditionalFormatting>
        <x14:conditionalFormatting xmlns:xm="http://schemas.microsoft.com/office/excel/2006/main">
          <x14:cfRule type="cellIs" priority="1820" operator="equal" id="{FA9F8588-3C8D-405B-8A7E-BC189EC1905B}">
            <xm:f>'F:\Users\U397319\Documents\Archive\[Master_Automation_Regression_04_JUNE_2019 - Copy.xlsm]ListSource'!#REF!</xm:f>
            <x14:dxf>
              <font>
                <b/>
                <i val="0"/>
              </font>
              <fill>
                <patternFill>
                  <bgColor theme="0" tint="-0.14996795556505021"/>
                </patternFill>
              </fill>
            </x14:dxf>
          </x14:cfRule>
          <x14:cfRule type="cellIs" priority="1821" operator="equal" id="{CCB7AE12-11B0-4523-87AD-F97DC0067B32}">
            <xm:f>'F:\Users\U397319\Documents\Archive\[Master_Automation_Regression_04_JUNE_2019 - Copy.xlsm]ListSource'!#REF!</xm:f>
            <x14:dxf>
              <font>
                <color rgb="FF006100"/>
              </font>
              <fill>
                <patternFill>
                  <bgColor rgb="FFC6EFCE"/>
                </patternFill>
              </fill>
            </x14:dxf>
          </x14:cfRule>
          <xm:sqref>F615:F665</xm:sqref>
        </x14:conditionalFormatting>
        <x14:conditionalFormatting xmlns:xm="http://schemas.microsoft.com/office/excel/2006/main">
          <x14:cfRule type="cellIs" priority="1812" operator="equal" id="{73A8AA58-081C-4161-B905-89CA458D9361}">
            <xm:f>'F:\Users\U397319\Documents\Archive\[Master_Automation_Regression_04_JUNE_2019 - Copy.xlsm]ListSource'!#REF!</xm:f>
            <x14:dxf>
              <font>
                <b/>
                <i val="0"/>
              </font>
              <fill>
                <patternFill>
                  <bgColor theme="0" tint="-0.14996795556505021"/>
                </patternFill>
              </fill>
            </x14:dxf>
          </x14:cfRule>
          <x14:cfRule type="cellIs" priority="1813" operator="equal" id="{95ADB492-6BE5-426C-BF21-7CE8D284BFC2}">
            <xm:f>'F:\Users\U397319\Documents\Archive\[Master_Automation_Regression_04_JUNE_2019 - Copy.xlsm]ListSource'!#REF!</xm:f>
            <x14:dxf>
              <font>
                <color rgb="FF006100"/>
              </font>
              <fill>
                <patternFill>
                  <bgColor rgb="FFC6EFCE"/>
                </patternFill>
              </fill>
            </x14:dxf>
          </x14:cfRule>
          <xm:sqref>F561:F665</xm:sqref>
        </x14:conditionalFormatting>
        <x14:conditionalFormatting xmlns:xm="http://schemas.microsoft.com/office/excel/2006/main">
          <x14:cfRule type="cellIs" priority="1726" operator="equal" id="{9AC1143A-00A7-4F61-AA40-C6A72BB54ED2}">
            <xm:f>'F:\Users\U397319\Documents\Archive\[Master_Automation_Regression_04_JUNE_2019 - Copy.xlsm]ListSource'!#REF!</xm:f>
            <x14:dxf>
              <font>
                <b/>
                <i val="0"/>
              </font>
              <fill>
                <patternFill>
                  <bgColor theme="0" tint="-0.14996795556505021"/>
                </patternFill>
              </fill>
            </x14:dxf>
          </x14:cfRule>
          <x14:cfRule type="cellIs" priority="1727" operator="equal" id="{BBE5B6C8-0662-42B8-A8A7-A45B2B3B9353}">
            <xm:f>'F:\Users\U397319\Documents\Archive\[Master_Automation_Regression_04_JUNE_2019 - Copy.xlsm]ListSource'!#REF!</xm:f>
            <x14:dxf>
              <font>
                <color rgb="FF006100"/>
              </font>
              <fill>
                <patternFill>
                  <bgColor rgb="FFC6EFCE"/>
                </patternFill>
              </fill>
            </x14:dxf>
          </x14:cfRule>
          <xm:sqref>F666:F738</xm:sqref>
        </x14:conditionalFormatting>
        <x14:conditionalFormatting xmlns:xm="http://schemas.microsoft.com/office/excel/2006/main">
          <x14:cfRule type="cellIs" priority="1724" operator="equal" id="{043A6503-7F49-4035-A4AB-B4F726B2868A}">
            <xm:f>'F:\Users\U397319\Documents\Archive\[Master_Automation_Regression_04_JUNE_2019 - Copy.xlsm]ListSource'!#REF!</xm:f>
            <x14:dxf>
              <font>
                <b/>
                <i val="0"/>
              </font>
              <fill>
                <patternFill>
                  <bgColor theme="0" tint="-0.14996795556505021"/>
                </patternFill>
              </fill>
            </x14:dxf>
          </x14:cfRule>
          <x14:cfRule type="cellIs" priority="1725" operator="equal" id="{7E795C63-E3B0-4C89-BB35-C898CC050616}">
            <xm:f>'F:\Users\U397319\Documents\Archive\[Master_Automation_Regression_04_JUNE_2019 - Copy.xlsm]ListSource'!#REF!</xm:f>
            <x14:dxf>
              <font>
                <color rgb="FF006100"/>
              </font>
              <fill>
                <patternFill>
                  <bgColor rgb="FFC6EFCE"/>
                </patternFill>
              </fill>
            </x14:dxf>
          </x14:cfRule>
          <xm:sqref>F666:F738</xm:sqref>
        </x14:conditionalFormatting>
        <x14:conditionalFormatting xmlns:xm="http://schemas.microsoft.com/office/excel/2006/main">
          <x14:cfRule type="cellIs" priority="820" operator="equal" id="{A15732BE-CA8A-4BC6-95B7-8C7CA7099EF6}">
            <xm:f>'F:\Users\U397319\Documents\Archive\[Master_Automation_Regression_04_JUNE_2019 - Copy.xlsm]ListSource'!#REF!</xm:f>
            <x14:dxf>
              <font>
                <b/>
                <i val="0"/>
              </font>
              <fill>
                <patternFill>
                  <bgColor theme="0" tint="-0.14996795556505021"/>
                </patternFill>
              </fill>
            </x14:dxf>
          </x14:cfRule>
          <x14:cfRule type="cellIs" priority="821" operator="equal" id="{C0C3C2AF-CE03-47AD-8674-C95FE81B2E3F}">
            <xm:f>'F:\Users\U397319\Documents\Archive\[Master_Automation_Regression_04_JUNE_2019 - Copy.xlsm]ListSource'!#REF!</xm:f>
            <x14:dxf>
              <font>
                <color rgb="FF006100"/>
              </font>
              <fill>
                <patternFill>
                  <bgColor rgb="FFC6EFCE"/>
                </patternFill>
              </fill>
            </x14:dxf>
          </x14:cfRule>
          <xm:sqref>F752:F773</xm:sqref>
        </x14:conditionalFormatting>
        <x14:conditionalFormatting xmlns:xm="http://schemas.microsoft.com/office/excel/2006/main">
          <x14:cfRule type="cellIs" priority="818" operator="equal" id="{24AF0A32-C8C7-442C-93AB-4BA1EB9B1F92}">
            <xm:f>'F:\Users\U397319\Documents\Archive\[Master_Automation_Regression_04_JUNE_2019 - Copy.xlsm]ListSource'!#REF!</xm:f>
            <x14:dxf>
              <font>
                <b/>
                <i val="0"/>
              </font>
              <fill>
                <patternFill>
                  <bgColor theme="0" tint="-0.14996795556505021"/>
                </patternFill>
              </fill>
            </x14:dxf>
          </x14:cfRule>
          <x14:cfRule type="cellIs" priority="819" operator="equal" id="{D54539A7-441F-4EFA-A102-005B4C260B60}">
            <xm:f>'F:\Users\U397319\Documents\Archive\[Master_Automation_Regression_04_JUNE_2019 - Copy.xlsm]ListSource'!#REF!</xm:f>
            <x14:dxf>
              <font>
                <color rgb="FF006100"/>
              </font>
              <fill>
                <patternFill>
                  <bgColor rgb="FFC6EFCE"/>
                </patternFill>
              </fill>
            </x14:dxf>
          </x14:cfRule>
          <xm:sqref>F752:F773</xm:sqref>
        </x14:conditionalFormatting>
        <x14:conditionalFormatting xmlns:xm="http://schemas.microsoft.com/office/excel/2006/main">
          <x14:cfRule type="cellIs" priority="812" operator="equal" id="{491473DB-F86C-4036-B9C7-27CAFBE3AE78}">
            <xm:f>'F:\Users\U397319\Documents\Archive\[Master_Automation_Regression_04_JUNE_2019 - Copy.xlsm]ListSource'!#REF!</xm:f>
            <x14:dxf>
              <font>
                <b/>
                <i val="0"/>
              </font>
              <fill>
                <patternFill>
                  <bgColor theme="0" tint="-0.14996795556505021"/>
                </patternFill>
              </fill>
            </x14:dxf>
          </x14:cfRule>
          <x14:cfRule type="cellIs" priority="813" operator="equal" id="{9D329878-ED01-470E-8D7A-E5EF78CB0E6D}">
            <xm:f>'F:\Users\U397319\Documents\Archive\[Master_Automation_Regression_04_JUNE_2019 - Copy.xlsm]ListSource'!#REF!</xm:f>
            <x14:dxf>
              <font>
                <color rgb="FF006100"/>
              </font>
              <fill>
                <patternFill>
                  <bgColor rgb="FFC6EFCE"/>
                </patternFill>
              </fill>
            </x14:dxf>
          </x14:cfRule>
          <xm:sqref>F775:F785</xm:sqref>
        </x14:conditionalFormatting>
        <x14:conditionalFormatting xmlns:xm="http://schemas.microsoft.com/office/excel/2006/main">
          <x14:cfRule type="cellIs" priority="810" operator="equal" id="{DF9A3673-85A8-4904-964F-A9DB74A382A8}">
            <xm:f>'F:\Users\U397319\Documents\Archive\[Master_Automation_Regression_04_JUNE_2019 - Copy.xlsm]ListSource'!#REF!</xm:f>
            <x14:dxf>
              <font>
                <b/>
                <i val="0"/>
              </font>
              <fill>
                <patternFill>
                  <bgColor theme="0" tint="-0.14996795556505021"/>
                </patternFill>
              </fill>
            </x14:dxf>
          </x14:cfRule>
          <x14:cfRule type="cellIs" priority="811" operator="equal" id="{C79BD8E3-C08E-42B5-9FC1-754B576E9F74}">
            <xm:f>'F:\Users\U397319\Documents\Archive\[Master_Automation_Regression_04_JUNE_2019 - Copy.xlsm]ListSource'!#REF!</xm:f>
            <x14:dxf>
              <font>
                <color rgb="FF006100"/>
              </font>
              <fill>
                <patternFill>
                  <bgColor rgb="FFC6EFCE"/>
                </patternFill>
              </fill>
            </x14:dxf>
          </x14:cfRule>
          <xm:sqref>F775:F785</xm:sqref>
        </x14:conditionalFormatting>
        <x14:conditionalFormatting xmlns:xm="http://schemas.microsoft.com/office/excel/2006/main">
          <x14:cfRule type="cellIs" priority="804" operator="equal" id="{D3B91A7F-E0A6-4427-B3E2-827322990D8C}">
            <xm:f>'F:\Users\U397319\Documents\Archive\[Master_Automation_Regression_04_JUNE_2019 - Copy.xlsm]ListSource'!#REF!</xm:f>
            <x14:dxf>
              <font>
                <b/>
                <i val="0"/>
              </font>
              <fill>
                <patternFill>
                  <bgColor theme="0" tint="-0.14996795556505021"/>
                </patternFill>
              </fill>
            </x14:dxf>
          </x14:cfRule>
          <x14:cfRule type="cellIs" priority="805" operator="equal" id="{0F1E7046-07E8-413D-BF14-1A66B821BE7A}">
            <xm:f>'F:\Users\U397319\Documents\Archive\[Master_Automation_Regression_04_JUNE_2019 - Copy.xlsm]ListSource'!#REF!</xm:f>
            <x14:dxf>
              <font>
                <color rgb="FF006100"/>
              </font>
              <fill>
                <patternFill>
                  <bgColor rgb="FFC6EFCE"/>
                </patternFill>
              </fill>
            </x14:dxf>
          </x14:cfRule>
          <xm:sqref>F787:F798</xm:sqref>
        </x14:conditionalFormatting>
        <x14:conditionalFormatting xmlns:xm="http://schemas.microsoft.com/office/excel/2006/main">
          <x14:cfRule type="cellIs" priority="802" operator="equal" id="{2FE3332C-D1FE-4CDE-B870-396550C24920}">
            <xm:f>'F:\Users\U397319\Documents\Archive\[Master_Automation_Regression_04_JUNE_2019 - Copy.xlsm]ListSource'!#REF!</xm:f>
            <x14:dxf>
              <font>
                <b/>
                <i val="0"/>
              </font>
              <fill>
                <patternFill>
                  <bgColor theme="0" tint="-0.14996795556505021"/>
                </patternFill>
              </fill>
            </x14:dxf>
          </x14:cfRule>
          <x14:cfRule type="cellIs" priority="803" operator="equal" id="{3D5B2F96-560C-4334-A4BC-E159A0A53E97}">
            <xm:f>'F:\Users\U397319\Documents\Archive\[Master_Automation_Regression_04_JUNE_2019 - Copy.xlsm]ListSource'!#REF!</xm:f>
            <x14:dxf>
              <font>
                <color rgb="FF006100"/>
              </font>
              <fill>
                <patternFill>
                  <bgColor rgb="FFC6EFCE"/>
                </patternFill>
              </fill>
            </x14:dxf>
          </x14:cfRule>
          <xm:sqref>F787:F798</xm:sqref>
        </x14:conditionalFormatting>
        <x14:conditionalFormatting xmlns:xm="http://schemas.microsoft.com/office/excel/2006/main">
          <x14:cfRule type="cellIs" priority="766" operator="equal" id="{693526AF-F70B-4389-BEB7-20654E290E4C}">
            <xm:f>'F:\Users\U397319\Documents\Archive\[Master_Automation_Regression_04_JUNE_2019 - Copy.xlsm]ListSource'!#REF!</xm:f>
            <x14:dxf>
              <font>
                <b/>
                <i val="0"/>
              </font>
              <fill>
                <patternFill>
                  <bgColor theme="0" tint="-0.14996795556505021"/>
                </patternFill>
              </fill>
            </x14:dxf>
          </x14:cfRule>
          <x14:cfRule type="cellIs" priority="767" operator="equal" id="{32EA3402-CBA2-47B4-A209-2EB0DB101AFF}">
            <xm:f>'F:\Users\U397319\Documents\Archive\[Master_Automation_Regression_04_JUNE_2019 - Copy.xlsm]ListSource'!#REF!</xm:f>
            <x14:dxf>
              <font>
                <color rgb="FF006100"/>
              </font>
              <fill>
                <patternFill>
                  <bgColor rgb="FFC6EFCE"/>
                </patternFill>
              </fill>
            </x14:dxf>
          </x14:cfRule>
          <xm:sqref>F751</xm:sqref>
        </x14:conditionalFormatting>
        <x14:conditionalFormatting xmlns:xm="http://schemas.microsoft.com/office/excel/2006/main">
          <x14:cfRule type="cellIs" priority="764" operator="equal" id="{65560F6E-922C-45C5-9574-F379F8BCFA30}">
            <xm:f>'F:\Users\U397319\Documents\Archive\[Master_Automation_Regression_04_JUNE_2019 - Copy.xlsm]ListSource'!#REF!</xm:f>
            <x14:dxf>
              <font>
                <b/>
                <i val="0"/>
              </font>
              <fill>
                <patternFill>
                  <bgColor theme="0" tint="-0.14996795556505021"/>
                </patternFill>
              </fill>
            </x14:dxf>
          </x14:cfRule>
          <x14:cfRule type="cellIs" priority="765" operator="equal" id="{3167F294-5829-4C9C-9CC0-5B42AA5293C1}">
            <xm:f>'F:\Users\U397319\Documents\Archive\[Master_Automation_Regression_04_JUNE_2019 - Copy.xlsm]ListSource'!#REF!</xm:f>
            <x14:dxf>
              <font>
                <color rgb="FF006100"/>
              </font>
              <fill>
                <patternFill>
                  <bgColor rgb="FFC6EFCE"/>
                </patternFill>
              </fill>
            </x14:dxf>
          </x14:cfRule>
          <xm:sqref>F751</xm:sqref>
        </x14:conditionalFormatting>
        <x14:conditionalFormatting xmlns:xm="http://schemas.microsoft.com/office/excel/2006/main">
          <x14:cfRule type="cellIs" priority="758" operator="equal" id="{6D95B848-DB89-4F22-89E9-E4853B85417F}">
            <xm:f>'F:\Users\U397319\Documents\Archive\[Master_Automation_Regression_04_JUNE_2019 - Copy.xlsm]ListSource'!#REF!</xm:f>
            <x14:dxf>
              <font>
                <b/>
                <i val="0"/>
              </font>
              <fill>
                <patternFill>
                  <bgColor theme="0" tint="-0.14996795556505021"/>
                </patternFill>
              </fill>
            </x14:dxf>
          </x14:cfRule>
          <x14:cfRule type="cellIs" priority="759" operator="equal" id="{15AA2C42-8F65-41B3-BAAB-A9F187743679}">
            <xm:f>'F:\Users\U397319\Documents\Archive\[Master_Automation_Regression_04_JUNE_2019 - Copy.xlsm]ListSource'!#REF!</xm:f>
            <x14:dxf>
              <font>
                <color rgb="FF006100"/>
              </font>
              <fill>
                <patternFill>
                  <bgColor rgb="FFC6EFCE"/>
                </patternFill>
              </fill>
            </x14:dxf>
          </x14:cfRule>
          <xm:sqref>F774</xm:sqref>
        </x14:conditionalFormatting>
        <x14:conditionalFormatting xmlns:xm="http://schemas.microsoft.com/office/excel/2006/main">
          <x14:cfRule type="cellIs" priority="756" operator="equal" id="{87E772C8-7F17-4F65-A305-050E8AE127F3}">
            <xm:f>'F:\Users\U397319\Documents\Archive\[Master_Automation_Regression_04_JUNE_2019 - Copy.xlsm]ListSource'!#REF!</xm:f>
            <x14:dxf>
              <font>
                <b/>
                <i val="0"/>
              </font>
              <fill>
                <patternFill>
                  <bgColor theme="0" tint="-0.14996795556505021"/>
                </patternFill>
              </fill>
            </x14:dxf>
          </x14:cfRule>
          <x14:cfRule type="cellIs" priority="757" operator="equal" id="{8198BD81-9E8C-4829-9DD9-1E61FB29F3C5}">
            <xm:f>'F:\Users\U397319\Documents\Archive\[Master_Automation_Regression_04_JUNE_2019 - Copy.xlsm]ListSource'!#REF!</xm:f>
            <x14:dxf>
              <font>
                <color rgb="FF006100"/>
              </font>
              <fill>
                <patternFill>
                  <bgColor rgb="FFC6EFCE"/>
                </patternFill>
              </fill>
            </x14:dxf>
          </x14:cfRule>
          <xm:sqref>F774</xm:sqref>
        </x14:conditionalFormatting>
        <x14:conditionalFormatting xmlns:xm="http://schemas.microsoft.com/office/excel/2006/main">
          <x14:cfRule type="cellIs" priority="750" operator="equal" id="{B5DF191D-4DA9-47C8-AFDF-E172663FEB09}">
            <xm:f>'F:\Users\U397319\Documents\Archive\[Master_Automation_Regression_04_JUNE_2019 - Copy.xlsm]ListSource'!#REF!</xm:f>
            <x14:dxf>
              <font>
                <b/>
                <i val="0"/>
              </font>
              <fill>
                <patternFill>
                  <bgColor theme="0" tint="-0.14996795556505021"/>
                </patternFill>
              </fill>
            </x14:dxf>
          </x14:cfRule>
          <x14:cfRule type="cellIs" priority="751" operator="equal" id="{D93B43D6-F75F-42C6-B21A-0606E905C198}">
            <xm:f>'F:\Users\U397319\Documents\Archive\[Master_Automation_Regression_04_JUNE_2019 - Copy.xlsm]ListSource'!#REF!</xm:f>
            <x14:dxf>
              <font>
                <color rgb="FF006100"/>
              </font>
              <fill>
                <patternFill>
                  <bgColor rgb="FFC6EFCE"/>
                </patternFill>
              </fill>
            </x14:dxf>
          </x14:cfRule>
          <xm:sqref>F786</xm:sqref>
        </x14:conditionalFormatting>
        <x14:conditionalFormatting xmlns:xm="http://schemas.microsoft.com/office/excel/2006/main">
          <x14:cfRule type="cellIs" priority="748" operator="equal" id="{B7556122-DE40-4F93-8434-35618304284C}">
            <xm:f>'F:\Users\U397319\Documents\Archive\[Master_Automation_Regression_04_JUNE_2019 - Copy.xlsm]ListSource'!#REF!</xm:f>
            <x14:dxf>
              <font>
                <b/>
                <i val="0"/>
              </font>
              <fill>
                <patternFill>
                  <bgColor theme="0" tint="-0.14996795556505021"/>
                </patternFill>
              </fill>
            </x14:dxf>
          </x14:cfRule>
          <x14:cfRule type="cellIs" priority="749" operator="equal" id="{EDC4ABEA-0C71-49A7-86C6-1D9D4BE3DD61}">
            <xm:f>'F:\Users\U397319\Documents\Archive\[Master_Automation_Regression_04_JUNE_2019 - Copy.xlsm]ListSource'!#REF!</xm:f>
            <x14:dxf>
              <font>
                <color rgb="FF006100"/>
              </font>
              <fill>
                <patternFill>
                  <bgColor rgb="FFC6EFCE"/>
                </patternFill>
              </fill>
            </x14:dxf>
          </x14:cfRule>
          <xm:sqref>F786</xm:sqref>
        </x14:conditionalFormatting>
        <x14:conditionalFormatting xmlns:xm="http://schemas.microsoft.com/office/excel/2006/main">
          <x14:cfRule type="cellIs" priority="742" operator="equal" id="{6B99E2FE-9295-4859-B4FB-3266305E72B9}">
            <xm:f>'F:\Users\U397319\Documents\Archive\[Master_Automation_Regression_04_JUNE_2019 - Copy.xlsm]ListSource'!#REF!</xm:f>
            <x14:dxf>
              <font>
                <b/>
                <i val="0"/>
              </font>
              <fill>
                <patternFill>
                  <bgColor theme="0" tint="-0.14996795556505021"/>
                </patternFill>
              </fill>
            </x14:dxf>
          </x14:cfRule>
          <x14:cfRule type="cellIs" priority="743" operator="equal" id="{1CD6DDC5-0F0A-4390-9BAF-B7DEE84E6C55}">
            <xm:f>'F:\Users\U397319\Documents\Archive\[Master_Automation_Regression_04_JUNE_2019 - Copy.xlsm]ListSource'!#REF!</xm:f>
            <x14:dxf>
              <font>
                <color rgb="FF006100"/>
              </font>
              <fill>
                <patternFill>
                  <bgColor rgb="FFC6EFCE"/>
                </patternFill>
              </fill>
            </x14:dxf>
          </x14:cfRule>
          <xm:sqref>F739</xm:sqref>
        </x14:conditionalFormatting>
        <x14:conditionalFormatting xmlns:xm="http://schemas.microsoft.com/office/excel/2006/main">
          <x14:cfRule type="cellIs" priority="740" operator="equal" id="{CBA63824-0555-4A64-B2C7-C5DA48006282}">
            <xm:f>'F:\Users\U397319\Documents\Archive\[Master_Automation_Regression_04_JUNE_2019 - Copy.xlsm]ListSource'!#REF!</xm:f>
            <x14:dxf>
              <font>
                <b/>
                <i val="0"/>
              </font>
              <fill>
                <patternFill>
                  <bgColor theme="0" tint="-0.14996795556505021"/>
                </patternFill>
              </fill>
            </x14:dxf>
          </x14:cfRule>
          <x14:cfRule type="cellIs" priority="741" operator="equal" id="{7949C202-7B55-4864-8404-C6A303FB6F02}">
            <xm:f>'F:\Users\U397319\Documents\Archive\[Master_Automation_Regression_04_JUNE_2019 - Copy.xlsm]ListSource'!#REF!</xm:f>
            <x14:dxf>
              <font>
                <color rgb="FF006100"/>
              </font>
              <fill>
                <patternFill>
                  <bgColor rgb="FFC6EFCE"/>
                </patternFill>
              </fill>
            </x14:dxf>
          </x14:cfRule>
          <xm:sqref>F739</xm:sqref>
        </x14:conditionalFormatting>
        <x14:conditionalFormatting xmlns:xm="http://schemas.microsoft.com/office/excel/2006/main">
          <x14:cfRule type="cellIs" priority="734" operator="equal" id="{64E7BAB0-0288-4871-8EA2-70AC9CC99E25}">
            <xm:f>'F:\Users\U397319\Documents\Archive\[Master_Automation_Regression_04_JUNE_2019 - Copy.xlsm]ListSource'!#REF!</xm:f>
            <x14:dxf>
              <font>
                <b/>
                <i val="0"/>
              </font>
              <fill>
                <patternFill>
                  <bgColor theme="0" tint="-0.14996795556505021"/>
                </patternFill>
              </fill>
            </x14:dxf>
          </x14:cfRule>
          <x14:cfRule type="cellIs" priority="735" operator="equal" id="{8CC6CBC1-40E1-4DCD-969E-FCD58BD071A5}">
            <xm:f>'F:\Users\U397319\Documents\Archive\[Master_Automation_Regression_04_JUNE_2019 - Copy.xlsm]ListSource'!#REF!</xm:f>
            <x14:dxf>
              <font>
                <color rgb="FF006100"/>
              </font>
              <fill>
                <patternFill>
                  <bgColor rgb="FFC6EFCE"/>
                </patternFill>
              </fill>
            </x14:dxf>
          </x14:cfRule>
          <xm:sqref>F740</xm:sqref>
        </x14:conditionalFormatting>
        <x14:conditionalFormatting xmlns:xm="http://schemas.microsoft.com/office/excel/2006/main">
          <x14:cfRule type="cellIs" priority="732" operator="equal" id="{D40C370F-BF37-4E23-B9D1-F218BF3586B3}">
            <xm:f>'F:\Users\U397319\Documents\Archive\[Master_Automation_Regression_04_JUNE_2019 - Copy.xlsm]ListSource'!#REF!</xm:f>
            <x14:dxf>
              <font>
                <b/>
                <i val="0"/>
              </font>
              <fill>
                <patternFill>
                  <bgColor theme="0" tint="-0.14996795556505021"/>
                </patternFill>
              </fill>
            </x14:dxf>
          </x14:cfRule>
          <x14:cfRule type="cellIs" priority="733" operator="equal" id="{5927D3EA-2469-4479-B79C-FC036C743C88}">
            <xm:f>'F:\Users\U397319\Documents\Archive\[Master_Automation_Regression_04_JUNE_2019 - Copy.xlsm]ListSource'!#REF!</xm:f>
            <x14:dxf>
              <font>
                <color rgb="FF006100"/>
              </font>
              <fill>
                <patternFill>
                  <bgColor rgb="FFC6EFCE"/>
                </patternFill>
              </fill>
            </x14:dxf>
          </x14:cfRule>
          <xm:sqref>F740</xm:sqref>
        </x14:conditionalFormatting>
        <x14:conditionalFormatting xmlns:xm="http://schemas.microsoft.com/office/excel/2006/main">
          <x14:cfRule type="cellIs" priority="726" operator="equal" id="{887561A8-2B32-48F0-9368-488775423F16}">
            <xm:f>'F:\Users\U397319\Documents\Archive\[Master_Automation_Regression_04_JUNE_2019 - Copy.xlsm]ListSource'!#REF!</xm:f>
            <x14:dxf>
              <font>
                <b/>
                <i val="0"/>
              </font>
              <fill>
                <patternFill>
                  <bgColor theme="0" tint="-0.14996795556505021"/>
                </patternFill>
              </fill>
            </x14:dxf>
          </x14:cfRule>
          <x14:cfRule type="cellIs" priority="727" operator="equal" id="{28DD40C9-536A-4299-8AFF-70A493D16DE2}">
            <xm:f>'F:\Users\U397319\Documents\Archive\[Master_Automation_Regression_04_JUNE_2019 - Copy.xlsm]ListSource'!#REF!</xm:f>
            <x14:dxf>
              <font>
                <color rgb="FF006100"/>
              </font>
              <fill>
                <patternFill>
                  <bgColor rgb="FFC6EFCE"/>
                </patternFill>
              </fill>
            </x14:dxf>
          </x14:cfRule>
          <xm:sqref>F741:F750</xm:sqref>
        </x14:conditionalFormatting>
        <x14:conditionalFormatting xmlns:xm="http://schemas.microsoft.com/office/excel/2006/main">
          <x14:cfRule type="cellIs" priority="724" operator="equal" id="{5006D95D-38ED-44B4-8B3F-789D12B08511}">
            <xm:f>'F:\Users\U397319\Documents\Archive\[Master_Automation_Regression_04_JUNE_2019 - Copy.xlsm]ListSource'!#REF!</xm:f>
            <x14:dxf>
              <font>
                <b/>
                <i val="0"/>
              </font>
              <fill>
                <patternFill>
                  <bgColor theme="0" tint="-0.14996795556505021"/>
                </patternFill>
              </fill>
            </x14:dxf>
          </x14:cfRule>
          <x14:cfRule type="cellIs" priority="725" operator="equal" id="{8DD2FDF1-90CF-421F-9903-50283B7E12AE}">
            <xm:f>'F:\Users\U397319\Documents\Archive\[Master_Automation_Regression_04_JUNE_2019 - Copy.xlsm]ListSource'!#REF!</xm:f>
            <x14:dxf>
              <font>
                <color rgb="FF006100"/>
              </font>
              <fill>
                <patternFill>
                  <bgColor rgb="FFC6EFCE"/>
                </patternFill>
              </fill>
            </x14:dxf>
          </x14:cfRule>
          <xm:sqref>F741:F750</xm:sqref>
        </x14:conditionalFormatting>
        <x14:conditionalFormatting xmlns:xm="http://schemas.microsoft.com/office/excel/2006/main">
          <x14:cfRule type="cellIs" priority="714" operator="equal" id="{101D8E5F-1A97-430D-9F04-DB309956DB80}">
            <xm:f>'F:\Users\U397319\Documents\Archive\[Master_Automation_Regression_04_JUNE_2019 - Copy.xlsm]ListSource'!#REF!</xm:f>
            <x14:dxf>
              <font>
                <b/>
                <i val="0"/>
              </font>
              <fill>
                <patternFill>
                  <bgColor theme="0" tint="-0.14996795556505021"/>
                </patternFill>
              </fill>
            </x14:dxf>
          </x14:cfRule>
          <x14:cfRule type="cellIs" priority="715" operator="equal" id="{0EB87675-8577-4732-88EC-2D32E436B3D8}">
            <xm:f>'F:\Users\U397319\Documents\Archive\[Master_Automation_Regression_04_JUNE_2019 - Copy.xlsm]ListSource'!#REF!</xm:f>
            <x14:dxf>
              <font>
                <color rgb="FF006100"/>
              </font>
              <fill>
                <patternFill>
                  <bgColor rgb="FFC6EFCE"/>
                </patternFill>
              </fill>
            </x14:dxf>
          </x14:cfRule>
          <xm:sqref>F799</xm:sqref>
        </x14:conditionalFormatting>
        <x14:conditionalFormatting xmlns:xm="http://schemas.microsoft.com/office/excel/2006/main">
          <x14:cfRule type="cellIs" priority="712" operator="equal" id="{9AF7B21C-422E-4A3D-B05A-D6EE2B3278E8}">
            <xm:f>'F:\Users\U397319\Documents\Archive\[Master_Automation_Regression_04_JUNE_2019 - Copy.xlsm]ListSource'!#REF!</xm:f>
            <x14:dxf>
              <font>
                <b/>
                <i val="0"/>
              </font>
              <fill>
                <patternFill>
                  <bgColor theme="0" tint="-0.14996795556505021"/>
                </patternFill>
              </fill>
            </x14:dxf>
          </x14:cfRule>
          <x14:cfRule type="cellIs" priority="713" operator="equal" id="{C056EE87-6783-43D6-9469-B96FA400E228}">
            <xm:f>'F:\Users\U397319\Documents\Archive\[Master_Automation_Regression_04_JUNE_2019 - Copy.xlsm]ListSource'!#REF!</xm:f>
            <x14:dxf>
              <font>
                <color rgb="FF006100"/>
              </font>
              <fill>
                <patternFill>
                  <bgColor rgb="FFC6EFCE"/>
                </patternFill>
              </fill>
            </x14:dxf>
          </x14:cfRule>
          <xm:sqref>F799:F891</xm:sqref>
        </x14:conditionalFormatting>
        <x14:conditionalFormatting xmlns:xm="http://schemas.microsoft.com/office/excel/2006/main">
          <x14:cfRule type="cellIs" priority="583" operator="equal" id="{B9E6905B-0DEB-4A97-ACC0-7F64E31AC177}">
            <xm:f>'F:\Users\U397319\Documents\Archive\[Master_Automation_Regression_04_JUNE_2019 - Copy.xlsm]ListSource'!#REF!</xm:f>
            <x14:dxf>
              <font>
                <b/>
                <i val="0"/>
              </font>
              <fill>
                <patternFill>
                  <bgColor theme="0" tint="-0.14996795556505021"/>
                </patternFill>
              </fill>
            </x14:dxf>
          </x14:cfRule>
          <x14:cfRule type="cellIs" priority="584" operator="equal" id="{D37FE4AB-414E-40BA-82EB-97985492FD9F}">
            <xm:f>'F:\Users\U397319\Documents\Archive\[Master_Automation_Regression_04_JUNE_2019 - Copy.xlsm]ListSource'!#REF!</xm:f>
            <x14:dxf>
              <font>
                <color rgb="FF006100"/>
              </font>
              <fill>
                <patternFill>
                  <bgColor rgb="FFC6EFCE"/>
                </patternFill>
              </fill>
            </x14:dxf>
          </x14:cfRule>
          <xm:sqref>F800:F891</xm:sqref>
        </x14:conditionalFormatting>
        <x14:conditionalFormatting xmlns:xm="http://schemas.microsoft.com/office/excel/2006/main">
          <x14:cfRule type="cellIs" priority="510" operator="equal" id="{F54B7D46-D967-4578-A28B-FE9229C41DFC}">
            <xm:f>'F:\Users\U397319\Documents\Archive\[Master_Automation_Regression_04_JUNE_2019 - Copy.xlsm]ListSource'!#REF!</xm:f>
            <x14:dxf>
              <font>
                <b/>
                <i val="0"/>
              </font>
              <fill>
                <patternFill>
                  <bgColor theme="0" tint="-0.14996795556505021"/>
                </patternFill>
              </fill>
            </x14:dxf>
          </x14:cfRule>
          <x14:cfRule type="cellIs" priority="511" operator="equal" id="{0ACAC3EC-492E-4D66-915E-E81A4EB587C0}">
            <xm:f>'F:\Users\U397319\Documents\Archive\[Master_Automation_Regression_04_JUNE_2019 - Copy.xlsm]ListSource'!#REF!</xm:f>
            <x14:dxf>
              <font>
                <color rgb="FF006100"/>
              </font>
              <fill>
                <patternFill>
                  <bgColor rgb="FFC6EFCE"/>
                </patternFill>
              </fill>
            </x14:dxf>
          </x14:cfRule>
          <xm:sqref>F906</xm:sqref>
        </x14:conditionalFormatting>
        <x14:conditionalFormatting xmlns:xm="http://schemas.microsoft.com/office/excel/2006/main">
          <x14:cfRule type="cellIs" priority="508" operator="equal" id="{6A526F35-37A0-4443-8C09-C05360764CAD}">
            <xm:f>'F:\Users\U397319\Documents\Archive\[Master_Automation_Regression_04_JUNE_2019 - Copy.xlsm]ListSource'!#REF!</xm:f>
            <x14:dxf>
              <font>
                <b/>
                <i val="0"/>
              </font>
              <fill>
                <patternFill>
                  <bgColor theme="0" tint="-0.14996795556505021"/>
                </patternFill>
              </fill>
            </x14:dxf>
          </x14:cfRule>
          <x14:cfRule type="cellIs" priority="509" operator="equal" id="{412879D6-2E8B-4540-9F1C-E42164439729}">
            <xm:f>'F:\Users\U397319\Documents\Archive\[Master_Automation_Regression_04_JUNE_2019 - Copy.xlsm]ListSource'!#REF!</xm:f>
            <x14:dxf>
              <font>
                <color rgb="FF006100"/>
              </font>
              <fill>
                <patternFill>
                  <bgColor rgb="FFC6EFCE"/>
                </patternFill>
              </fill>
            </x14:dxf>
          </x14:cfRule>
          <xm:sqref>F906</xm:sqref>
        </x14:conditionalFormatting>
        <x14:conditionalFormatting xmlns:xm="http://schemas.microsoft.com/office/excel/2006/main">
          <x14:cfRule type="cellIs" priority="502" operator="equal" id="{F2F7FB83-3414-438F-BE50-CE316EB9AB70}">
            <xm:f>'F:\Users\U397319\Documents\Archive\[Master_Automation_Regression_04_JUNE_2019 - Copy.xlsm]ListSource'!#REF!</xm:f>
            <x14:dxf>
              <font>
                <b/>
                <i val="0"/>
              </font>
              <fill>
                <patternFill>
                  <bgColor theme="0" tint="-0.14996795556505021"/>
                </patternFill>
              </fill>
            </x14:dxf>
          </x14:cfRule>
          <x14:cfRule type="cellIs" priority="503" operator="equal" id="{6924F937-05AC-4610-95EC-A1F8E2A16E90}">
            <xm:f>'F:\Users\U397319\Documents\Archive\[Master_Automation_Regression_04_JUNE_2019 - Copy.xlsm]ListSource'!#REF!</xm:f>
            <x14:dxf>
              <font>
                <color rgb="FF006100"/>
              </font>
              <fill>
                <patternFill>
                  <bgColor rgb="FFC6EFCE"/>
                </patternFill>
              </fill>
            </x14:dxf>
          </x14:cfRule>
          <xm:sqref>F907</xm:sqref>
        </x14:conditionalFormatting>
        <x14:conditionalFormatting xmlns:xm="http://schemas.microsoft.com/office/excel/2006/main">
          <x14:cfRule type="cellIs" priority="500" operator="equal" id="{66727C1F-E21B-44D5-B1CF-92EABD7BC08C}">
            <xm:f>'F:\Users\U397319\Documents\Archive\[Master_Automation_Regression_04_JUNE_2019 - Copy.xlsm]ListSource'!#REF!</xm:f>
            <x14:dxf>
              <font>
                <b/>
                <i val="0"/>
              </font>
              <fill>
                <patternFill>
                  <bgColor theme="0" tint="-0.14996795556505021"/>
                </patternFill>
              </fill>
            </x14:dxf>
          </x14:cfRule>
          <x14:cfRule type="cellIs" priority="501" operator="equal" id="{CC089899-3797-4D98-BD93-C7A9C6C82551}">
            <xm:f>'F:\Users\U397319\Documents\Archive\[Master_Automation_Regression_04_JUNE_2019 - Copy.xlsm]ListSource'!#REF!</xm:f>
            <x14:dxf>
              <font>
                <color rgb="FF006100"/>
              </font>
              <fill>
                <patternFill>
                  <bgColor rgb="FFC6EFCE"/>
                </patternFill>
              </fill>
            </x14:dxf>
          </x14:cfRule>
          <xm:sqref>F907</xm:sqref>
        </x14:conditionalFormatting>
        <x14:conditionalFormatting xmlns:xm="http://schemas.microsoft.com/office/excel/2006/main">
          <x14:cfRule type="cellIs" priority="494" operator="equal" id="{2718621F-904E-4356-836D-72B303175D3C}">
            <xm:f>'F:\Users\U397319\Documents\Archive\[Master_Automation_Regression_04_JUNE_2019 - Copy.xlsm]ListSource'!#REF!</xm:f>
            <x14:dxf>
              <font>
                <b/>
                <i val="0"/>
              </font>
              <fill>
                <patternFill>
                  <bgColor theme="0" tint="-0.14996795556505021"/>
                </patternFill>
              </fill>
            </x14:dxf>
          </x14:cfRule>
          <x14:cfRule type="cellIs" priority="495" operator="equal" id="{D7B722EA-F890-403C-9A95-B8E49B6F4300}">
            <xm:f>'F:\Users\U397319\Documents\Archive\[Master_Automation_Regression_04_JUNE_2019 - Copy.xlsm]ListSource'!#REF!</xm:f>
            <x14:dxf>
              <font>
                <color rgb="FF006100"/>
              </font>
              <fill>
                <patternFill>
                  <bgColor rgb="FFC6EFCE"/>
                </patternFill>
              </fill>
            </x14:dxf>
          </x14:cfRule>
          <xm:sqref>F908</xm:sqref>
        </x14:conditionalFormatting>
        <x14:conditionalFormatting xmlns:xm="http://schemas.microsoft.com/office/excel/2006/main">
          <x14:cfRule type="cellIs" priority="492" operator="equal" id="{5457F60F-7552-41A3-9756-9A86254D540E}">
            <xm:f>'F:\Users\U397319\Documents\Archive\[Master_Automation_Regression_04_JUNE_2019 - Copy.xlsm]ListSource'!#REF!</xm:f>
            <x14:dxf>
              <font>
                <b/>
                <i val="0"/>
              </font>
              <fill>
                <patternFill>
                  <bgColor theme="0" tint="-0.14996795556505021"/>
                </patternFill>
              </fill>
            </x14:dxf>
          </x14:cfRule>
          <x14:cfRule type="cellIs" priority="493" operator="equal" id="{CAAB2B5C-8868-4CB5-916B-BCA35E0FBCBF}">
            <xm:f>'F:\Users\U397319\Documents\Archive\[Master_Automation_Regression_04_JUNE_2019 - Copy.xlsm]ListSource'!#REF!</xm:f>
            <x14:dxf>
              <font>
                <color rgb="FF006100"/>
              </font>
              <fill>
                <patternFill>
                  <bgColor rgb="FFC6EFCE"/>
                </patternFill>
              </fill>
            </x14:dxf>
          </x14:cfRule>
          <xm:sqref>F908</xm:sqref>
        </x14:conditionalFormatting>
        <x14:conditionalFormatting xmlns:xm="http://schemas.microsoft.com/office/excel/2006/main">
          <x14:cfRule type="cellIs" priority="486" operator="equal" id="{911E7786-A20B-4A86-8C1C-0C304292E98C}">
            <xm:f>'F:\Users\U397319\Documents\Archive\[Master_Automation_Regression_04_JUNE_2019 - Copy.xlsm]ListSource'!#REF!</xm:f>
            <x14:dxf>
              <font>
                <b/>
                <i val="0"/>
              </font>
              <fill>
                <patternFill>
                  <bgColor theme="0" tint="-0.14996795556505021"/>
                </patternFill>
              </fill>
            </x14:dxf>
          </x14:cfRule>
          <x14:cfRule type="cellIs" priority="487" operator="equal" id="{4A09D5A9-BFC4-4D14-913D-0F66B609A4E2}">
            <xm:f>'F:\Users\U397319\Documents\Archive\[Master_Automation_Regression_04_JUNE_2019 - Copy.xlsm]ListSource'!#REF!</xm:f>
            <x14:dxf>
              <font>
                <color rgb="FF006100"/>
              </font>
              <fill>
                <patternFill>
                  <bgColor rgb="FFC6EFCE"/>
                </patternFill>
              </fill>
            </x14:dxf>
          </x14:cfRule>
          <xm:sqref>F909</xm:sqref>
        </x14:conditionalFormatting>
        <x14:conditionalFormatting xmlns:xm="http://schemas.microsoft.com/office/excel/2006/main">
          <x14:cfRule type="cellIs" priority="484" operator="equal" id="{013ECBF7-7AE1-447B-A270-1BAAAA85524C}">
            <xm:f>'F:\Users\U397319\Documents\Archive\[Master_Automation_Regression_04_JUNE_2019 - Copy.xlsm]ListSource'!#REF!</xm:f>
            <x14:dxf>
              <font>
                <b/>
                <i val="0"/>
              </font>
              <fill>
                <patternFill>
                  <bgColor theme="0" tint="-0.14996795556505021"/>
                </patternFill>
              </fill>
            </x14:dxf>
          </x14:cfRule>
          <x14:cfRule type="cellIs" priority="485" operator="equal" id="{6D305507-FFE8-42A4-B3AF-8E7359828D59}">
            <xm:f>'F:\Users\U397319\Documents\Archive\[Master_Automation_Regression_04_JUNE_2019 - Copy.xlsm]ListSource'!#REF!</xm:f>
            <x14:dxf>
              <font>
                <color rgb="FF006100"/>
              </font>
              <fill>
                <patternFill>
                  <bgColor rgb="FFC6EFCE"/>
                </patternFill>
              </fill>
            </x14:dxf>
          </x14:cfRule>
          <xm:sqref>F909</xm:sqref>
        </x14:conditionalFormatting>
        <x14:conditionalFormatting xmlns:xm="http://schemas.microsoft.com/office/excel/2006/main">
          <x14:cfRule type="cellIs" priority="478" operator="equal" id="{81A98108-F17C-4611-9CA9-B78DCDDC7080}">
            <xm:f>'F:\Users\U397319\Documents\Archive\[Master_Automation_Regression_04_JUNE_2019 - Copy.xlsm]ListSource'!#REF!</xm:f>
            <x14:dxf>
              <font>
                <b/>
                <i val="0"/>
              </font>
              <fill>
                <patternFill>
                  <bgColor theme="0" tint="-0.14996795556505021"/>
                </patternFill>
              </fill>
            </x14:dxf>
          </x14:cfRule>
          <x14:cfRule type="cellIs" priority="479" operator="equal" id="{F3A71005-35FD-40B1-AB8B-EB9045515CCB}">
            <xm:f>'F:\Users\U397319\Documents\Archive\[Master_Automation_Regression_04_JUNE_2019 - Copy.xlsm]ListSource'!#REF!</xm:f>
            <x14:dxf>
              <font>
                <color rgb="FF006100"/>
              </font>
              <fill>
                <patternFill>
                  <bgColor rgb="FFC6EFCE"/>
                </patternFill>
              </fill>
            </x14:dxf>
          </x14:cfRule>
          <xm:sqref>F910</xm:sqref>
        </x14:conditionalFormatting>
        <x14:conditionalFormatting xmlns:xm="http://schemas.microsoft.com/office/excel/2006/main">
          <x14:cfRule type="cellIs" priority="476" operator="equal" id="{47EFD200-E406-494D-8075-0F36FF4B2FFE}">
            <xm:f>'F:\Users\U397319\Documents\Archive\[Master_Automation_Regression_04_JUNE_2019 - Copy.xlsm]ListSource'!#REF!</xm:f>
            <x14:dxf>
              <font>
                <b/>
                <i val="0"/>
              </font>
              <fill>
                <patternFill>
                  <bgColor theme="0" tint="-0.14996795556505021"/>
                </patternFill>
              </fill>
            </x14:dxf>
          </x14:cfRule>
          <x14:cfRule type="cellIs" priority="477" operator="equal" id="{5E5680C5-FE0B-428E-B443-C312B2F47258}">
            <xm:f>'F:\Users\U397319\Documents\Archive\[Master_Automation_Regression_04_JUNE_2019 - Copy.xlsm]ListSource'!#REF!</xm:f>
            <x14:dxf>
              <font>
                <color rgb="FF006100"/>
              </font>
              <fill>
                <patternFill>
                  <bgColor rgb="FFC6EFCE"/>
                </patternFill>
              </fill>
            </x14:dxf>
          </x14:cfRule>
          <xm:sqref>F910</xm:sqref>
        </x14:conditionalFormatting>
        <x14:conditionalFormatting xmlns:xm="http://schemas.microsoft.com/office/excel/2006/main">
          <x14:cfRule type="cellIs" priority="470" operator="equal" id="{05AAA2F0-3FA9-4373-BAE3-2FB19B9C90BB}">
            <xm:f>'F:\Users\U397319\Documents\Archive\[Master_Automation_Regression_04_JUNE_2019 - Copy.xlsm]ListSource'!#REF!</xm:f>
            <x14:dxf>
              <font>
                <b/>
                <i val="0"/>
              </font>
              <fill>
                <patternFill>
                  <bgColor theme="0" tint="-0.14996795556505021"/>
                </patternFill>
              </fill>
            </x14:dxf>
          </x14:cfRule>
          <x14:cfRule type="cellIs" priority="471" operator="equal" id="{6301CAB0-1CB6-4131-BB95-280B251C0594}">
            <xm:f>'F:\Users\U397319\Documents\Archive\[Master_Automation_Regression_04_JUNE_2019 - Copy.xlsm]ListSource'!#REF!</xm:f>
            <x14:dxf>
              <font>
                <color rgb="FF006100"/>
              </font>
              <fill>
                <patternFill>
                  <bgColor rgb="FFC6EFCE"/>
                </patternFill>
              </fill>
            </x14:dxf>
          </x14:cfRule>
          <xm:sqref>F911</xm:sqref>
        </x14:conditionalFormatting>
        <x14:conditionalFormatting xmlns:xm="http://schemas.microsoft.com/office/excel/2006/main">
          <x14:cfRule type="cellIs" priority="468" operator="equal" id="{EE997704-5653-4E24-8C0A-1944931202EE}">
            <xm:f>'F:\Users\U397319\Documents\Archive\[Master_Automation_Regression_04_JUNE_2019 - Copy.xlsm]ListSource'!#REF!</xm:f>
            <x14:dxf>
              <font>
                <b/>
                <i val="0"/>
              </font>
              <fill>
                <patternFill>
                  <bgColor theme="0" tint="-0.14996795556505021"/>
                </patternFill>
              </fill>
            </x14:dxf>
          </x14:cfRule>
          <x14:cfRule type="cellIs" priority="469" operator="equal" id="{8E535AC0-7EF3-4079-A631-03D6E6D1110E}">
            <xm:f>'F:\Users\U397319\Documents\Archive\[Master_Automation_Regression_04_JUNE_2019 - Copy.xlsm]ListSource'!#REF!</xm:f>
            <x14:dxf>
              <font>
                <color rgb="FF006100"/>
              </font>
              <fill>
                <patternFill>
                  <bgColor rgb="FFC6EFCE"/>
                </patternFill>
              </fill>
            </x14:dxf>
          </x14:cfRule>
          <xm:sqref>F911</xm:sqref>
        </x14:conditionalFormatting>
        <x14:conditionalFormatting xmlns:xm="http://schemas.microsoft.com/office/excel/2006/main">
          <x14:cfRule type="cellIs" priority="462" operator="equal" id="{DB694246-2781-4BD6-89F9-7874284007A2}">
            <xm:f>'F:\Users\U397319\Documents\Archive\[Master_Automation_Regression_04_JUNE_2019 - Copy.xlsm]ListSource'!#REF!</xm:f>
            <x14:dxf>
              <font>
                <b/>
                <i val="0"/>
              </font>
              <fill>
                <patternFill>
                  <bgColor theme="0" tint="-0.14996795556505021"/>
                </patternFill>
              </fill>
            </x14:dxf>
          </x14:cfRule>
          <x14:cfRule type="cellIs" priority="463" operator="equal" id="{43CDD9D1-04EE-4F8B-9D1D-067DD455D082}">
            <xm:f>'F:\Users\U397319\Documents\Archive\[Master_Automation_Regression_04_JUNE_2019 - Copy.xlsm]ListSource'!#REF!</xm:f>
            <x14:dxf>
              <font>
                <color rgb="FF006100"/>
              </font>
              <fill>
                <patternFill>
                  <bgColor rgb="FFC6EFCE"/>
                </patternFill>
              </fill>
            </x14:dxf>
          </x14:cfRule>
          <xm:sqref>F912</xm:sqref>
        </x14:conditionalFormatting>
        <x14:conditionalFormatting xmlns:xm="http://schemas.microsoft.com/office/excel/2006/main">
          <x14:cfRule type="cellIs" priority="460" operator="equal" id="{5A2426EE-97FD-42D8-9EED-5CD6F6F75169}">
            <xm:f>'F:\Users\U397319\Documents\Archive\[Master_Automation_Regression_04_JUNE_2019 - Copy.xlsm]ListSource'!#REF!</xm:f>
            <x14:dxf>
              <font>
                <b/>
                <i val="0"/>
              </font>
              <fill>
                <patternFill>
                  <bgColor theme="0" tint="-0.14996795556505021"/>
                </patternFill>
              </fill>
            </x14:dxf>
          </x14:cfRule>
          <x14:cfRule type="cellIs" priority="461" operator="equal" id="{F65731F0-02E2-432D-91E4-EDEA9285654A}">
            <xm:f>'F:\Users\U397319\Documents\Archive\[Master_Automation_Regression_04_JUNE_2019 - Copy.xlsm]ListSource'!#REF!</xm:f>
            <x14:dxf>
              <font>
                <color rgb="FF006100"/>
              </font>
              <fill>
                <patternFill>
                  <bgColor rgb="FFC6EFCE"/>
                </patternFill>
              </fill>
            </x14:dxf>
          </x14:cfRule>
          <xm:sqref>F912</xm:sqref>
        </x14:conditionalFormatting>
        <x14:conditionalFormatting xmlns:xm="http://schemas.microsoft.com/office/excel/2006/main">
          <x14:cfRule type="cellIs" priority="454" operator="equal" id="{076F5110-4250-463C-AC45-EAD04A77EA61}">
            <xm:f>'F:\Users\U397319\Documents\Archive\[Master_Automation_Regression_04_JUNE_2019 - Copy.xlsm]ListSource'!#REF!</xm:f>
            <x14:dxf>
              <font>
                <b/>
                <i val="0"/>
              </font>
              <fill>
                <patternFill>
                  <bgColor theme="0" tint="-0.14996795556505021"/>
                </patternFill>
              </fill>
            </x14:dxf>
          </x14:cfRule>
          <x14:cfRule type="cellIs" priority="455" operator="equal" id="{0C7D74D2-E523-4A40-9CD1-FD064A16C513}">
            <xm:f>'F:\Users\U397319\Documents\Archive\[Master_Automation_Regression_04_JUNE_2019 - Copy.xlsm]ListSource'!#REF!</xm:f>
            <x14:dxf>
              <font>
                <color rgb="FF006100"/>
              </font>
              <fill>
                <patternFill>
                  <bgColor rgb="FFC6EFCE"/>
                </patternFill>
              </fill>
            </x14:dxf>
          </x14:cfRule>
          <xm:sqref>F913</xm:sqref>
        </x14:conditionalFormatting>
        <x14:conditionalFormatting xmlns:xm="http://schemas.microsoft.com/office/excel/2006/main">
          <x14:cfRule type="cellIs" priority="452" operator="equal" id="{6516DF8A-5EC4-4BC0-BDD7-AE2E83C8A84E}">
            <xm:f>'F:\Users\U397319\Documents\Archive\[Master_Automation_Regression_04_JUNE_2019 - Copy.xlsm]ListSource'!#REF!</xm:f>
            <x14:dxf>
              <font>
                <b/>
                <i val="0"/>
              </font>
              <fill>
                <patternFill>
                  <bgColor theme="0" tint="-0.14996795556505021"/>
                </patternFill>
              </fill>
            </x14:dxf>
          </x14:cfRule>
          <x14:cfRule type="cellIs" priority="453" operator="equal" id="{F79B2993-BB21-4C46-89F7-6AECFCFAF85B}">
            <xm:f>'F:\Users\U397319\Documents\Archive\[Master_Automation_Regression_04_JUNE_2019 - Copy.xlsm]ListSource'!#REF!</xm:f>
            <x14:dxf>
              <font>
                <color rgb="FF006100"/>
              </font>
              <fill>
                <patternFill>
                  <bgColor rgb="FFC6EFCE"/>
                </patternFill>
              </fill>
            </x14:dxf>
          </x14:cfRule>
          <xm:sqref>F913</xm:sqref>
        </x14:conditionalFormatting>
        <x14:conditionalFormatting xmlns:xm="http://schemas.microsoft.com/office/excel/2006/main">
          <x14:cfRule type="cellIs" priority="446" operator="equal" id="{E8659684-CF2E-497B-9649-8D12F9E88EBE}">
            <xm:f>'F:\Users\U397319\Documents\Archive\[Master_Automation_Regression_04_JUNE_2019 - Copy.xlsm]ListSource'!#REF!</xm:f>
            <x14:dxf>
              <font>
                <b/>
                <i val="0"/>
              </font>
              <fill>
                <patternFill>
                  <bgColor theme="0" tint="-0.14996795556505021"/>
                </patternFill>
              </fill>
            </x14:dxf>
          </x14:cfRule>
          <x14:cfRule type="cellIs" priority="447" operator="equal" id="{DF4408A7-86F6-47AB-A47E-2E263C48D448}">
            <xm:f>'F:\Users\U397319\Documents\Archive\[Master_Automation_Regression_04_JUNE_2019 - Copy.xlsm]ListSource'!#REF!</xm:f>
            <x14:dxf>
              <font>
                <color rgb="FF006100"/>
              </font>
              <fill>
                <patternFill>
                  <bgColor rgb="FFC6EFCE"/>
                </patternFill>
              </fill>
            </x14:dxf>
          </x14:cfRule>
          <xm:sqref>F914</xm:sqref>
        </x14:conditionalFormatting>
        <x14:conditionalFormatting xmlns:xm="http://schemas.microsoft.com/office/excel/2006/main">
          <x14:cfRule type="cellIs" priority="444" operator="equal" id="{9CE8E2D3-FBC1-4148-959E-A5622E9F45F5}">
            <xm:f>'F:\Users\U397319\Documents\Archive\[Master_Automation_Regression_04_JUNE_2019 - Copy.xlsm]ListSource'!#REF!</xm:f>
            <x14:dxf>
              <font>
                <b/>
                <i val="0"/>
              </font>
              <fill>
                <patternFill>
                  <bgColor theme="0" tint="-0.14996795556505021"/>
                </patternFill>
              </fill>
            </x14:dxf>
          </x14:cfRule>
          <x14:cfRule type="cellIs" priority="445" operator="equal" id="{F7E05FF9-D650-4A4C-888E-2F3A13AA54D9}">
            <xm:f>'F:\Users\U397319\Documents\Archive\[Master_Automation_Regression_04_JUNE_2019 - Copy.xlsm]ListSource'!#REF!</xm:f>
            <x14:dxf>
              <font>
                <color rgb="FF006100"/>
              </font>
              <fill>
                <patternFill>
                  <bgColor rgb="FFC6EFCE"/>
                </patternFill>
              </fill>
            </x14:dxf>
          </x14:cfRule>
          <xm:sqref>F914</xm:sqref>
        </x14:conditionalFormatting>
        <x14:conditionalFormatting xmlns:xm="http://schemas.microsoft.com/office/excel/2006/main">
          <x14:cfRule type="cellIs" priority="438" operator="equal" id="{84513D72-C482-497C-897E-B35CD9CC628D}">
            <xm:f>'F:\Users\U397319\Documents\Archive\[Master_Automation_Regression_04_JUNE_2019 - Copy.xlsm]ListSource'!#REF!</xm:f>
            <x14:dxf>
              <font>
                <b/>
                <i val="0"/>
              </font>
              <fill>
                <patternFill>
                  <bgColor theme="0" tint="-0.14996795556505021"/>
                </patternFill>
              </fill>
            </x14:dxf>
          </x14:cfRule>
          <x14:cfRule type="cellIs" priority="439" operator="equal" id="{3762EE70-2E09-4029-83C1-C6F87C3C93FA}">
            <xm:f>'F:\Users\U397319\Documents\Archive\[Master_Automation_Regression_04_JUNE_2019 - Copy.xlsm]ListSource'!#REF!</xm:f>
            <x14:dxf>
              <font>
                <color rgb="FF006100"/>
              </font>
              <fill>
                <patternFill>
                  <bgColor rgb="FFC6EFCE"/>
                </patternFill>
              </fill>
            </x14:dxf>
          </x14:cfRule>
          <xm:sqref>F915</xm:sqref>
        </x14:conditionalFormatting>
        <x14:conditionalFormatting xmlns:xm="http://schemas.microsoft.com/office/excel/2006/main">
          <x14:cfRule type="cellIs" priority="436" operator="equal" id="{266617C6-F7C8-4425-B5EC-3AC769C91A18}">
            <xm:f>'F:\Users\U397319\Documents\Archive\[Master_Automation_Regression_04_JUNE_2019 - Copy.xlsm]ListSource'!#REF!</xm:f>
            <x14:dxf>
              <font>
                <b/>
                <i val="0"/>
              </font>
              <fill>
                <patternFill>
                  <bgColor theme="0" tint="-0.14996795556505021"/>
                </patternFill>
              </fill>
            </x14:dxf>
          </x14:cfRule>
          <x14:cfRule type="cellIs" priority="437" operator="equal" id="{11E6B0F5-1A09-492D-B72A-137BEA8FDFE9}">
            <xm:f>'F:\Users\U397319\Documents\Archive\[Master_Automation_Regression_04_JUNE_2019 - Copy.xlsm]ListSource'!#REF!</xm:f>
            <x14:dxf>
              <font>
                <color rgb="FF006100"/>
              </font>
              <fill>
                <patternFill>
                  <bgColor rgb="FFC6EFCE"/>
                </patternFill>
              </fill>
            </x14:dxf>
          </x14:cfRule>
          <xm:sqref>F915</xm:sqref>
        </x14:conditionalFormatting>
        <x14:conditionalFormatting xmlns:xm="http://schemas.microsoft.com/office/excel/2006/main">
          <x14:cfRule type="cellIs" priority="430" operator="equal" id="{EF306B73-DE85-4167-9BC6-1627C6BEB0C8}">
            <xm:f>'F:\Users\U397319\Documents\Archive\[Master_Automation_Regression_04_JUNE_2019 - Copy.xlsm]ListSource'!#REF!</xm:f>
            <x14:dxf>
              <font>
                <b/>
                <i val="0"/>
              </font>
              <fill>
                <patternFill>
                  <bgColor theme="0" tint="-0.14996795556505021"/>
                </patternFill>
              </fill>
            </x14:dxf>
          </x14:cfRule>
          <x14:cfRule type="cellIs" priority="431" operator="equal" id="{525C9FBD-F8A8-4137-AE43-D4C66AD68807}">
            <xm:f>'F:\Users\U397319\Documents\Archive\[Master_Automation_Regression_04_JUNE_2019 - Copy.xlsm]ListSource'!#REF!</xm:f>
            <x14:dxf>
              <font>
                <color rgb="FF006100"/>
              </font>
              <fill>
                <patternFill>
                  <bgColor rgb="FFC6EFCE"/>
                </patternFill>
              </fill>
            </x14:dxf>
          </x14:cfRule>
          <xm:sqref>F916</xm:sqref>
        </x14:conditionalFormatting>
        <x14:conditionalFormatting xmlns:xm="http://schemas.microsoft.com/office/excel/2006/main">
          <x14:cfRule type="cellIs" priority="428" operator="equal" id="{4CBFA4ED-8B32-46F8-B9BF-EEA206467D4A}">
            <xm:f>'F:\Users\U397319\Documents\Archive\[Master_Automation_Regression_04_JUNE_2019 - Copy.xlsm]ListSource'!#REF!</xm:f>
            <x14:dxf>
              <font>
                <b/>
                <i val="0"/>
              </font>
              <fill>
                <patternFill>
                  <bgColor theme="0" tint="-0.14996795556505021"/>
                </patternFill>
              </fill>
            </x14:dxf>
          </x14:cfRule>
          <x14:cfRule type="cellIs" priority="429" operator="equal" id="{D4760763-C7FD-46F9-A892-14E61973D88B}">
            <xm:f>'F:\Users\U397319\Documents\Archive\[Master_Automation_Regression_04_JUNE_2019 - Copy.xlsm]ListSource'!#REF!</xm:f>
            <x14:dxf>
              <font>
                <color rgb="FF006100"/>
              </font>
              <fill>
                <patternFill>
                  <bgColor rgb="FFC6EFCE"/>
                </patternFill>
              </fill>
            </x14:dxf>
          </x14:cfRule>
          <xm:sqref>F916</xm:sqref>
        </x14:conditionalFormatting>
        <x14:conditionalFormatting xmlns:xm="http://schemas.microsoft.com/office/excel/2006/main">
          <x14:cfRule type="cellIs" priority="422" operator="equal" id="{3D836CCE-EBB0-4C43-930C-5B11EB78A71A}">
            <xm:f>'F:\Users\U397319\Documents\Archive\[Master_Automation_Regression_04_JUNE_2019 - Copy.xlsm]ListSource'!#REF!</xm:f>
            <x14:dxf>
              <font>
                <b/>
                <i val="0"/>
              </font>
              <fill>
                <patternFill>
                  <bgColor theme="0" tint="-0.14996795556505021"/>
                </patternFill>
              </fill>
            </x14:dxf>
          </x14:cfRule>
          <x14:cfRule type="cellIs" priority="423" operator="equal" id="{337C2642-6457-403D-818C-B6C17D63B671}">
            <xm:f>'F:\Users\U397319\Documents\Archive\[Master_Automation_Regression_04_JUNE_2019 - Copy.xlsm]ListSource'!#REF!</xm:f>
            <x14:dxf>
              <font>
                <color rgb="FF006100"/>
              </font>
              <fill>
                <patternFill>
                  <bgColor rgb="FFC6EFCE"/>
                </patternFill>
              </fill>
            </x14:dxf>
          </x14:cfRule>
          <xm:sqref>F900</xm:sqref>
        </x14:conditionalFormatting>
        <x14:conditionalFormatting xmlns:xm="http://schemas.microsoft.com/office/excel/2006/main">
          <x14:cfRule type="cellIs" priority="420" operator="equal" id="{2D40621F-5A27-4D99-8C0E-32E57DDC648A}">
            <xm:f>'F:\Users\U397319\Documents\Archive\[Master_Automation_Regression_04_JUNE_2019 - Copy.xlsm]ListSource'!#REF!</xm:f>
            <x14:dxf>
              <font>
                <b/>
                <i val="0"/>
              </font>
              <fill>
                <patternFill>
                  <bgColor theme="0" tint="-0.14996795556505021"/>
                </patternFill>
              </fill>
            </x14:dxf>
          </x14:cfRule>
          <x14:cfRule type="cellIs" priority="421" operator="equal" id="{35764077-D5B6-4443-915F-ECFE434DA91C}">
            <xm:f>'F:\Users\U397319\Documents\Archive\[Master_Automation_Regression_04_JUNE_2019 - Copy.xlsm]ListSource'!#REF!</xm:f>
            <x14:dxf>
              <font>
                <color rgb="FF006100"/>
              </font>
              <fill>
                <patternFill>
                  <bgColor rgb="FFC6EFCE"/>
                </patternFill>
              </fill>
            </x14:dxf>
          </x14:cfRule>
          <xm:sqref>F900</xm:sqref>
        </x14:conditionalFormatting>
        <x14:conditionalFormatting xmlns:xm="http://schemas.microsoft.com/office/excel/2006/main">
          <x14:cfRule type="cellIs" priority="414" operator="equal" id="{B00475FB-5A4A-420F-B0EB-0E54B996A20E}">
            <xm:f>'F:\Users\U397319\Documents\Archive\[Master_Automation_Regression_04_JUNE_2019 - Copy.xlsm]ListSource'!#REF!</xm:f>
            <x14:dxf>
              <font>
                <b/>
                <i val="0"/>
              </font>
              <fill>
                <patternFill>
                  <bgColor theme="0" tint="-0.14996795556505021"/>
                </patternFill>
              </fill>
            </x14:dxf>
          </x14:cfRule>
          <x14:cfRule type="cellIs" priority="415" operator="equal" id="{DFDF2CBC-3B73-49AD-812A-64712DC33743}">
            <xm:f>'F:\Users\U397319\Documents\Archive\[Master_Automation_Regression_04_JUNE_2019 - Copy.xlsm]ListSource'!#REF!</xm:f>
            <x14:dxf>
              <font>
                <color rgb="FF006100"/>
              </font>
              <fill>
                <patternFill>
                  <bgColor rgb="FFC6EFCE"/>
                </patternFill>
              </fill>
            </x14:dxf>
          </x14:cfRule>
          <xm:sqref>F901</xm:sqref>
        </x14:conditionalFormatting>
        <x14:conditionalFormatting xmlns:xm="http://schemas.microsoft.com/office/excel/2006/main">
          <x14:cfRule type="cellIs" priority="412" operator="equal" id="{6C7DCB4F-B338-46AC-A5F8-FA3D1423A1A5}">
            <xm:f>'F:\Users\U397319\Documents\Archive\[Master_Automation_Regression_04_JUNE_2019 - Copy.xlsm]ListSource'!#REF!</xm:f>
            <x14:dxf>
              <font>
                <b/>
                <i val="0"/>
              </font>
              <fill>
                <patternFill>
                  <bgColor theme="0" tint="-0.14996795556505021"/>
                </patternFill>
              </fill>
            </x14:dxf>
          </x14:cfRule>
          <x14:cfRule type="cellIs" priority="413" operator="equal" id="{6EE40086-C8AC-46A3-A2D6-7FA108CF7908}">
            <xm:f>'F:\Users\U397319\Documents\Archive\[Master_Automation_Regression_04_JUNE_2019 - Copy.xlsm]ListSource'!#REF!</xm:f>
            <x14:dxf>
              <font>
                <color rgb="FF006100"/>
              </font>
              <fill>
                <patternFill>
                  <bgColor rgb="FFC6EFCE"/>
                </patternFill>
              </fill>
            </x14:dxf>
          </x14:cfRule>
          <xm:sqref>F901</xm:sqref>
        </x14:conditionalFormatting>
        <x14:conditionalFormatting xmlns:xm="http://schemas.microsoft.com/office/excel/2006/main">
          <x14:cfRule type="cellIs" priority="406" operator="equal" id="{59A3D528-69F7-433F-B3C4-4F484387F189}">
            <xm:f>'F:\Users\U397319\Documents\Archive\[Master_Automation_Regression_04_JUNE_2019 - Copy.xlsm]ListSource'!#REF!</xm:f>
            <x14:dxf>
              <font>
                <b/>
                <i val="0"/>
              </font>
              <fill>
                <patternFill>
                  <bgColor theme="0" tint="-0.14996795556505021"/>
                </patternFill>
              </fill>
            </x14:dxf>
          </x14:cfRule>
          <x14:cfRule type="cellIs" priority="407" operator="equal" id="{EC15AB46-178E-45DF-A51A-A3B29B36C1E4}">
            <xm:f>'F:\Users\U397319\Documents\Archive\[Master_Automation_Regression_04_JUNE_2019 - Copy.xlsm]ListSource'!#REF!</xm:f>
            <x14:dxf>
              <font>
                <color rgb="FF006100"/>
              </font>
              <fill>
                <patternFill>
                  <bgColor rgb="FFC6EFCE"/>
                </patternFill>
              </fill>
            </x14:dxf>
          </x14:cfRule>
          <xm:sqref>F902</xm:sqref>
        </x14:conditionalFormatting>
        <x14:conditionalFormatting xmlns:xm="http://schemas.microsoft.com/office/excel/2006/main">
          <x14:cfRule type="cellIs" priority="404" operator="equal" id="{4FF63B3A-44FF-408F-9622-90E0BA293F76}">
            <xm:f>'F:\Users\U397319\Documents\Archive\[Master_Automation_Regression_04_JUNE_2019 - Copy.xlsm]ListSource'!#REF!</xm:f>
            <x14:dxf>
              <font>
                <b/>
                <i val="0"/>
              </font>
              <fill>
                <patternFill>
                  <bgColor theme="0" tint="-0.14996795556505021"/>
                </patternFill>
              </fill>
            </x14:dxf>
          </x14:cfRule>
          <x14:cfRule type="cellIs" priority="405" operator="equal" id="{919B7084-8527-4C24-A1AE-8C78308AB992}">
            <xm:f>'F:\Users\U397319\Documents\Archive\[Master_Automation_Regression_04_JUNE_2019 - Copy.xlsm]ListSource'!#REF!</xm:f>
            <x14:dxf>
              <font>
                <color rgb="FF006100"/>
              </font>
              <fill>
                <patternFill>
                  <bgColor rgb="FFC6EFCE"/>
                </patternFill>
              </fill>
            </x14:dxf>
          </x14:cfRule>
          <xm:sqref>F902</xm:sqref>
        </x14:conditionalFormatting>
        <x14:conditionalFormatting xmlns:xm="http://schemas.microsoft.com/office/excel/2006/main">
          <x14:cfRule type="cellIs" priority="398" operator="equal" id="{D708CD3E-A955-42C9-831E-795C01AE08F8}">
            <xm:f>'F:\Users\U397319\Documents\Archive\[Master_Automation_Regression_04_JUNE_2019 - Copy.xlsm]ListSource'!#REF!</xm:f>
            <x14:dxf>
              <font>
                <b/>
                <i val="0"/>
              </font>
              <fill>
                <patternFill>
                  <bgColor theme="0" tint="-0.14996795556505021"/>
                </patternFill>
              </fill>
            </x14:dxf>
          </x14:cfRule>
          <x14:cfRule type="cellIs" priority="399" operator="equal" id="{185C3906-60B9-4EB3-8B9E-AB95FDF374FB}">
            <xm:f>'F:\Users\U397319\Documents\Archive\[Master_Automation_Regression_04_JUNE_2019 - Copy.xlsm]ListSource'!#REF!</xm:f>
            <x14:dxf>
              <font>
                <color rgb="FF006100"/>
              </font>
              <fill>
                <patternFill>
                  <bgColor rgb="FFC6EFCE"/>
                </patternFill>
              </fill>
            </x14:dxf>
          </x14:cfRule>
          <xm:sqref>F903</xm:sqref>
        </x14:conditionalFormatting>
        <x14:conditionalFormatting xmlns:xm="http://schemas.microsoft.com/office/excel/2006/main">
          <x14:cfRule type="cellIs" priority="396" operator="equal" id="{7B41475F-300E-49FC-BF51-C83E4B7ADFE1}">
            <xm:f>'F:\Users\U397319\Documents\Archive\[Master_Automation_Regression_04_JUNE_2019 - Copy.xlsm]ListSource'!#REF!</xm:f>
            <x14:dxf>
              <font>
                <b/>
                <i val="0"/>
              </font>
              <fill>
                <patternFill>
                  <bgColor theme="0" tint="-0.14996795556505021"/>
                </patternFill>
              </fill>
            </x14:dxf>
          </x14:cfRule>
          <x14:cfRule type="cellIs" priority="397" operator="equal" id="{245759F4-545B-4BDE-A7D7-DBBC488F1D50}">
            <xm:f>'F:\Users\U397319\Documents\Archive\[Master_Automation_Regression_04_JUNE_2019 - Copy.xlsm]ListSource'!#REF!</xm:f>
            <x14:dxf>
              <font>
                <color rgb="FF006100"/>
              </font>
              <fill>
                <patternFill>
                  <bgColor rgb="FFC6EFCE"/>
                </patternFill>
              </fill>
            </x14:dxf>
          </x14:cfRule>
          <xm:sqref>F903</xm:sqref>
        </x14:conditionalFormatting>
        <x14:conditionalFormatting xmlns:xm="http://schemas.microsoft.com/office/excel/2006/main">
          <x14:cfRule type="cellIs" priority="308" operator="equal" id="{D6CE5661-EF8D-4075-A41F-BDB98F560753}">
            <xm:f>'F:\Users\U397319\Documents\Archive\[Master_Automation_Regression_04_JUNE_2019 - Copy.xlsm]ListSource'!#REF!</xm:f>
            <x14:dxf>
              <font>
                <b/>
                <i val="0"/>
              </font>
              <fill>
                <patternFill>
                  <bgColor theme="0" tint="-0.14996795556505021"/>
                </patternFill>
              </fill>
            </x14:dxf>
          </x14:cfRule>
          <x14:cfRule type="cellIs" priority="309" operator="equal" id="{BD389099-9351-46D8-B1F9-F1C2DE2DB838}">
            <xm:f>'F:\Users\U397319\Documents\Archive\[Master_Automation_Regression_04_JUNE_2019 - Copy.xlsm]ListSource'!#REF!</xm:f>
            <x14:dxf>
              <font>
                <color rgb="FF006100"/>
              </font>
              <fill>
                <patternFill>
                  <bgColor rgb="FFC6EFCE"/>
                </patternFill>
              </fill>
            </x14:dxf>
          </x14:cfRule>
          <xm:sqref>F892:F899</xm:sqref>
        </x14:conditionalFormatting>
        <x14:conditionalFormatting xmlns:xm="http://schemas.microsoft.com/office/excel/2006/main">
          <x14:cfRule type="cellIs" priority="306" operator="equal" id="{352E35EE-80FA-47B8-8CA9-81952428F8FF}">
            <xm:f>'F:\Users\U397319\Documents\Archive\[Master_Automation_Regression_04_JUNE_2019 - Copy.xlsm]ListSource'!#REF!</xm:f>
            <x14:dxf>
              <font>
                <b/>
                <i val="0"/>
              </font>
              <fill>
                <patternFill>
                  <bgColor theme="0" tint="-0.14996795556505021"/>
                </patternFill>
              </fill>
            </x14:dxf>
          </x14:cfRule>
          <x14:cfRule type="cellIs" priority="307" operator="equal" id="{C9C96DCF-9098-4BE4-A2DA-A53FED6C53B0}">
            <xm:f>'F:\Users\U397319\Documents\Archive\[Master_Automation_Regression_04_JUNE_2019 - Copy.xlsm]ListSource'!#REF!</xm:f>
            <x14:dxf>
              <font>
                <color rgb="FF006100"/>
              </font>
              <fill>
                <patternFill>
                  <bgColor rgb="FFC6EFCE"/>
                </patternFill>
              </fill>
            </x14:dxf>
          </x14:cfRule>
          <xm:sqref>F892:F899</xm:sqref>
        </x14:conditionalFormatting>
        <x14:conditionalFormatting xmlns:xm="http://schemas.microsoft.com/office/excel/2006/main">
          <x14:cfRule type="cellIs" priority="300" operator="equal" id="{D93BF0BE-7FD5-4C7A-A9D6-FC13EE337AE0}">
            <xm:f>'F:\Users\U397319\Documents\Archive\[Master_Automation_Regression_04_JUNE_2019 - Copy.xlsm]ListSource'!#REF!</xm:f>
            <x14:dxf>
              <font>
                <b/>
                <i val="0"/>
              </font>
              <fill>
                <patternFill>
                  <bgColor theme="0" tint="-0.14996795556505021"/>
                </patternFill>
              </fill>
            </x14:dxf>
          </x14:cfRule>
          <x14:cfRule type="cellIs" priority="301" operator="equal" id="{98BD951A-AFD8-491A-A63B-413870564D0F}">
            <xm:f>'F:\Users\U397319\Documents\Archive\[Master_Automation_Regression_04_JUNE_2019 - Copy.xlsm]ListSource'!#REF!</xm:f>
            <x14:dxf>
              <font>
                <color rgb="FF006100"/>
              </font>
              <fill>
                <patternFill>
                  <bgColor rgb="FFC6EFCE"/>
                </patternFill>
              </fill>
            </x14:dxf>
          </x14:cfRule>
          <xm:sqref>F904</xm:sqref>
        </x14:conditionalFormatting>
        <x14:conditionalFormatting xmlns:xm="http://schemas.microsoft.com/office/excel/2006/main">
          <x14:cfRule type="cellIs" priority="298" operator="equal" id="{7FA73284-DD95-4029-B6C6-22AF4AA7D85A}">
            <xm:f>'F:\Users\U397319\Documents\Archive\[Master_Automation_Regression_04_JUNE_2019 - Copy.xlsm]ListSource'!#REF!</xm:f>
            <x14:dxf>
              <font>
                <b/>
                <i val="0"/>
              </font>
              <fill>
                <patternFill>
                  <bgColor theme="0" tint="-0.14996795556505021"/>
                </patternFill>
              </fill>
            </x14:dxf>
          </x14:cfRule>
          <x14:cfRule type="cellIs" priority="299" operator="equal" id="{CD00C484-61B2-4358-96FC-08CC51EC85CE}">
            <xm:f>'F:\Users\U397319\Documents\Archive\[Master_Automation_Regression_04_JUNE_2019 - Copy.xlsm]ListSource'!#REF!</xm:f>
            <x14:dxf>
              <font>
                <color rgb="FF006100"/>
              </font>
              <fill>
                <patternFill>
                  <bgColor rgb="FFC6EFCE"/>
                </patternFill>
              </fill>
            </x14:dxf>
          </x14:cfRule>
          <xm:sqref>F904</xm:sqref>
        </x14:conditionalFormatting>
        <x14:conditionalFormatting xmlns:xm="http://schemas.microsoft.com/office/excel/2006/main">
          <x14:cfRule type="cellIs" priority="292" operator="equal" id="{651C038C-5518-4901-9F96-5321D476BE45}">
            <xm:f>'F:\Users\U397319\Documents\Archive\[Master_Automation_Regression_04_JUNE_2019 - Copy.xlsm]ListSource'!#REF!</xm:f>
            <x14:dxf>
              <font>
                <b/>
                <i val="0"/>
              </font>
              <fill>
                <patternFill>
                  <bgColor theme="0" tint="-0.14996795556505021"/>
                </patternFill>
              </fill>
            </x14:dxf>
          </x14:cfRule>
          <x14:cfRule type="cellIs" priority="293" operator="equal" id="{DA864C8E-B5A4-405B-ADBA-742C6EEDE6F8}">
            <xm:f>'F:\Users\U397319\Documents\Archive\[Master_Automation_Regression_04_JUNE_2019 - Copy.xlsm]ListSource'!#REF!</xm:f>
            <x14:dxf>
              <font>
                <color rgb="FF006100"/>
              </font>
              <fill>
                <patternFill>
                  <bgColor rgb="FFC6EFCE"/>
                </patternFill>
              </fill>
            </x14:dxf>
          </x14:cfRule>
          <xm:sqref>F905</xm:sqref>
        </x14:conditionalFormatting>
        <x14:conditionalFormatting xmlns:xm="http://schemas.microsoft.com/office/excel/2006/main">
          <x14:cfRule type="cellIs" priority="290" operator="equal" id="{093FB7A0-2B4A-4316-99CC-F280D3CF9F36}">
            <xm:f>'F:\Users\U397319\Documents\Archive\[Master_Automation_Regression_04_JUNE_2019 - Copy.xlsm]ListSource'!#REF!</xm:f>
            <x14:dxf>
              <font>
                <b/>
                <i val="0"/>
              </font>
              <fill>
                <patternFill>
                  <bgColor theme="0" tint="-0.14996795556505021"/>
                </patternFill>
              </fill>
            </x14:dxf>
          </x14:cfRule>
          <x14:cfRule type="cellIs" priority="291" operator="equal" id="{F37E8036-773D-4B28-9849-1272C740C6D5}">
            <xm:f>'F:\Users\U397319\Documents\Archive\[Master_Automation_Regression_04_JUNE_2019 - Copy.xlsm]ListSource'!#REF!</xm:f>
            <x14:dxf>
              <font>
                <color rgb="FF006100"/>
              </font>
              <fill>
                <patternFill>
                  <bgColor rgb="FFC6EFCE"/>
                </patternFill>
              </fill>
            </x14:dxf>
          </x14:cfRule>
          <xm:sqref>F905</xm:sqref>
        </x14:conditionalFormatting>
        <x14:conditionalFormatting xmlns:xm="http://schemas.microsoft.com/office/excel/2006/main">
          <x14:cfRule type="cellIs" priority="284" operator="equal" id="{99A71427-D8E0-486C-8F61-ABDAD01FEC33}">
            <xm:f>'F:\Users\U397319\Documents\Archive\[Master_Automation_Regression_04_JUNE_2019 - Copy.xlsm]ListSource'!#REF!</xm:f>
            <x14:dxf>
              <font>
                <b/>
                <i val="0"/>
              </font>
              <fill>
                <patternFill>
                  <bgColor theme="0" tint="-0.14996795556505021"/>
                </patternFill>
              </fill>
            </x14:dxf>
          </x14:cfRule>
          <x14:cfRule type="cellIs" priority="285" operator="equal" id="{4A05D50C-C690-41C5-8053-A2246F6C5A39}">
            <xm:f>'F:\Users\U397319\Documents\Archive\[Master_Automation_Regression_04_JUNE_2019 - Copy.xlsm]ListSource'!#REF!</xm:f>
            <x14:dxf>
              <font>
                <color rgb="FF006100"/>
              </font>
              <fill>
                <patternFill>
                  <bgColor rgb="FFC6EFCE"/>
                </patternFill>
              </fill>
            </x14:dxf>
          </x14:cfRule>
          <xm:sqref>F917:F944</xm:sqref>
        </x14:conditionalFormatting>
        <x14:conditionalFormatting xmlns:xm="http://schemas.microsoft.com/office/excel/2006/main">
          <x14:cfRule type="cellIs" priority="282" operator="equal" id="{0CA0D801-4CE5-4607-A5CC-E12AFE12E535}">
            <xm:f>'F:\Users\U397319\Documents\Archive\[Master_Automation_Regression_04_JUNE_2019 - Copy.xlsm]ListSource'!#REF!</xm:f>
            <x14:dxf>
              <font>
                <b/>
                <i val="0"/>
              </font>
              <fill>
                <patternFill>
                  <bgColor theme="0" tint="-0.14996795556505021"/>
                </patternFill>
              </fill>
            </x14:dxf>
          </x14:cfRule>
          <x14:cfRule type="cellIs" priority="283" operator="equal" id="{2CEB1D72-E997-407B-86BF-A5C373B823BE}">
            <xm:f>'F:\Users\U397319\Documents\Archive\[Master_Automation_Regression_04_JUNE_2019 - Copy.xlsm]ListSource'!#REF!</xm:f>
            <x14:dxf>
              <font>
                <color rgb="FF006100"/>
              </font>
              <fill>
                <patternFill>
                  <bgColor rgb="FFC6EFCE"/>
                </patternFill>
              </fill>
            </x14:dxf>
          </x14:cfRule>
          <xm:sqref>F917:F944</xm:sqref>
        </x14:conditionalFormatting>
        <x14:conditionalFormatting xmlns:xm="http://schemas.microsoft.com/office/excel/2006/main">
          <x14:cfRule type="cellIs" priority="266" operator="equal" id="{D6B11B1D-5EB1-45E3-AFCE-8011D1EFAB17}">
            <xm:f>'F:\Users\U397319\Documents\Archive\[Master_Automation_Regression_04_JUNE_2019 - Copy.xlsm]ListSource'!#REF!</xm:f>
            <x14:dxf>
              <font>
                <b/>
                <i val="0"/>
              </font>
              <fill>
                <patternFill>
                  <bgColor theme="0" tint="-0.14996795556505021"/>
                </patternFill>
              </fill>
            </x14:dxf>
          </x14:cfRule>
          <x14:cfRule type="cellIs" priority="267" operator="equal" id="{A0B67AB9-579F-4C70-9FEE-492119918836}">
            <xm:f>'F:\Users\U397319\Documents\Archive\[Master_Automation_Regression_04_JUNE_2019 - Copy.xlsm]ListSource'!#REF!</xm:f>
            <x14:dxf>
              <font>
                <color rgb="FF006100"/>
              </font>
              <fill>
                <patternFill>
                  <bgColor rgb="FFC6EFCE"/>
                </patternFill>
              </fill>
            </x14:dxf>
          </x14:cfRule>
          <xm:sqref>F945</xm:sqref>
        </x14:conditionalFormatting>
        <x14:conditionalFormatting xmlns:xm="http://schemas.microsoft.com/office/excel/2006/main">
          <x14:cfRule type="cellIs" priority="264" operator="equal" id="{61439FDA-F11E-4211-B401-D71A0CC6708A}">
            <xm:f>'F:\Users\U397319\Documents\Archive\[Master_Automation_Regression_04_JUNE_2019 - Copy.xlsm]ListSource'!#REF!</xm:f>
            <x14:dxf>
              <font>
                <b/>
                <i val="0"/>
              </font>
              <fill>
                <patternFill>
                  <bgColor theme="0" tint="-0.14996795556505021"/>
                </patternFill>
              </fill>
            </x14:dxf>
          </x14:cfRule>
          <x14:cfRule type="cellIs" priority="265" operator="equal" id="{FAEC4A43-FC12-4B7A-A3D6-AE929D0DB56C}">
            <xm:f>'F:\Users\U397319\Documents\Archive\[Master_Automation_Regression_04_JUNE_2019 - Copy.xlsm]ListSource'!#REF!</xm:f>
            <x14:dxf>
              <font>
                <color rgb="FF006100"/>
              </font>
              <fill>
                <patternFill>
                  <bgColor rgb="FFC6EFCE"/>
                </patternFill>
              </fill>
            </x14:dxf>
          </x14:cfRule>
          <xm:sqref>F945</xm:sqref>
        </x14:conditionalFormatting>
        <x14:conditionalFormatting xmlns:xm="http://schemas.microsoft.com/office/excel/2006/main">
          <x14:cfRule type="cellIs" priority="137" operator="equal" id="{069FAB59-D5BB-4451-A3CE-0CF4057252D8}">
            <xm:f>'F:\Users\U397319\Documents\Archive\[Master_Automation_Regression_04_JUNE_2019 - Copy.xlsm]ListSource'!#REF!</xm:f>
            <x14:dxf>
              <font>
                <b/>
                <i val="0"/>
              </font>
              <fill>
                <patternFill>
                  <bgColor theme="0" tint="-0.14996795556505021"/>
                </patternFill>
              </fill>
            </x14:dxf>
          </x14:cfRule>
          <x14:cfRule type="cellIs" priority="138" operator="equal" id="{3911F243-6A2F-4CBD-B870-0628F8D8F286}">
            <xm:f>'F:\Users\U397319\Documents\Archive\[Master_Automation_Regression_04_JUNE_2019 - Copy.xlsm]ListSource'!#REF!</xm:f>
            <x14:dxf>
              <font>
                <color rgb="FF006100"/>
              </font>
              <fill>
                <patternFill>
                  <bgColor rgb="FFC6EFCE"/>
                </patternFill>
              </fill>
            </x14:dxf>
          </x14:cfRule>
          <xm:sqref>F946:F1058</xm:sqref>
        </x14:conditionalFormatting>
        <x14:conditionalFormatting xmlns:xm="http://schemas.microsoft.com/office/excel/2006/main">
          <x14:cfRule type="cellIs" priority="135" operator="equal" id="{B25EA495-C071-4D76-9C88-3B02CBEDC834}">
            <xm:f>'F:\Users\U397319\Documents\Archive\[Master_Automation_Regression_04_JUNE_2019 - Copy.xlsm]ListSource'!#REF!</xm:f>
            <x14:dxf>
              <font>
                <b/>
                <i val="0"/>
              </font>
              <fill>
                <patternFill>
                  <bgColor theme="0" tint="-0.14996795556505021"/>
                </patternFill>
              </fill>
            </x14:dxf>
          </x14:cfRule>
          <x14:cfRule type="cellIs" priority="136" operator="equal" id="{5BC6B9E0-961F-42D3-86EC-2B084A4C4F64}">
            <xm:f>'F:\Users\U397319\Documents\Archive\[Master_Automation_Regression_04_JUNE_2019 - Copy.xlsm]ListSource'!#REF!</xm:f>
            <x14:dxf>
              <font>
                <color rgb="FF006100"/>
              </font>
              <fill>
                <patternFill>
                  <bgColor rgb="FFC6EFCE"/>
                </patternFill>
              </fill>
            </x14:dxf>
          </x14:cfRule>
          <xm:sqref>F946:F1058</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14:formula1>
            <xm:f>ListSource!$B$2:$B$11</xm:f>
          </x14:formula1>
          <xm:sqref>B2:B835 B837:B1058</xm:sqref>
        </x14:dataValidation>
        <x14:dataValidation type="list" allowBlank="1" showInputMessage="1" showErrorMessage="1">
          <x14:formula1>
            <xm:f>ListSource!$K$1:$K$4</xm:f>
          </x14:formula1>
          <xm:sqref>H2:H17 H19:H1058</xm:sqref>
        </x14:dataValidation>
        <x14:dataValidation type="list" allowBlank="1" showInputMessage="1" showErrorMessage="1">
          <x14:formula1>
            <xm:f>ListSource!$A$1:$A$5</xm:f>
          </x14:formula1>
          <xm:sqref>I2:I1058</xm:sqref>
        </x14:dataValidation>
        <x14:dataValidation type="list" allowBlank="1" showInputMessage="1" showErrorMessage="1">
          <x14:formula1>
            <xm:f>ListSource!$D$1:$D$11</xm:f>
          </x14:formula1>
          <xm:sqref>F2:F1048576</xm:sqref>
        </x14:dataValidation>
        <x14:dataValidation type="list" allowBlank="1" showInputMessage="1" showErrorMessage="1">
          <x14:formula1>
            <xm:f>[1]ListSource!#REF!</xm:f>
          </x14:formula1>
          <xm:sqref>M2:M17 M19:M1058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Q28"/>
  <sheetViews>
    <sheetView showGridLines="0" workbookViewId="0">
      <selection activeCell="G29" sqref="G29"/>
    </sheetView>
  </sheetViews>
  <sheetFormatPr defaultRowHeight="12.75" x14ac:dyDescent="0.2"/>
  <cols>
    <col min="1" max="1" width="27.5703125" bestFit="1" customWidth="1"/>
    <col min="2" max="2" width="27.140625" customWidth="1"/>
    <col min="3" max="3" width="25.7109375" customWidth="1"/>
    <col min="4" max="4" width="30.42578125" customWidth="1"/>
    <col min="5" max="5" width="30.28515625" customWidth="1"/>
    <col min="6" max="6" width="25.5703125" customWidth="1"/>
    <col min="7" max="7" width="31.28515625" customWidth="1"/>
    <col min="8" max="8" width="23.85546875" bestFit="1" customWidth="1"/>
    <col min="10" max="10" width="16.5703125" customWidth="1"/>
    <col min="11" max="11" width="12.28515625" bestFit="1" customWidth="1"/>
    <col min="13" max="13" width="16.7109375" bestFit="1" customWidth="1"/>
    <col min="15" max="15" width="47.5703125" customWidth="1"/>
    <col min="17" max="17" width="26.85546875" customWidth="1"/>
  </cols>
  <sheetData>
    <row r="1" spans="1:17" ht="15" x14ac:dyDescent="0.25">
      <c r="A1" s="58" t="s">
        <v>2</v>
      </c>
      <c r="B1" s="56" t="s">
        <v>21</v>
      </c>
      <c r="C1" s="3"/>
      <c r="D1" s="4" t="s">
        <v>48</v>
      </c>
      <c r="E1" s="3"/>
      <c r="F1" s="101" t="s">
        <v>739</v>
      </c>
      <c r="G1" s="3"/>
      <c r="H1" s="60" t="s">
        <v>39</v>
      </c>
      <c r="I1">
        <v>1</v>
      </c>
      <c r="J1" s="62"/>
      <c r="K1" s="4" t="s">
        <v>51</v>
      </c>
      <c r="L1" s="3"/>
      <c r="M1" s="4" t="s">
        <v>2</v>
      </c>
      <c r="O1" s="13" t="s">
        <v>740</v>
      </c>
      <c r="Q1" s="102" t="s">
        <v>741</v>
      </c>
    </row>
    <row r="2" spans="1:17" ht="15" x14ac:dyDescent="0.25">
      <c r="A2" s="58" t="s">
        <v>742</v>
      </c>
      <c r="B2" s="92" t="s">
        <v>64</v>
      </c>
      <c r="C2" s="3"/>
      <c r="D2" s="4" t="s">
        <v>743</v>
      </c>
      <c r="E2" s="3"/>
      <c r="F2" s="101" t="s">
        <v>744</v>
      </c>
      <c r="G2" s="3"/>
      <c r="J2" s="63"/>
      <c r="K2" s="4" t="s">
        <v>745</v>
      </c>
      <c r="L2" s="3"/>
      <c r="M2" s="4" t="s">
        <v>746</v>
      </c>
      <c r="O2" s="13" t="s">
        <v>747</v>
      </c>
      <c r="Q2" s="102" t="s">
        <v>60</v>
      </c>
    </row>
    <row r="3" spans="1:17" ht="30" x14ac:dyDescent="0.25">
      <c r="A3" s="58" t="s">
        <v>3</v>
      </c>
      <c r="B3" s="92" t="s">
        <v>143</v>
      </c>
      <c r="C3" s="3"/>
      <c r="D3" s="4" t="s">
        <v>748</v>
      </c>
      <c r="E3" s="3"/>
      <c r="F3" s="103" t="s">
        <v>749</v>
      </c>
      <c r="G3" s="3"/>
      <c r="J3" s="63"/>
      <c r="K3" s="4" t="s">
        <v>61</v>
      </c>
      <c r="L3" s="3"/>
      <c r="M3" s="4" t="s">
        <v>750</v>
      </c>
      <c r="O3" s="13" t="s">
        <v>751</v>
      </c>
      <c r="Q3" s="104"/>
    </row>
    <row r="4" spans="1:17" ht="15" x14ac:dyDescent="0.25">
      <c r="A4" s="58" t="s">
        <v>889</v>
      </c>
      <c r="B4" s="92" t="s">
        <v>300</v>
      </c>
      <c r="C4" s="3"/>
      <c r="D4" s="4" t="s">
        <v>61</v>
      </c>
      <c r="E4" s="3"/>
      <c r="F4" s="103" t="s">
        <v>752</v>
      </c>
      <c r="G4" s="3"/>
      <c r="J4" s="3"/>
      <c r="K4" s="59" t="s">
        <v>49</v>
      </c>
      <c r="L4" s="3"/>
      <c r="M4" s="3"/>
      <c r="O4" s="13" t="s">
        <v>753</v>
      </c>
      <c r="Q4" s="104"/>
    </row>
    <row r="5" spans="1:17" ht="15" x14ac:dyDescent="0.25">
      <c r="A5" s="58" t="s">
        <v>890</v>
      </c>
      <c r="B5" s="92" t="s">
        <v>408</v>
      </c>
      <c r="C5" s="3"/>
      <c r="D5" s="59" t="s">
        <v>754</v>
      </c>
      <c r="E5" s="3"/>
      <c r="F5" s="3"/>
      <c r="G5" s="3"/>
      <c r="J5" s="3"/>
      <c r="K5" s="4"/>
      <c r="L5" s="3"/>
      <c r="M5" s="3"/>
      <c r="O5" s="13" t="s">
        <v>755</v>
      </c>
    </row>
    <row r="6" spans="1:17" ht="15" x14ac:dyDescent="0.25">
      <c r="A6" s="3"/>
      <c r="B6" s="92" t="s">
        <v>417</v>
      </c>
      <c r="C6" s="3"/>
      <c r="D6" s="4" t="s">
        <v>756</v>
      </c>
      <c r="E6" s="3"/>
      <c r="F6" s="3"/>
      <c r="G6" s="3"/>
      <c r="J6" s="3"/>
      <c r="K6" s="3"/>
      <c r="L6" s="3"/>
      <c r="M6" s="3"/>
      <c r="O6" s="14" t="s">
        <v>757</v>
      </c>
    </row>
    <row r="7" spans="1:17" ht="15" x14ac:dyDescent="0.25">
      <c r="A7" s="3"/>
      <c r="B7" s="92" t="s">
        <v>42</v>
      </c>
      <c r="C7" s="3"/>
      <c r="D7" s="4" t="s">
        <v>758</v>
      </c>
      <c r="E7" s="3"/>
      <c r="F7" s="3"/>
      <c r="G7" s="3"/>
      <c r="J7" s="3"/>
      <c r="K7" s="3"/>
      <c r="L7" s="3"/>
      <c r="M7" s="3"/>
      <c r="O7" s="13" t="s">
        <v>759</v>
      </c>
    </row>
    <row r="8" spans="1:17" ht="15" x14ac:dyDescent="0.25">
      <c r="A8" s="3"/>
      <c r="B8" s="92" t="s">
        <v>625</v>
      </c>
      <c r="C8" s="3"/>
      <c r="D8" s="4" t="s">
        <v>760</v>
      </c>
      <c r="E8" s="3"/>
      <c r="F8" s="3"/>
      <c r="G8" s="3"/>
      <c r="J8" s="3"/>
      <c r="K8" s="3"/>
      <c r="L8" s="3"/>
      <c r="M8" s="3"/>
      <c r="O8" s="13" t="s">
        <v>761</v>
      </c>
    </row>
    <row r="9" spans="1:17" ht="15" x14ac:dyDescent="0.25">
      <c r="A9" s="3"/>
      <c r="B9" s="158" t="s">
        <v>1664</v>
      </c>
      <c r="C9" s="3"/>
      <c r="D9" s="4" t="s">
        <v>762</v>
      </c>
      <c r="E9" s="3"/>
      <c r="F9" s="3"/>
      <c r="G9" s="3"/>
      <c r="J9" s="3"/>
      <c r="K9" s="3"/>
      <c r="L9" s="3"/>
      <c r="M9" s="3"/>
      <c r="O9" s="13" t="s">
        <v>763</v>
      </c>
    </row>
    <row r="10" spans="1:17" ht="15" x14ac:dyDescent="0.25">
      <c r="A10" s="3"/>
      <c r="B10" s="158" t="s">
        <v>1813</v>
      </c>
      <c r="C10" s="3"/>
      <c r="D10" s="4" t="s">
        <v>764</v>
      </c>
      <c r="E10" s="3"/>
      <c r="F10" s="3"/>
      <c r="G10" s="3"/>
      <c r="J10" s="3"/>
      <c r="K10" s="3"/>
      <c r="L10" s="3"/>
      <c r="M10" s="3"/>
      <c r="O10" s="14" t="s">
        <v>765</v>
      </c>
    </row>
    <row r="11" spans="1:17" ht="15" x14ac:dyDescent="0.25">
      <c r="A11" s="3"/>
      <c r="B11" s="93"/>
      <c r="C11" s="3"/>
      <c r="D11" s="59" t="s">
        <v>60</v>
      </c>
      <c r="E11" s="3"/>
      <c r="F11" s="3"/>
      <c r="G11" s="3"/>
      <c r="J11" s="3"/>
      <c r="K11" s="3"/>
      <c r="L11" s="3"/>
      <c r="M11" s="3"/>
      <c r="O11" s="14" t="s">
        <v>766</v>
      </c>
    </row>
    <row r="12" spans="1:17" x14ac:dyDescent="0.2">
      <c r="O12" s="12" t="s">
        <v>767</v>
      </c>
    </row>
    <row r="13" spans="1:17" x14ac:dyDescent="0.2">
      <c r="O13" s="12" t="s">
        <v>768</v>
      </c>
    </row>
    <row r="14" spans="1:17" x14ac:dyDescent="0.2">
      <c r="O14" s="12" t="s">
        <v>769</v>
      </c>
    </row>
    <row r="15" spans="1:17" x14ac:dyDescent="0.2">
      <c r="O15" s="12" t="s">
        <v>770</v>
      </c>
    </row>
    <row r="18" spans="2:7" ht="15" x14ac:dyDescent="0.25">
      <c r="B18" s="57" t="s">
        <v>64</v>
      </c>
    </row>
    <row r="19" spans="2:7" ht="15" x14ac:dyDescent="0.25">
      <c r="B19" s="57" t="s">
        <v>44</v>
      </c>
    </row>
    <row r="20" spans="2:7" ht="15" x14ac:dyDescent="0.25">
      <c r="B20" s="57" t="s">
        <v>143</v>
      </c>
    </row>
    <row r="21" spans="2:7" ht="15" x14ac:dyDescent="0.25">
      <c r="B21" s="57" t="s">
        <v>300</v>
      </c>
    </row>
    <row r="22" spans="2:7" ht="15" x14ac:dyDescent="0.25">
      <c r="B22" s="57" t="s">
        <v>408</v>
      </c>
    </row>
    <row r="23" spans="2:7" ht="15" x14ac:dyDescent="0.25">
      <c r="B23" s="57" t="s">
        <v>417</v>
      </c>
    </row>
    <row r="24" spans="2:7" ht="15" x14ac:dyDescent="0.25">
      <c r="B24" s="57" t="s">
        <v>42</v>
      </c>
    </row>
    <row r="27" spans="2:7" ht="27" customHeight="1" x14ac:dyDescent="0.2">
      <c r="B27" s="78" t="s">
        <v>771</v>
      </c>
      <c r="C27" s="78" t="s">
        <v>772</v>
      </c>
      <c r="D27" s="78" t="s">
        <v>773</v>
      </c>
      <c r="E27" s="78" t="s">
        <v>774</v>
      </c>
      <c r="F27" s="78" t="s">
        <v>775</v>
      </c>
      <c r="G27" s="78" t="s">
        <v>776</v>
      </c>
    </row>
    <row r="28" spans="2:7" ht="33.75" customHeight="1" x14ac:dyDescent="0.2">
      <c r="B28" s="105" t="str">
        <f>CONCATENATE(Summary_Regression!$D$2, "!$E$2:$E$2000")</f>
        <v>Regression!$E$2:$E$2000</v>
      </c>
      <c r="C28" s="105" t="str">
        <f>CONCATENATE(Summary_Regression!$D$2, "!$I$2:$I$2000")</f>
        <v>Regression!$I$2:$I$2000</v>
      </c>
      <c r="D28" s="105" t="str">
        <f>CONCATENATE(Summary_Regression!$D$2, "!$H$2:$H$2000")</f>
        <v>Regression!$H$2:$H$2000</v>
      </c>
      <c r="E28" s="105" t="str">
        <f>CONCATENATE(Summary_Regression!$D$2, "!$B$2:$B$2000")</f>
        <v>Regression!$B$2:$B$2000</v>
      </c>
      <c r="F28" s="105" t="str">
        <f>CONCATENATE(Summary_Regression!$D$2, "!$G$2:$G$2000")</f>
        <v>Regression!$G$2:$G$2000</v>
      </c>
      <c r="G28" s="105" t="str">
        <f>CONCATENATE(Summary_Regression!$D$2, "!$F$2:$F$2000")</f>
        <v>Regression!$F$2:$F$2000</v>
      </c>
    </row>
  </sheetData>
  <customSheetViews>
    <customSheetView guid="{2E048717-73A7-466B-81D2-C78CB5F95551}" showGridLines="0">
      <selection activeCell="M6" sqref="M6"/>
      <pageMargins left="0" right="0" top="0" bottom="0" header="0" footer="0"/>
    </customSheetView>
    <customSheetView guid="{E3A6F867-F833-403A-90A4-6CBBE5B0E802}" showGridLines="0">
      <selection activeCell="M6" sqref="M6"/>
      <pageMargins left="0" right="0" top="0" bottom="0" header="0" footer="0"/>
    </customSheetView>
  </customSheetViews>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Q2732"/>
  <sheetViews>
    <sheetView showGridLines="0" zoomScale="80" zoomScaleNormal="80" workbookViewId="0">
      <pane ySplit="1" topLeftCell="A765" activePane="bottomLeft" state="frozen"/>
      <selection pane="bottomLeft" activeCell="K779" sqref="K779"/>
    </sheetView>
  </sheetViews>
  <sheetFormatPr defaultColWidth="9.140625" defaultRowHeight="12.75" x14ac:dyDescent="0.2"/>
  <cols>
    <col min="1" max="1" width="15.140625" style="11" customWidth="1"/>
    <col min="2" max="3" width="19.28515625" style="11" customWidth="1"/>
    <col min="4" max="4" width="27.7109375" style="34" customWidth="1"/>
    <col min="5" max="5" width="21.28515625" style="11" customWidth="1"/>
    <col min="6" max="6" width="35.85546875" style="11" customWidth="1"/>
    <col min="7" max="7" width="37.7109375" style="6" customWidth="1"/>
    <col min="8" max="8" width="40" style="15" customWidth="1"/>
    <col min="9" max="9" width="25.140625" style="35" customWidth="1"/>
    <col min="10" max="10" width="35.140625" style="6" customWidth="1"/>
    <col min="11" max="11" width="35.85546875" style="11" customWidth="1"/>
    <col min="12" max="12" width="41.5703125" style="11" customWidth="1"/>
    <col min="13" max="13" width="45.42578125" style="11" customWidth="1"/>
    <col min="14" max="14" width="33.140625" style="11" customWidth="1"/>
    <col min="15" max="15" width="55" style="34" customWidth="1"/>
    <col min="16" max="17" width="16" style="6" hidden="1" customWidth="1"/>
    <col min="18" max="16384" width="9.140625" style="6"/>
  </cols>
  <sheetData>
    <row r="1" spans="1:17" s="15" customFormat="1" ht="35.25" customHeight="1" thickTop="1" thickBot="1" x14ac:dyDescent="0.25">
      <c r="A1" s="7" t="s">
        <v>33</v>
      </c>
      <c r="B1" s="7" t="s">
        <v>777</v>
      </c>
      <c r="C1" s="7" t="s">
        <v>778</v>
      </c>
      <c r="D1" s="7" t="s">
        <v>21</v>
      </c>
      <c r="E1" s="7" t="s">
        <v>36</v>
      </c>
      <c r="F1" s="7" t="s">
        <v>35</v>
      </c>
      <c r="G1" s="7" t="s">
        <v>779</v>
      </c>
      <c r="H1" s="7" t="s">
        <v>780</v>
      </c>
      <c r="I1" s="7" t="s">
        <v>40</v>
      </c>
      <c r="J1" s="7" t="s">
        <v>37</v>
      </c>
      <c r="K1" s="7" t="s">
        <v>781</v>
      </c>
      <c r="L1" s="7" t="s">
        <v>782</v>
      </c>
      <c r="M1" s="7" t="s">
        <v>783</v>
      </c>
      <c r="N1" s="7" t="s">
        <v>784</v>
      </c>
      <c r="O1" s="7" t="s">
        <v>42</v>
      </c>
      <c r="P1" s="7" t="s">
        <v>785</v>
      </c>
      <c r="Q1" s="7" t="s">
        <v>786</v>
      </c>
    </row>
    <row r="2" spans="1:17" ht="22.5" customHeight="1" thickTop="1" thickBot="1" x14ac:dyDescent="0.25">
      <c r="A2" s="16" t="e">
        <f>#REF!</f>
        <v>#REF!</v>
      </c>
      <c r="B2" s="16" t="e">
        <f>#REF!</f>
        <v>#REF!</v>
      </c>
      <c r="C2" s="16" t="e">
        <f>#REF!</f>
        <v>#REF!</v>
      </c>
      <c r="D2" s="16" t="e">
        <f>#REF!</f>
        <v>#REF!</v>
      </c>
      <c r="E2" s="16" t="e">
        <f>#REF!</f>
        <v>#REF!</v>
      </c>
      <c r="F2" s="16" t="e">
        <f>#REF!</f>
        <v>#REF!</v>
      </c>
      <c r="G2" s="16" t="e">
        <f>#REF!</f>
        <v>#REF!</v>
      </c>
      <c r="H2" s="16" t="e">
        <f>#REF!</f>
        <v>#REF!</v>
      </c>
      <c r="I2" s="16" t="e">
        <f>#REF!</f>
        <v>#REF!</v>
      </c>
      <c r="J2" s="16" t="e">
        <f>#REF!</f>
        <v>#REF!</v>
      </c>
      <c r="K2" s="16" t="s">
        <v>744</v>
      </c>
      <c r="L2" s="16"/>
      <c r="M2" s="16"/>
      <c r="N2" s="16"/>
      <c r="O2" s="16"/>
      <c r="P2" s="17"/>
      <c r="Q2" s="17"/>
    </row>
    <row r="3" spans="1:17" ht="22.5" customHeight="1" thickTop="1" thickBot="1" x14ac:dyDescent="0.25">
      <c r="A3" s="16" t="e">
        <f>#REF!</f>
        <v>#REF!</v>
      </c>
      <c r="B3" s="16" t="e">
        <f>#REF!</f>
        <v>#REF!</v>
      </c>
      <c r="C3" s="16" t="e">
        <f>#REF!</f>
        <v>#REF!</v>
      </c>
      <c r="D3" s="16" t="e">
        <f>#REF!</f>
        <v>#REF!</v>
      </c>
      <c r="E3" s="16" t="e">
        <f>#REF!</f>
        <v>#REF!</v>
      </c>
      <c r="F3" s="16" t="e">
        <f>#REF!</f>
        <v>#REF!</v>
      </c>
      <c r="G3" s="16" t="e">
        <f>#REF!</f>
        <v>#REF!</v>
      </c>
      <c r="H3" s="16" t="e">
        <f>#REF!</f>
        <v>#REF!</v>
      </c>
      <c r="I3" s="16" t="e">
        <f>#REF!</f>
        <v>#REF!</v>
      </c>
      <c r="J3" s="16" t="e">
        <f>#REF!</f>
        <v>#REF!</v>
      </c>
      <c r="K3" s="16" t="s">
        <v>744</v>
      </c>
      <c r="L3" s="16"/>
      <c r="M3" s="16"/>
      <c r="N3" s="16"/>
      <c r="O3" s="16"/>
      <c r="P3" s="19"/>
      <c r="Q3" s="19"/>
    </row>
    <row r="4" spans="1:17" ht="22.5" customHeight="1" thickTop="1" thickBot="1" x14ac:dyDescent="0.25">
      <c r="A4" s="16" t="e">
        <f>#REF!</f>
        <v>#REF!</v>
      </c>
      <c r="B4" s="16" t="e">
        <f>#REF!</f>
        <v>#REF!</v>
      </c>
      <c r="C4" s="16" t="e">
        <f>#REF!</f>
        <v>#REF!</v>
      </c>
      <c r="D4" s="16" t="e">
        <f>#REF!</f>
        <v>#REF!</v>
      </c>
      <c r="E4" s="16" t="e">
        <f>#REF!</f>
        <v>#REF!</v>
      </c>
      <c r="F4" s="16" t="e">
        <f>#REF!</f>
        <v>#REF!</v>
      </c>
      <c r="G4" s="16" t="e">
        <f>#REF!</f>
        <v>#REF!</v>
      </c>
      <c r="H4" s="16" t="e">
        <f>#REF!</f>
        <v>#REF!</v>
      </c>
      <c r="I4" s="16" t="e">
        <f>#REF!</f>
        <v>#REF!</v>
      </c>
      <c r="J4" s="16" t="e">
        <f>#REF!</f>
        <v>#REF!</v>
      </c>
      <c r="K4" s="16" t="s">
        <v>744</v>
      </c>
      <c r="L4" s="16"/>
      <c r="M4" s="16"/>
      <c r="N4" s="16"/>
      <c r="O4" s="16"/>
      <c r="P4" s="17"/>
      <c r="Q4" s="17"/>
    </row>
    <row r="5" spans="1:17" ht="22.5" customHeight="1" thickTop="1" thickBot="1" x14ac:dyDescent="0.25">
      <c r="A5" s="16" t="e">
        <f>#REF!</f>
        <v>#REF!</v>
      </c>
      <c r="B5" s="16" t="e">
        <f>#REF!</f>
        <v>#REF!</v>
      </c>
      <c r="C5" s="16" t="e">
        <f>#REF!</f>
        <v>#REF!</v>
      </c>
      <c r="D5" s="16" t="e">
        <f>#REF!</f>
        <v>#REF!</v>
      </c>
      <c r="E5" s="16" t="e">
        <f>#REF!</f>
        <v>#REF!</v>
      </c>
      <c r="F5" s="16" t="e">
        <f>#REF!</f>
        <v>#REF!</v>
      </c>
      <c r="G5" s="16" t="e">
        <f>#REF!</f>
        <v>#REF!</v>
      </c>
      <c r="H5" s="16" t="e">
        <f>#REF!</f>
        <v>#REF!</v>
      </c>
      <c r="I5" s="16" t="e">
        <f>#REF!</f>
        <v>#REF!</v>
      </c>
      <c r="J5" s="16" t="e">
        <f>#REF!</f>
        <v>#REF!</v>
      </c>
      <c r="K5" s="16"/>
      <c r="L5" s="16"/>
      <c r="M5" s="16"/>
      <c r="N5" s="16"/>
      <c r="O5" s="16"/>
      <c r="P5" s="17"/>
      <c r="Q5" s="17"/>
    </row>
    <row r="6" spans="1:17" ht="22.5" customHeight="1" thickTop="1" thickBot="1" x14ac:dyDescent="0.25">
      <c r="A6" s="16" t="e">
        <f>#REF!</f>
        <v>#REF!</v>
      </c>
      <c r="B6" s="16" t="e">
        <f>#REF!</f>
        <v>#REF!</v>
      </c>
      <c r="C6" s="16" t="e">
        <f>#REF!</f>
        <v>#REF!</v>
      </c>
      <c r="D6" s="16" t="e">
        <f>#REF!</f>
        <v>#REF!</v>
      </c>
      <c r="E6" s="16" t="e">
        <f>#REF!</f>
        <v>#REF!</v>
      </c>
      <c r="F6" s="16" t="e">
        <f>#REF!</f>
        <v>#REF!</v>
      </c>
      <c r="G6" s="16" t="e">
        <f>#REF!</f>
        <v>#REF!</v>
      </c>
      <c r="H6" s="16" t="e">
        <f>#REF!</f>
        <v>#REF!</v>
      </c>
      <c r="I6" s="16" t="e">
        <f>#REF!</f>
        <v>#REF!</v>
      </c>
      <c r="J6" s="16" t="e">
        <f>#REF!</f>
        <v>#REF!</v>
      </c>
      <c r="K6" s="16"/>
      <c r="L6" s="16"/>
      <c r="M6" s="16"/>
      <c r="N6" s="16"/>
      <c r="O6" s="16"/>
      <c r="P6" s="17"/>
      <c r="Q6" s="17"/>
    </row>
    <row r="7" spans="1:17" ht="22.5" customHeight="1" thickTop="1" thickBot="1" x14ac:dyDescent="0.25">
      <c r="A7" s="16" t="e">
        <f>#REF!</f>
        <v>#REF!</v>
      </c>
      <c r="B7" s="16" t="e">
        <f>#REF!</f>
        <v>#REF!</v>
      </c>
      <c r="C7" s="16" t="e">
        <f>#REF!</f>
        <v>#REF!</v>
      </c>
      <c r="D7" s="16" t="e">
        <f>#REF!</f>
        <v>#REF!</v>
      </c>
      <c r="E7" s="16" t="e">
        <f>#REF!</f>
        <v>#REF!</v>
      </c>
      <c r="F7" s="16" t="e">
        <f>#REF!</f>
        <v>#REF!</v>
      </c>
      <c r="G7" s="16" t="e">
        <f>#REF!</f>
        <v>#REF!</v>
      </c>
      <c r="H7" s="16" t="e">
        <f>#REF!</f>
        <v>#REF!</v>
      </c>
      <c r="I7" s="16" t="e">
        <f>#REF!</f>
        <v>#REF!</v>
      </c>
      <c r="J7" s="16" t="e">
        <f>#REF!</f>
        <v>#REF!</v>
      </c>
      <c r="K7" s="16" t="s">
        <v>744</v>
      </c>
      <c r="L7" s="16"/>
      <c r="M7" s="16"/>
      <c r="N7" s="16"/>
      <c r="O7" s="16"/>
      <c r="P7" s="17"/>
      <c r="Q7" s="17"/>
    </row>
    <row r="8" spans="1:17" ht="22.5" customHeight="1" thickTop="1" thickBot="1" x14ac:dyDescent="0.25">
      <c r="A8" s="16" t="e">
        <f>#REF!</f>
        <v>#REF!</v>
      </c>
      <c r="B8" s="16" t="e">
        <f>#REF!</f>
        <v>#REF!</v>
      </c>
      <c r="C8" s="16" t="e">
        <f>#REF!</f>
        <v>#REF!</v>
      </c>
      <c r="D8" s="16" t="e">
        <f>#REF!</f>
        <v>#REF!</v>
      </c>
      <c r="E8" s="16" t="e">
        <f>#REF!</f>
        <v>#REF!</v>
      </c>
      <c r="F8" s="16" t="e">
        <f>#REF!</f>
        <v>#REF!</v>
      </c>
      <c r="G8" s="16" t="e">
        <f>#REF!</f>
        <v>#REF!</v>
      </c>
      <c r="H8" s="16" t="e">
        <f>#REF!</f>
        <v>#REF!</v>
      </c>
      <c r="I8" s="16" t="e">
        <f>#REF!</f>
        <v>#REF!</v>
      </c>
      <c r="J8" s="16" t="e">
        <f>#REF!</f>
        <v>#REF!</v>
      </c>
      <c r="K8" s="16" t="s">
        <v>744</v>
      </c>
      <c r="L8" s="16"/>
      <c r="M8" s="16"/>
      <c r="N8" s="16"/>
      <c r="O8" s="16"/>
      <c r="P8" s="17"/>
      <c r="Q8" s="17"/>
    </row>
    <row r="9" spans="1:17" ht="22.5" customHeight="1" thickTop="1" thickBot="1" x14ac:dyDescent="0.25">
      <c r="A9" s="16" t="e">
        <f>#REF!</f>
        <v>#REF!</v>
      </c>
      <c r="B9" s="16" t="e">
        <f>#REF!</f>
        <v>#REF!</v>
      </c>
      <c r="C9" s="16" t="e">
        <f>#REF!</f>
        <v>#REF!</v>
      </c>
      <c r="D9" s="16" t="e">
        <f>#REF!</f>
        <v>#REF!</v>
      </c>
      <c r="E9" s="16" t="e">
        <f>#REF!</f>
        <v>#REF!</v>
      </c>
      <c r="F9" s="16" t="e">
        <f>#REF!</f>
        <v>#REF!</v>
      </c>
      <c r="G9" s="16" t="e">
        <f>#REF!</f>
        <v>#REF!</v>
      </c>
      <c r="H9" s="16" t="e">
        <f>#REF!</f>
        <v>#REF!</v>
      </c>
      <c r="I9" s="16" t="e">
        <f>#REF!</f>
        <v>#REF!</v>
      </c>
      <c r="J9" s="16" t="e">
        <f>#REF!</f>
        <v>#REF!</v>
      </c>
      <c r="K9" s="16" t="s">
        <v>752</v>
      </c>
      <c r="L9" s="16"/>
      <c r="M9" s="16"/>
      <c r="N9" s="16"/>
      <c r="O9" s="16"/>
      <c r="P9" s="17"/>
      <c r="Q9" s="17"/>
    </row>
    <row r="10" spans="1:17" ht="22.5" customHeight="1" thickTop="1" thickBot="1" x14ac:dyDescent="0.25">
      <c r="A10" s="16" t="e">
        <f>#REF!</f>
        <v>#REF!</v>
      </c>
      <c r="B10" s="16" t="e">
        <f>#REF!</f>
        <v>#REF!</v>
      </c>
      <c r="C10" s="16" t="e">
        <f>#REF!</f>
        <v>#REF!</v>
      </c>
      <c r="D10" s="16" t="e">
        <f>#REF!</f>
        <v>#REF!</v>
      </c>
      <c r="E10" s="16" t="e">
        <f>#REF!</f>
        <v>#REF!</v>
      </c>
      <c r="F10" s="16" t="e">
        <f>#REF!</f>
        <v>#REF!</v>
      </c>
      <c r="G10" s="16" t="e">
        <f>#REF!</f>
        <v>#REF!</v>
      </c>
      <c r="H10" s="16" t="e">
        <f>#REF!</f>
        <v>#REF!</v>
      </c>
      <c r="I10" s="16" t="e">
        <f>#REF!</f>
        <v>#REF!</v>
      </c>
      <c r="J10" s="16" t="e">
        <f>#REF!</f>
        <v>#REF!</v>
      </c>
      <c r="K10" s="16" t="s">
        <v>739</v>
      </c>
      <c r="L10" s="16" t="s">
        <v>741</v>
      </c>
      <c r="M10" s="16" t="s">
        <v>787</v>
      </c>
      <c r="N10" s="16" t="s">
        <v>48</v>
      </c>
      <c r="O10" s="16" t="s">
        <v>788</v>
      </c>
      <c r="P10" s="17"/>
      <c r="Q10" s="17"/>
    </row>
    <row r="11" spans="1:17" ht="22.5" customHeight="1" thickTop="1" thickBot="1" x14ac:dyDescent="0.25">
      <c r="A11" s="16" t="e">
        <f>#REF!</f>
        <v>#REF!</v>
      </c>
      <c r="B11" s="16" t="e">
        <f>#REF!</f>
        <v>#REF!</v>
      </c>
      <c r="C11" s="16" t="e">
        <f>#REF!</f>
        <v>#REF!</v>
      </c>
      <c r="D11" s="16" t="e">
        <f>#REF!</f>
        <v>#REF!</v>
      </c>
      <c r="E11" s="16" t="e">
        <f>#REF!</f>
        <v>#REF!</v>
      </c>
      <c r="F11" s="16" t="e">
        <f>#REF!</f>
        <v>#REF!</v>
      </c>
      <c r="G11" s="16" t="e">
        <f>#REF!</f>
        <v>#REF!</v>
      </c>
      <c r="H11" s="16" t="e">
        <f>#REF!</f>
        <v>#REF!</v>
      </c>
      <c r="I11" s="16" t="e">
        <f>#REF!</f>
        <v>#REF!</v>
      </c>
      <c r="J11" s="16" t="e">
        <f>#REF!</f>
        <v>#REF!</v>
      </c>
      <c r="K11" s="16"/>
      <c r="L11" s="16"/>
      <c r="M11" s="16"/>
      <c r="N11" s="16"/>
      <c r="O11" s="16"/>
      <c r="P11" s="17"/>
      <c r="Q11" s="17"/>
    </row>
    <row r="12" spans="1:17" ht="22.5" customHeight="1" thickTop="1" thickBot="1" x14ac:dyDescent="0.25">
      <c r="A12" s="16" t="e">
        <f>#REF!</f>
        <v>#REF!</v>
      </c>
      <c r="B12" s="16" t="e">
        <f>#REF!</f>
        <v>#REF!</v>
      </c>
      <c r="C12" s="16" t="e">
        <f>#REF!</f>
        <v>#REF!</v>
      </c>
      <c r="D12" s="16" t="e">
        <f>#REF!</f>
        <v>#REF!</v>
      </c>
      <c r="E12" s="16" t="e">
        <f>#REF!</f>
        <v>#REF!</v>
      </c>
      <c r="F12" s="16" t="e">
        <f>#REF!</f>
        <v>#REF!</v>
      </c>
      <c r="G12" s="16" t="e">
        <f>#REF!</f>
        <v>#REF!</v>
      </c>
      <c r="H12" s="16" t="e">
        <f>#REF!</f>
        <v>#REF!</v>
      </c>
      <c r="I12" s="16" t="e">
        <f>#REF!</f>
        <v>#REF!</v>
      </c>
      <c r="J12" s="16" t="e">
        <f>#REF!</f>
        <v>#REF!</v>
      </c>
      <c r="K12" s="16" t="s">
        <v>744</v>
      </c>
      <c r="L12" s="16"/>
      <c r="M12" s="16"/>
      <c r="N12" s="16"/>
      <c r="O12" s="16"/>
      <c r="P12" s="17"/>
      <c r="Q12" s="17"/>
    </row>
    <row r="13" spans="1:17" ht="22.5" customHeight="1" thickTop="1" thickBot="1" x14ac:dyDescent="0.25">
      <c r="A13" s="16" t="e">
        <f>#REF!</f>
        <v>#REF!</v>
      </c>
      <c r="B13" s="16" t="e">
        <f>#REF!</f>
        <v>#REF!</v>
      </c>
      <c r="C13" s="16" t="e">
        <f>#REF!</f>
        <v>#REF!</v>
      </c>
      <c r="D13" s="16" t="e">
        <f>#REF!</f>
        <v>#REF!</v>
      </c>
      <c r="E13" s="16" t="e">
        <f>#REF!</f>
        <v>#REF!</v>
      </c>
      <c r="F13" s="16" t="e">
        <f>#REF!</f>
        <v>#REF!</v>
      </c>
      <c r="G13" s="16" t="e">
        <f>#REF!</f>
        <v>#REF!</v>
      </c>
      <c r="H13" s="16" t="e">
        <f>#REF!</f>
        <v>#REF!</v>
      </c>
      <c r="I13" s="16" t="e">
        <f>#REF!</f>
        <v>#REF!</v>
      </c>
      <c r="J13" s="16" t="e">
        <f>#REF!</f>
        <v>#REF!</v>
      </c>
      <c r="K13" s="16" t="s">
        <v>744</v>
      </c>
      <c r="L13" s="16"/>
      <c r="M13" s="16"/>
      <c r="N13" s="16"/>
      <c r="O13" s="16"/>
      <c r="P13" s="17"/>
      <c r="Q13" s="17"/>
    </row>
    <row r="14" spans="1:17" ht="22.5" customHeight="1" thickTop="1" thickBot="1" x14ac:dyDescent="0.25">
      <c r="A14" s="16" t="e">
        <f>#REF!</f>
        <v>#REF!</v>
      </c>
      <c r="B14" s="16" t="e">
        <f>#REF!</f>
        <v>#REF!</v>
      </c>
      <c r="C14" s="16" t="e">
        <f>#REF!</f>
        <v>#REF!</v>
      </c>
      <c r="D14" s="16" t="e">
        <f>#REF!</f>
        <v>#REF!</v>
      </c>
      <c r="E14" s="16" t="e">
        <f>#REF!</f>
        <v>#REF!</v>
      </c>
      <c r="F14" s="16" t="e">
        <f>#REF!</f>
        <v>#REF!</v>
      </c>
      <c r="G14" s="16" t="e">
        <f>#REF!</f>
        <v>#REF!</v>
      </c>
      <c r="H14" s="16" t="e">
        <f>#REF!</f>
        <v>#REF!</v>
      </c>
      <c r="I14" s="16" t="e">
        <f>#REF!</f>
        <v>#REF!</v>
      </c>
      <c r="J14" s="16" t="e">
        <f>#REF!</f>
        <v>#REF!</v>
      </c>
      <c r="K14" s="16" t="s">
        <v>744</v>
      </c>
      <c r="L14" s="16"/>
      <c r="M14" s="16"/>
      <c r="N14" s="16"/>
      <c r="O14" s="16"/>
      <c r="P14" s="17"/>
      <c r="Q14" s="17"/>
    </row>
    <row r="15" spans="1:17" ht="22.5" customHeight="1" thickTop="1" thickBot="1" x14ac:dyDescent="0.25">
      <c r="A15" s="16" t="e">
        <f>#REF!</f>
        <v>#REF!</v>
      </c>
      <c r="B15" s="16" t="e">
        <f>#REF!</f>
        <v>#REF!</v>
      </c>
      <c r="C15" s="16" t="e">
        <f>#REF!</f>
        <v>#REF!</v>
      </c>
      <c r="D15" s="16" t="e">
        <f>#REF!</f>
        <v>#REF!</v>
      </c>
      <c r="E15" s="16" t="e">
        <f>#REF!</f>
        <v>#REF!</v>
      </c>
      <c r="F15" s="16" t="e">
        <f>#REF!</f>
        <v>#REF!</v>
      </c>
      <c r="G15" s="16" t="e">
        <f>#REF!</f>
        <v>#REF!</v>
      </c>
      <c r="H15" s="16" t="e">
        <f>#REF!</f>
        <v>#REF!</v>
      </c>
      <c r="I15" s="16" t="e">
        <f>#REF!</f>
        <v>#REF!</v>
      </c>
      <c r="J15" s="16" t="e">
        <f>#REF!</f>
        <v>#REF!</v>
      </c>
      <c r="K15" s="16"/>
      <c r="L15" s="16"/>
      <c r="M15" s="16"/>
      <c r="N15" s="16"/>
      <c r="O15" s="16"/>
      <c r="P15" s="17"/>
      <c r="Q15" s="17"/>
    </row>
    <row r="16" spans="1:17" ht="22.5" customHeight="1" thickTop="1" thickBot="1" x14ac:dyDescent="0.25">
      <c r="A16" s="16" t="e">
        <f>#REF!</f>
        <v>#REF!</v>
      </c>
      <c r="B16" s="16" t="e">
        <f>#REF!</f>
        <v>#REF!</v>
      </c>
      <c r="C16" s="16" t="e">
        <f>#REF!</f>
        <v>#REF!</v>
      </c>
      <c r="D16" s="16" t="e">
        <f>#REF!</f>
        <v>#REF!</v>
      </c>
      <c r="E16" s="16" t="e">
        <f>#REF!</f>
        <v>#REF!</v>
      </c>
      <c r="F16" s="16" t="e">
        <f>#REF!</f>
        <v>#REF!</v>
      </c>
      <c r="G16" s="16" t="e">
        <f>#REF!</f>
        <v>#REF!</v>
      </c>
      <c r="H16" s="16" t="e">
        <f>#REF!</f>
        <v>#REF!</v>
      </c>
      <c r="I16" s="16" t="e">
        <f>#REF!</f>
        <v>#REF!</v>
      </c>
      <c r="J16" s="16" t="e">
        <f>#REF!</f>
        <v>#REF!</v>
      </c>
      <c r="K16" s="16"/>
      <c r="L16" s="16"/>
      <c r="M16" s="16"/>
      <c r="N16" s="16"/>
      <c r="O16" s="16"/>
      <c r="P16" s="19"/>
      <c r="Q16" s="19"/>
    </row>
    <row r="17" spans="1:17" ht="22.5" customHeight="1" thickTop="1" thickBot="1" x14ac:dyDescent="0.25">
      <c r="A17" s="16" t="e">
        <f>#REF!</f>
        <v>#REF!</v>
      </c>
      <c r="B17" s="16" t="e">
        <f>#REF!</f>
        <v>#REF!</v>
      </c>
      <c r="C17" s="16" t="e">
        <f>#REF!</f>
        <v>#REF!</v>
      </c>
      <c r="D17" s="16" t="e">
        <f>#REF!</f>
        <v>#REF!</v>
      </c>
      <c r="E17" s="16" t="e">
        <f>#REF!</f>
        <v>#REF!</v>
      </c>
      <c r="F17" s="16" t="e">
        <f>#REF!</f>
        <v>#REF!</v>
      </c>
      <c r="G17" s="16" t="e">
        <f>#REF!</f>
        <v>#REF!</v>
      </c>
      <c r="H17" s="16" t="e">
        <f>#REF!</f>
        <v>#REF!</v>
      </c>
      <c r="I17" s="16" t="e">
        <f>#REF!</f>
        <v>#REF!</v>
      </c>
      <c r="J17" s="16" t="e">
        <f>#REF!</f>
        <v>#REF!</v>
      </c>
      <c r="K17" s="16"/>
      <c r="L17" s="16"/>
      <c r="M17" s="16"/>
      <c r="N17" s="16"/>
      <c r="O17" s="16"/>
      <c r="P17" s="17"/>
      <c r="Q17" s="17"/>
    </row>
    <row r="18" spans="1:17" ht="22.5" customHeight="1" thickTop="1" thickBot="1" x14ac:dyDescent="0.25">
      <c r="A18" s="16" t="e">
        <f>#REF!</f>
        <v>#REF!</v>
      </c>
      <c r="B18" s="16" t="e">
        <f>#REF!</f>
        <v>#REF!</v>
      </c>
      <c r="C18" s="16" t="e">
        <f>#REF!</f>
        <v>#REF!</v>
      </c>
      <c r="D18" s="16" t="e">
        <f>#REF!</f>
        <v>#REF!</v>
      </c>
      <c r="E18" s="16" t="e">
        <f>#REF!</f>
        <v>#REF!</v>
      </c>
      <c r="F18" s="16" t="e">
        <f>#REF!</f>
        <v>#REF!</v>
      </c>
      <c r="G18" s="16" t="e">
        <f>#REF!</f>
        <v>#REF!</v>
      </c>
      <c r="H18" s="16" t="e">
        <f>#REF!</f>
        <v>#REF!</v>
      </c>
      <c r="I18" s="16" t="e">
        <f>#REF!</f>
        <v>#REF!</v>
      </c>
      <c r="J18" s="16" t="e">
        <f>#REF!</f>
        <v>#REF!</v>
      </c>
      <c r="K18" s="16"/>
      <c r="L18" s="16"/>
      <c r="M18" s="16"/>
      <c r="N18" s="16"/>
      <c r="O18" s="16"/>
      <c r="P18" s="17"/>
      <c r="Q18" s="17"/>
    </row>
    <row r="19" spans="1:17" ht="22.5" customHeight="1" thickTop="1" thickBot="1" x14ac:dyDescent="0.25">
      <c r="A19" s="16" t="e">
        <f>#REF!</f>
        <v>#REF!</v>
      </c>
      <c r="B19" s="16" t="e">
        <f>#REF!</f>
        <v>#REF!</v>
      </c>
      <c r="C19" s="16" t="e">
        <f>#REF!</f>
        <v>#REF!</v>
      </c>
      <c r="D19" s="16" t="e">
        <f>#REF!</f>
        <v>#REF!</v>
      </c>
      <c r="E19" s="16" t="e">
        <f>#REF!</f>
        <v>#REF!</v>
      </c>
      <c r="F19" s="16" t="e">
        <f>#REF!</f>
        <v>#REF!</v>
      </c>
      <c r="G19" s="16" t="e">
        <f>#REF!</f>
        <v>#REF!</v>
      </c>
      <c r="H19" s="16" t="e">
        <f>#REF!</f>
        <v>#REF!</v>
      </c>
      <c r="I19" s="16" t="e">
        <f>#REF!</f>
        <v>#REF!</v>
      </c>
      <c r="J19" s="16" t="e">
        <f>#REF!</f>
        <v>#REF!</v>
      </c>
      <c r="K19" s="16"/>
      <c r="L19" s="16"/>
      <c r="M19" s="16"/>
      <c r="N19" s="16"/>
      <c r="O19" s="16"/>
      <c r="P19" s="17"/>
      <c r="Q19" s="17"/>
    </row>
    <row r="20" spans="1:17" ht="22.5" customHeight="1" thickTop="1" thickBot="1" x14ac:dyDescent="0.25">
      <c r="A20" s="16" t="e">
        <f>#REF!</f>
        <v>#REF!</v>
      </c>
      <c r="B20" s="16" t="e">
        <f>#REF!</f>
        <v>#REF!</v>
      </c>
      <c r="C20" s="16" t="e">
        <f>#REF!</f>
        <v>#REF!</v>
      </c>
      <c r="D20" s="16" t="e">
        <f>#REF!</f>
        <v>#REF!</v>
      </c>
      <c r="E20" s="16" t="e">
        <f>#REF!</f>
        <v>#REF!</v>
      </c>
      <c r="F20" s="16" t="e">
        <f>#REF!</f>
        <v>#REF!</v>
      </c>
      <c r="G20" s="16" t="e">
        <f>#REF!</f>
        <v>#REF!</v>
      </c>
      <c r="H20" s="16" t="e">
        <f>#REF!</f>
        <v>#REF!</v>
      </c>
      <c r="I20" s="16" t="e">
        <f>#REF!</f>
        <v>#REF!</v>
      </c>
      <c r="J20" s="16" t="e">
        <f>#REF!</f>
        <v>#REF!</v>
      </c>
      <c r="K20" s="16"/>
      <c r="L20" s="16"/>
      <c r="M20" s="16"/>
      <c r="N20" s="16"/>
      <c r="O20" s="16"/>
      <c r="P20" s="17"/>
      <c r="Q20" s="17"/>
    </row>
    <row r="21" spans="1:17" ht="22.5" customHeight="1" thickTop="1" thickBot="1" x14ac:dyDescent="0.25">
      <c r="A21" s="16" t="e">
        <f>#REF!</f>
        <v>#REF!</v>
      </c>
      <c r="B21" s="16" t="e">
        <f>#REF!</f>
        <v>#REF!</v>
      </c>
      <c r="C21" s="16" t="e">
        <f>#REF!</f>
        <v>#REF!</v>
      </c>
      <c r="D21" s="16" t="e">
        <f>#REF!</f>
        <v>#REF!</v>
      </c>
      <c r="E21" s="16" t="e">
        <f>#REF!</f>
        <v>#REF!</v>
      </c>
      <c r="F21" s="16" t="e">
        <f>#REF!</f>
        <v>#REF!</v>
      </c>
      <c r="G21" s="16" t="e">
        <f>#REF!</f>
        <v>#REF!</v>
      </c>
      <c r="H21" s="16" t="e">
        <f>#REF!</f>
        <v>#REF!</v>
      </c>
      <c r="I21" s="16" t="e">
        <f>#REF!</f>
        <v>#REF!</v>
      </c>
      <c r="J21" s="16" t="e">
        <f>#REF!</f>
        <v>#REF!</v>
      </c>
      <c r="K21" s="16"/>
      <c r="L21" s="16"/>
      <c r="M21" s="16"/>
      <c r="N21" s="16"/>
      <c r="O21" s="16"/>
      <c r="P21" s="19"/>
      <c r="Q21" s="19"/>
    </row>
    <row r="22" spans="1:17" ht="22.5" customHeight="1" thickTop="1" thickBot="1" x14ac:dyDescent="0.25">
      <c r="A22" s="16" t="e">
        <f>#REF!</f>
        <v>#REF!</v>
      </c>
      <c r="B22" s="16" t="e">
        <f>#REF!</f>
        <v>#REF!</v>
      </c>
      <c r="C22" s="16" t="e">
        <f>#REF!</f>
        <v>#REF!</v>
      </c>
      <c r="D22" s="16" t="e">
        <f>#REF!</f>
        <v>#REF!</v>
      </c>
      <c r="E22" s="16" t="e">
        <f>#REF!</f>
        <v>#REF!</v>
      </c>
      <c r="F22" s="16" t="e">
        <f>#REF!</f>
        <v>#REF!</v>
      </c>
      <c r="G22" s="16" t="e">
        <f>#REF!</f>
        <v>#REF!</v>
      </c>
      <c r="H22" s="16" t="e">
        <f>#REF!</f>
        <v>#REF!</v>
      </c>
      <c r="I22" s="16" t="e">
        <f>#REF!</f>
        <v>#REF!</v>
      </c>
      <c r="J22" s="16" t="e">
        <f>#REF!</f>
        <v>#REF!</v>
      </c>
      <c r="K22" s="16"/>
      <c r="L22" s="16"/>
      <c r="M22" s="16"/>
      <c r="N22" s="16"/>
      <c r="O22" s="16"/>
      <c r="P22" s="17"/>
      <c r="Q22" s="17"/>
    </row>
    <row r="23" spans="1:17" ht="22.5" customHeight="1" thickTop="1" thickBot="1" x14ac:dyDescent="0.25">
      <c r="A23" s="16" t="e">
        <f>#REF!</f>
        <v>#REF!</v>
      </c>
      <c r="B23" s="16" t="e">
        <f>#REF!</f>
        <v>#REF!</v>
      </c>
      <c r="C23" s="16" t="e">
        <f>#REF!</f>
        <v>#REF!</v>
      </c>
      <c r="D23" s="16" t="e">
        <f>#REF!</f>
        <v>#REF!</v>
      </c>
      <c r="E23" s="16" t="e">
        <f>#REF!</f>
        <v>#REF!</v>
      </c>
      <c r="F23" s="16" t="e">
        <f>#REF!</f>
        <v>#REF!</v>
      </c>
      <c r="G23" s="16" t="e">
        <f>#REF!</f>
        <v>#REF!</v>
      </c>
      <c r="H23" s="16" t="e">
        <f>#REF!</f>
        <v>#REF!</v>
      </c>
      <c r="I23" s="16" t="e">
        <f>#REF!</f>
        <v>#REF!</v>
      </c>
      <c r="J23" s="16" t="e">
        <f>#REF!</f>
        <v>#REF!</v>
      </c>
      <c r="K23" s="16"/>
      <c r="L23" s="16"/>
      <c r="M23" s="16"/>
      <c r="N23" s="16"/>
      <c r="O23" s="16"/>
      <c r="P23" s="17"/>
      <c r="Q23" s="17"/>
    </row>
    <row r="24" spans="1:17" ht="22.5" customHeight="1" thickTop="1" thickBot="1" x14ac:dyDescent="0.25">
      <c r="A24" s="16" t="e">
        <f>#REF!</f>
        <v>#REF!</v>
      </c>
      <c r="B24" s="16" t="e">
        <f>#REF!</f>
        <v>#REF!</v>
      </c>
      <c r="C24" s="16" t="e">
        <f>#REF!</f>
        <v>#REF!</v>
      </c>
      <c r="D24" s="16" t="e">
        <f>#REF!</f>
        <v>#REF!</v>
      </c>
      <c r="E24" s="16" t="e">
        <f>#REF!</f>
        <v>#REF!</v>
      </c>
      <c r="F24" s="16" t="e">
        <f>#REF!</f>
        <v>#REF!</v>
      </c>
      <c r="G24" s="16" t="e">
        <f>#REF!</f>
        <v>#REF!</v>
      </c>
      <c r="H24" s="16" t="e">
        <f>#REF!</f>
        <v>#REF!</v>
      </c>
      <c r="I24" s="16" t="e">
        <f>#REF!</f>
        <v>#REF!</v>
      </c>
      <c r="J24" s="16" t="e">
        <f>#REF!</f>
        <v>#REF!</v>
      </c>
      <c r="K24" s="16" t="s">
        <v>744</v>
      </c>
      <c r="L24" s="16"/>
      <c r="M24" s="16"/>
      <c r="N24" s="16"/>
      <c r="O24" s="16"/>
      <c r="P24" s="17"/>
      <c r="Q24" s="17"/>
    </row>
    <row r="25" spans="1:17" ht="22.5" customHeight="1" thickTop="1" thickBot="1" x14ac:dyDescent="0.25">
      <c r="A25" s="16" t="e">
        <f>#REF!</f>
        <v>#REF!</v>
      </c>
      <c r="B25" s="16" t="e">
        <f>#REF!</f>
        <v>#REF!</v>
      </c>
      <c r="C25" s="16" t="e">
        <f>#REF!</f>
        <v>#REF!</v>
      </c>
      <c r="D25" s="16" t="e">
        <f>#REF!</f>
        <v>#REF!</v>
      </c>
      <c r="E25" s="16" t="e">
        <f>#REF!</f>
        <v>#REF!</v>
      </c>
      <c r="F25" s="16" t="e">
        <f>#REF!</f>
        <v>#REF!</v>
      </c>
      <c r="G25" s="16" t="e">
        <f>#REF!</f>
        <v>#REF!</v>
      </c>
      <c r="H25" s="16" t="e">
        <f>#REF!</f>
        <v>#REF!</v>
      </c>
      <c r="I25" s="16" t="e">
        <f>#REF!</f>
        <v>#REF!</v>
      </c>
      <c r="J25" s="16" t="e">
        <f>#REF!</f>
        <v>#REF!</v>
      </c>
      <c r="K25" s="16" t="s">
        <v>744</v>
      </c>
      <c r="L25" s="16"/>
      <c r="M25" s="16"/>
      <c r="N25" s="16"/>
      <c r="O25" s="16"/>
      <c r="P25" s="17"/>
      <c r="Q25" s="17"/>
    </row>
    <row r="26" spans="1:17" ht="22.5" customHeight="1" thickTop="1" thickBot="1" x14ac:dyDescent="0.25">
      <c r="A26" s="16" t="e">
        <f>#REF!</f>
        <v>#REF!</v>
      </c>
      <c r="B26" s="16" t="e">
        <f>#REF!</f>
        <v>#REF!</v>
      </c>
      <c r="C26" s="16" t="e">
        <f>#REF!</f>
        <v>#REF!</v>
      </c>
      <c r="D26" s="16" t="e">
        <f>#REF!</f>
        <v>#REF!</v>
      </c>
      <c r="E26" s="16" t="e">
        <f>#REF!</f>
        <v>#REF!</v>
      </c>
      <c r="F26" s="16" t="e">
        <f>#REF!</f>
        <v>#REF!</v>
      </c>
      <c r="G26" s="16" t="e">
        <f>#REF!</f>
        <v>#REF!</v>
      </c>
      <c r="H26" s="16" t="e">
        <f>#REF!</f>
        <v>#REF!</v>
      </c>
      <c r="I26" s="16" t="e">
        <f>#REF!</f>
        <v>#REF!</v>
      </c>
      <c r="J26" s="16" t="e">
        <f>#REF!</f>
        <v>#REF!</v>
      </c>
      <c r="K26" s="16" t="s">
        <v>744</v>
      </c>
      <c r="L26" s="16"/>
      <c r="M26" s="16"/>
      <c r="N26" s="16"/>
      <c r="O26" s="16"/>
      <c r="P26" s="17"/>
      <c r="Q26" s="17"/>
    </row>
    <row r="27" spans="1:17" ht="22.5" customHeight="1" thickTop="1" thickBot="1" x14ac:dyDescent="0.25">
      <c r="A27" s="16" t="e">
        <f>#REF!</f>
        <v>#REF!</v>
      </c>
      <c r="B27" s="16" t="e">
        <f>#REF!</f>
        <v>#REF!</v>
      </c>
      <c r="C27" s="16" t="e">
        <f>#REF!</f>
        <v>#REF!</v>
      </c>
      <c r="D27" s="16" t="e">
        <f>#REF!</f>
        <v>#REF!</v>
      </c>
      <c r="E27" s="16" t="e">
        <f>#REF!</f>
        <v>#REF!</v>
      </c>
      <c r="F27" s="16" t="e">
        <f>#REF!</f>
        <v>#REF!</v>
      </c>
      <c r="G27" s="16" t="e">
        <f>#REF!</f>
        <v>#REF!</v>
      </c>
      <c r="H27" s="16" t="e">
        <f>#REF!</f>
        <v>#REF!</v>
      </c>
      <c r="I27" s="16" t="e">
        <f>#REF!</f>
        <v>#REF!</v>
      </c>
      <c r="J27" s="16" t="e">
        <f>#REF!</f>
        <v>#REF!</v>
      </c>
      <c r="K27" s="16" t="s">
        <v>744</v>
      </c>
      <c r="L27" s="16"/>
      <c r="M27" s="16"/>
      <c r="N27" s="16"/>
      <c r="O27" s="16"/>
      <c r="P27" s="17"/>
      <c r="Q27" s="17"/>
    </row>
    <row r="28" spans="1:17" ht="22.5" customHeight="1" thickTop="1" thickBot="1" x14ac:dyDescent="0.25">
      <c r="A28" s="16" t="e">
        <f>#REF!</f>
        <v>#REF!</v>
      </c>
      <c r="B28" s="16" t="e">
        <f>#REF!</f>
        <v>#REF!</v>
      </c>
      <c r="C28" s="16" t="e">
        <f>#REF!</f>
        <v>#REF!</v>
      </c>
      <c r="D28" s="16" t="e">
        <f>#REF!</f>
        <v>#REF!</v>
      </c>
      <c r="E28" s="16" t="e">
        <f>#REF!</f>
        <v>#REF!</v>
      </c>
      <c r="F28" s="16" t="e">
        <f>#REF!</f>
        <v>#REF!</v>
      </c>
      <c r="G28" s="16" t="e">
        <f>#REF!</f>
        <v>#REF!</v>
      </c>
      <c r="H28" s="16" t="e">
        <f>#REF!</f>
        <v>#REF!</v>
      </c>
      <c r="I28" s="16" t="e">
        <f>#REF!</f>
        <v>#REF!</v>
      </c>
      <c r="J28" s="16" t="e">
        <f>#REF!</f>
        <v>#REF!</v>
      </c>
      <c r="K28" s="16" t="s">
        <v>744</v>
      </c>
      <c r="L28" s="16"/>
      <c r="M28" s="16"/>
      <c r="N28" s="16"/>
      <c r="O28" s="16"/>
      <c r="P28" s="17"/>
      <c r="Q28" s="17"/>
    </row>
    <row r="29" spans="1:17" ht="22.5" customHeight="1" thickTop="1" thickBot="1" x14ac:dyDescent="0.25">
      <c r="A29" s="16" t="e">
        <f>#REF!</f>
        <v>#REF!</v>
      </c>
      <c r="B29" s="16" t="e">
        <f>#REF!</f>
        <v>#REF!</v>
      </c>
      <c r="C29" s="16" t="e">
        <f>#REF!</f>
        <v>#REF!</v>
      </c>
      <c r="D29" s="16" t="e">
        <f>#REF!</f>
        <v>#REF!</v>
      </c>
      <c r="E29" s="16" t="e">
        <f>#REF!</f>
        <v>#REF!</v>
      </c>
      <c r="F29" s="16" t="e">
        <f>#REF!</f>
        <v>#REF!</v>
      </c>
      <c r="G29" s="16" t="e">
        <f>#REF!</f>
        <v>#REF!</v>
      </c>
      <c r="H29" s="16" t="e">
        <f>#REF!</f>
        <v>#REF!</v>
      </c>
      <c r="I29" s="16" t="e">
        <f>#REF!</f>
        <v>#REF!</v>
      </c>
      <c r="J29" s="16" t="e">
        <f>#REF!</f>
        <v>#REF!</v>
      </c>
      <c r="K29" s="16" t="s">
        <v>744</v>
      </c>
      <c r="L29" s="16"/>
      <c r="M29" s="16"/>
      <c r="N29" s="16"/>
      <c r="O29" s="16"/>
      <c r="P29" s="17"/>
      <c r="Q29" s="17"/>
    </row>
    <row r="30" spans="1:17" ht="22.5" customHeight="1" thickTop="1" thickBot="1" x14ac:dyDescent="0.25">
      <c r="A30" s="16" t="e">
        <f>#REF!</f>
        <v>#REF!</v>
      </c>
      <c r="B30" s="16" t="e">
        <f>#REF!</f>
        <v>#REF!</v>
      </c>
      <c r="C30" s="16" t="e">
        <f>#REF!</f>
        <v>#REF!</v>
      </c>
      <c r="D30" s="16" t="e">
        <f>#REF!</f>
        <v>#REF!</v>
      </c>
      <c r="E30" s="16" t="e">
        <f>#REF!</f>
        <v>#REF!</v>
      </c>
      <c r="F30" s="16" t="e">
        <f>#REF!</f>
        <v>#REF!</v>
      </c>
      <c r="G30" s="16" t="e">
        <f>#REF!</f>
        <v>#REF!</v>
      </c>
      <c r="H30" s="16" t="e">
        <f>#REF!</f>
        <v>#REF!</v>
      </c>
      <c r="I30" s="16" t="e">
        <f>#REF!</f>
        <v>#REF!</v>
      </c>
      <c r="J30" s="16" t="e">
        <f>#REF!</f>
        <v>#REF!</v>
      </c>
      <c r="K30" s="16" t="s">
        <v>744</v>
      </c>
      <c r="L30" s="16"/>
      <c r="M30" s="16"/>
      <c r="N30" s="16"/>
      <c r="O30" s="16"/>
      <c r="P30" s="17"/>
      <c r="Q30" s="17"/>
    </row>
    <row r="31" spans="1:17" ht="22.5" customHeight="1" thickTop="1" thickBot="1" x14ac:dyDescent="0.25">
      <c r="A31" s="16" t="e">
        <f>#REF!</f>
        <v>#REF!</v>
      </c>
      <c r="B31" s="16" t="e">
        <f>#REF!</f>
        <v>#REF!</v>
      </c>
      <c r="C31" s="16" t="e">
        <f>#REF!</f>
        <v>#REF!</v>
      </c>
      <c r="D31" s="16" t="e">
        <f>#REF!</f>
        <v>#REF!</v>
      </c>
      <c r="E31" s="16" t="e">
        <f>#REF!</f>
        <v>#REF!</v>
      </c>
      <c r="F31" s="16" t="e">
        <f>#REF!</f>
        <v>#REF!</v>
      </c>
      <c r="G31" s="16" t="e">
        <f>#REF!</f>
        <v>#REF!</v>
      </c>
      <c r="H31" s="16" t="e">
        <f>#REF!</f>
        <v>#REF!</v>
      </c>
      <c r="I31" s="16" t="e">
        <f>#REF!</f>
        <v>#REF!</v>
      </c>
      <c r="J31" s="16" t="e">
        <f>#REF!</f>
        <v>#REF!</v>
      </c>
      <c r="K31" s="16" t="s">
        <v>744</v>
      </c>
      <c r="L31" s="16"/>
      <c r="M31" s="16"/>
      <c r="N31" s="16"/>
      <c r="O31" s="16"/>
      <c r="P31" s="17"/>
      <c r="Q31" s="17"/>
    </row>
    <row r="32" spans="1:17" ht="22.5" customHeight="1" thickTop="1" thickBot="1" x14ac:dyDescent="0.25">
      <c r="A32" s="16" t="e">
        <f>#REF!</f>
        <v>#REF!</v>
      </c>
      <c r="B32" s="16" t="e">
        <f>#REF!</f>
        <v>#REF!</v>
      </c>
      <c r="C32" s="16" t="e">
        <f>#REF!</f>
        <v>#REF!</v>
      </c>
      <c r="D32" s="16" t="e">
        <f>#REF!</f>
        <v>#REF!</v>
      </c>
      <c r="E32" s="16" t="e">
        <f>#REF!</f>
        <v>#REF!</v>
      </c>
      <c r="F32" s="16" t="e">
        <f>#REF!</f>
        <v>#REF!</v>
      </c>
      <c r="G32" s="16" t="e">
        <f>#REF!</f>
        <v>#REF!</v>
      </c>
      <c r="H32" s="16" t="e">
        <f>#REF!</f>
        <v>#REF!</v>
      </c>
      <c r="I32" s="16" t="e">
        <f>#REF!</f>
        <v>#REF!</v>
      </c>
      <c r="J32" s="16" t="e">
        <f>#REF!</f>
        <v>#REF!</v>
      </c>
      <c r="K32" s="16" t="s">
        <v>744</v>
      </c>
      <c r="L32" s="16"/>
      <c r="M32" s="16"/>
      <c r="N32" s="16"/>
      <c r="O32" s="16"/>
      <c r="P32" s="17"/>
      <c r="Q32" s="17"/>
    </row>
    <row r="33" spans="1:17" ht="22.5" customHeight="1" thickTop="1" thickBot="1" x14ac:dyDescent="0.25">
      <c r="A33" s="16" t="e">
        <f>#REF!</f>
        <v>#REF!</v>
      </c>
      <c r="B33" s="16" t="e">
        <f>#REF!</f>
        <v>#REF!</v>
      </c>
      <c r="C33" s="16" t="e">
        <f>#REF!</f>
        <v>#REF!</v>
      </c>
      <c r="D33" s="16" t="e">
        <f>#REF!</f>
        <v>#REF!</v>
      </c>
      <c r="E33" s="16" t="e">
        <f>#REF!</f>
        <v>#REF!</v>
      </c>
      <c r="F33" s="16" t="e">
        <f>#REF!</f>
        <v>#REF!</v>
      </c>
      <c r="G33" s="16" t="e">
        <f>#REF!</f>
        <v>#REF!</v>
      </c>
      <c r="H33" s="16" t="e">
        <f>#REF!</f>
        <v>#REF!</v>
      </c>
      <c r="I33" s="16" t="e">
        <f>#REF!</f>
        <v>#REF!</v>
      </c>
      <c r="J33" s="16" t="e">
        <f>#REF!</f>
        <v>#REF!</v>
      </c>
      <c r="K33" s="16" t="s">
        <v>744</v>
      </c>
      <c r="L33" s="16"/>
      <c r="M33" s="16"/>
      <c r="N33" s="16"/>
      <c r="O33" s="16"/>
      <c r="P33" s="17"/>
      <c r="Q33" s="17"/>
    </row>
    <row r="34" spans="1:17" ht="22.5" customHeight="1" thickTop="1" thickBot="1" x14ac:dyDescent="0.25">
      <c r="A34" s="16" t="e">
        <f>#REF!</f>
        <v>#REF!</v>
      </c>
      <c r="B34" s="16" t="e">
        <f>#REF!</f>
        <v>#REF!</v>
      </c>
      <c r="C34" s="16" t="e">
        <f>#REF!</f>
        <v>#REF!</v>
      </c>
      <c r="D34" s="16" t="e">
        <f>#REF!</f>
        <v>#REF!</v>
      </c>
      <c r="E34" s="16" t="e">
        <f>#REF!</f>
        <v>#REF!</v>
      </c>
      <c r="F34" s="16" t="e">
        <f>#REF!</f>
        <v>#REF!</v>
      </c>
      <c r="G34" s="16" t="e">
        <f>#REF!</f>
        <v>#REF!</v>
      </c>
      <c r="H34" s="16" t="e">
        <f>#REF!</f>
        <v>#REF!</v>
      </c>
      <c r="I34" s="16" t="e">
        <f>#REF!</f>
        <v>#REF!</v>
      </c>
      <c r="J34" s="16" t="e">
        <f>#REF!</f>
        <v>#REF!</v>
      </c>
      <c r="K34" s="16" t="s">
        <v>744</v>
      </c>
      <c r="L34" s="16"/>
      <c r="M34" s="16"/>
      <c r="N34" s="16"/>
      <c r="O34" s="16"/>
      <c r="P34" s="17"/>
      <c r="Q34" s="17"/>
    </row>
    <row r="35" spans="1:17" ht="22.5" customHeight="1" thickTop="1" thickBot="1" x14ac:dyDescent="0.25">
      <c r="A35" s="16" t="e">
        <f>#REF!</f>
        <v>#REF!</v>
      </c>
      <c r="B35" s="16" t="e">
        <f>#REF!</f>
        <v>#REF!</v>
      </c>
      <c r="C35" s="16" t="e">
        <f>#REF!</f>
        <v>#REF!</v>
      </c>
      <c r="D35" s="16" t="e">
        <f>#REF!</f>
        <v>#REF!</v>
      </c>
      <c r="E35" s="16" t="e">
        <f>#REF!</f>
        <v>#REF!</v>
      </c>
      <c r="F35" s="16" t="e">
        <f>#REF!</f>
        <v>#REF!</v>
      </c>
      <c r="G35" s="16" t="e">
        <f>#REF!</f>
        <v>#REF!</v>
      </c>
      <c r="H35" s="16" t="e">
        <f>#REF!</f>
        <v>#REF!</v>
      </c>
      <c r="I35" s="16" t="e">
        <f>#REF!</f>
        <v>#REF!</v>
      </c>
      <c r="J35" s="16" t="e">
        <f>#REF!</f>
        <v>#REF!</v>
      </c>
      <c r="K35" s="16" t="s">
        <v>744</v>
      </c>
      <c r="L35" s="16"/>
      <c r="M35" s="16"/>
      <c r="N35" s="16"/>
      <c r="O35" s="16"/>
      <c r="P35" s="17"/>
      <c r="Q35" s="17"/>
    </row>
    <row r="36" spans="1:17" ht="22.5" customHeight="1" thickTop="1" thickBot="1" x14ac:dyDescent="0.25">
      <c r="A36" s="16" t="e">
        <f>#REF!</f>
        <v>#REF!</v>
      </c>
      <c r="B36" s="16" t="e">
        <f>#REF!</f>
        <v>#REF!</v>
      </c>
      <c r="C36" s="16" t="e">
        <f>#REF!</f>
        <v>#REF!</v>
      </c>
      <c r="D36" s="16" t="e">
        <f>#REF!</f>
        <v>#REF!</v>
      </c>
      <c r="E36" s="16" t="e">
        <f>#REF!</f>
        <v>#REF!</v>
      </c>
      <c r="F36" s="16" t="e">
        <f>#REF!</f>
        <v>#REF!</v>
      </c>
      <c r="G36" s="16" t="e">
        <f>#REF!</f>
        <v>#REF!</v>
      </c>
      <c r="H36" s="16" t="e">
        <f>#REF!</f>
        <v>#REF!</v>
      </c>
      <c r="I36" s="16" t="e">
        <f>#REF!</f>
        <v>#REF!</v>
      </c>
      <c r="J36" s="16" t="e">
        <f>#REF!</f>
        <v>#REF!</v>
      </c>
      <c r="K36" s="16" t="s">
        <v>744</v>
      </c>
      <c r="L36" s="16"/>
      <c r="M36" s="16"/>
      <c r="N36" s="16"/>
      <c r="O36" s="16"/>
      <c r="P36" s="17"/>
      <c r="Q36" s="17"/>
    </row>
    <row r="37" spans="1:17" ht="22.5" customHeight="1" thickTop="1" thickBot="1" x14ac:dyDescent="0.25">
      <c r="A37" s="16" t="e">
        <f>#REF!</f>
        <v>#REF!</v>
      </c>
      <c r="B37" s="16" t="e">
        <f>#REF!</f>
        <v>#REF!</v>
      </c>
      <c r="C37" s="16" t="e">
        <f>#REF!</f>
        <v>#REF!</v>
      </c>
      <c r="D37" s="16" t="e">
        <f>#REF!</f>
        <v>#REF!</v>
      </c>
      <c r="E37" s="16" t="e">
        <f>#REF!</f>
        <v>#REF!</v>
      </c>
      <c r="F37" s="16" t="e">
        <f>#REF!</f>
        <v>#REF!</v>
      </c>
      <c r="G37" s="16" t="e">
        <f>#REF!</f>
        <v>#REF!</v>
      </c>
      <c r="H37" s="16" t="e">
        <f>#REF!</f>
        <v>#REF!</v>
      </c>
      <c r="I37" s="16" t="e">
        <f>#REF!</f>
        <v>#REF!</v>
      </c>
      <c r="J37" s="16" t="e">
        <f>#REF!</f>
        <v>#REF!</v>
      </c>
      <c r="K37" s="16" t="s">
        <v>744</v>
      </c>
      <c r="L37" s="16"/>
      <c r="M37" s="16"/>
      <c r="N37" s="16"/>
      <c r="O37" s="16"/>
      <c r="P37" s="17"/>
      <c r="Q37" s="17"/>
    </row>
    <row r="38" spans="1:17" ht="22.5" customHeight="1" thickTop="1" thickBot="1" x14ac:dyDescent="0.25">
      <c r="A38" s="16" t="e">
        <f>#REF!</f>
        <v>#REF!</v>
      </c>
      <c r="B38" s="16" t="e">
        <f>#REF!</f>
        <v>#REF!</v>
      </c>
      <c r="C38" s="16" t="e">
        <f>#REF!</f>
        <v>#REF!</v>
      </c>
      <c r="D38" s="16" t="e">
        <f>#REF!</f>
        <v>#REF!</v>
      </c>
      <c r="E38" s="16" t="e">
        <f>#REF!</f>
        <v>#REF!</v>
      </c>
      <c r="F38" s="16" t="e">
        <f>#REF!</f>
        <v>#REF!</v>
      </c>
      <c r="G38" s="16" t="e">
        <f>#REF!</f>
        <v>#REF!</v>
      </c>
      <c r="H38" s="16" t="e">
        <f>#REF!</f>
        <v>#REF!</v>
      </c>
      <c r="I38" s="16" t="e">
        <f>#REF!</f>
        <v>#REF!</v>
      </c>
      <c r="J38" s="16" t="e">
        <f>#REF!</f>
        <v>#REF!</v>
      </c>
      <c r="K38" s="16"/>
      <c r="L38" s="16"/>
      <c r="M38" s="16"/>
      <c r="N38" s="16"/>
      <c r="O38" s="16"/>
      <c r="P38" s="17"/>
      <c r="Q38" s="17"/>
    </row>
    <row r="39" spans="1:17" ht="22.5" customHeight="1" thickTop="1" thickBot="1" x14ac:dyDescent="0.25">
      <c r="A39" s="16" t="e">
        <f>#REF!</f>
        <v>#REF!</v>
      </c>
      <c r="B39" s="16" t="e">
        <f>#REF!</f>
        <v>#REF!</v>
      </c>
      <c r="C39" s="16" t="e">
        <f>#REF!</f>
        <v>#REF!</v>
      </c>
      <c r="D39" s="16" t="e">
        <f>#REF!</f>
        <v>#REF!</v>
      </c>
      <c r="E39" s="16" t="e">
        <f>#REF!</f>
        <v>#REF!</v>
      </c>
      <c r="F39" s="16" t="e">
        <f>#REF!</f>
        <v>#REF!</v>
      </c>
      <c r="G39" s="16" t="e">
        <f>#REF!</f>
        <v>#REF!</v>
      </c>
      <c r="H39" s="16" t="e">
        <f>#REF!</f>
        <v>#REF!</v>
      </c>
      <c r="I39" s="16" t="e">
        <f>#REF!</f>
        <v>#REF!</v>
      </c>
      <c r="J39" s="16" t="e">
        <f>#REF!</f>
        <v>#REF!</v>
      </c>
      <c r="K39" s="16"/>
      <c r="L39" s="16"/>
      <c r="M39" s="16"/>
      <c r="N39" s="16"/>
      <c r="O39" s="16"/>
      <c r="P39" s="17"/>
      <c r="Q39" s="17"/>
    </row>
    <row r="40" spans="1:17" ht="22.5" customHeight="1" thickTop="1" thickBot="1" x14ac:dyDescent="0.25">
      <c r="A40" s="16" t="e">
        <f>#REF!</f>
        <v>#REF!</v>
      </c>
      <c r="B40" s="16" t="e">
        <f>#REF!</f>
        <v>#REF!</v>
      </c>
      <c r="C40" s="16" t="e">
        <f>#REF!</f>
        <v>#REF!</v>
      </c>
      <c r="D40" s="16" t="e">
        <f>#REF!</f>
        <v>#REF!</v>
      </c>
      <c r="E40" s="16" t="e">
        <f>#REF!</f>
        <v>#REF!</v>
      </c>
      <c r="F40" s="16" t="e">
        <f>#REF!</f>
        <v>#REF!</v>
      </c>
      <c r="G40" s="16" t="e">
        <f>#REF!</f>
        <v>#REF!</v>
      </c>
      <c r="H40" s="16" t="e">
        <f>#REF!</f>
        <v>#REF!</v>
      </c>
      <c r="I40" s="16" t="e">
        <f>#REF!</f>
        <v>#REF!</v>
      </c>
      <c r="J40" s="16" t="e">
        <f>#REF!</f>
        <v>#REF!</v>
      </c>
      <c r="K40" s="16"/>
      <c r="L40" s="16"/>
      <c r="M40" s="16"/>
      <c r="N40" s="16"/>
      <c r="O40" s="16"/>
      <c r="P40" s="17"/>
      <c r="Q40" s="17"/>
    </row>
    <row r="41" spans="1:17" ht="22.5" customHeight="1" thickTop="1" thickBot="1" x14ac:dyDescent="0.25">
      <c r="A41" s="16" t="e">
        <f>#REF!</f>
        <v>#REF!</v>
      </c>
      <c r="B41" s="16" t="e">
        <f>#REF!</f>
        <v>#REF!</v>
      </c>
      <c r="C41" s="16" t="e">
        <f>#REF!</f>
        <v>#REF!</v>
      </c>
      <c r="D41" s="16" t="e">
        <f>#REF!</f>
        <v>#REF!</v>
      </c>
      <c r="E41" s="16" t="e">
        <f>#REF!</f>
        <v>#REF!</v>
      </c>
      <c r="F41" s="16" t="e">
        <f>#REF!</f>
        <v>#REF!</v>
      </c>
      <c r="G41" s="16" t="e">
        <f>#REF!</f>
        <v>#REF!</v>
      </c>
      <c r="H41" s="16" t="e">
        <f>#REF!</f>
        <v>#REF!</v>
      </c>
      <c r="I41" s="16" t="e">
        <f>#REF!</f>
        <v>#REF!</v>
      </c>
      <c r="J41" s="16" t="e">
        <f>#REF!</f>
        <v>#REF!</v>
      </c>
      <c r="K41" s="16"/>
      <c r="L41" s="16"/>
      <c r="M41" s="16"/>
      <c r="N41" s="16"/>
      <c r="O41" s="16"/>
      <c r="P41" s="17"/>
      <c r="Q41" s="17"/>
    </row>
    <row r="42" spans="1:17" ht="22.5" customHeight="1" thickTop="1" thickBot="1" x14ac:dyDescent="0.25">
      <c r="A42" s="16" t="e">
        <f>#REF!</f>
        <v>#REF!</v>
      </c>
      <c r="B42" s="16" t="e">
        <f>#REF!</f>
        <v>#REF!</v>
      </c>
      <c r="C42" s="16" t="e">
        <f>#REF!</f>
        <v>#REF!</v>
      </c>
      <c r="D42" s="16" t="e">
        <f>#REF!</f>
        <v>#REF!</v>
      </c>
      <c r="E42" s="16" t="e">
        <f>#REF!</f>
        <v>#REF!</v>
      </c>
      <c r="F42" s="16" t="e">
        <f>#REF!</f>
        <v>#REF!</v>
      </c>
      <c r="G42" s="16" t="e">
        <f>#REF!</f>
        <v>#REF!</v>
      </c>
      <c r="H42" s="16" t="e">
        <f>#REF!</f>
        <v>#REF!</v>
      </c>
      <c r="I42" s="16" t="e">
        <f>#REF!</f>
        <v>#REF!</v>
      </c>
      <c r="J42" s="16" t="e">
        <f>#REF!</f>
        <v>#REF!</v>
      </c>
      <c r="K42" s="16" t="s">
        <v>744</v>
      </c>
      <c r="L42" s="16"/>
      <c r="M42" s="16"/>
      <c r="N42" s="16"/>
      <c r="O42" s="16"/>
      <c r="P42" s="17"/>
      <c r="Q42" s="17"/>
    </row>
    <row r="43" spans="1:17" ht="22.5" customHeight="1" thickTop="1" thickBot="1" x14ac:dyDescent="0.25">
      <c r="A43" s="16" t="e">
        <f>#REF!</f>
        <v>#REF!</v>
      </c>
      <c r="B43" s="16" t="e">
        <f>#REF!</f>
        <v>#REF!</v>
      </c>
      <c r="C43" s="16" t="e">
        <f>#REF!</f>
        <v>#REF!</v>
      </c>
      <c r="D43" s="16" t="e">
        <f>#REF!</f>
        <v>#REF!</v>
      </c>
      <c r="E43" s="16" t="e">
        <f>#REF!</f>
        <v>#REF!</v>
      </c>
      <c r="F43" s="16" t="e">
        <f>#REF!</f>
        <v>#REF!</v>
      </c>
      <c r="G43" s="16" t="e">
        <f>#REF!</f>
        <v>#REF!</v>
      </c>
      <c r="H43" s="16" t="e">
        <f>#REF!</f>
        <v>#REF!</v>
      </c>
      <c r="I43" s="16" t="e">
        <f>#REF!</f>
        <v>#REF!</v>
      </c>
      <c r="J43" s="16" t="e">
        <f>#REF!</f>
        <v>#REF!</v>
      </c>
      <c r="K43" s="16" t="s">
        <v>744</v>
      </c>
      <c r="L43" s="16"/>
      <c r="M43" s="16"/>
      <c r="N43" s="16"/>
      <c r="O43" s="16"/>
      <c r="P43" s="17"/>
      <c r="Q43" s="17"/>
    </row>
    <row r="44" spans="1:17" ht="22.5" customHeight="1" thickTop="1" thickBot="1" x14ac:dyDescent="0.25">
      <c r="A44" s="16" t="e">
        <f>#REF!</f>
        <v>#REF!</v>
      </c>
      <c r="B44" s="16" t="e">
        <f>#REF!</f>
        <v>#REF!</v>
      </c>
      <c r="C44" s="16" t="e">
        <f>#REF!</f>
        <v>#REF!</v>
      </c>
      <c r="D44" s="16" t="e">
        <f>#REF!</f>
        <v>#REF!</v>
      </c>
      <c r="E44" s="16" t="e">
        <f>#REF!</f>
        <v>#REF!</v>
      </c>
      <c r="F44" s="16" t="e">
        <f>#REF!</f>
        <v>#REF!</v>
      </c>
      <c r="G44" s="16" t="e">
        <f>#REF!</f>
        <v>#REF!</v>
      </c>
      <c r="H44" s="16" t="e">
        <f>#REF!</f>
        <v>#REF!</v>
      </c>
      <c r="I44" s="16" t="e">
        <f>#REF!</f>
        <v>#REF!</v>
      </c>
      <c r="J44" s="16" t="e">
        <f>#REF!</f>
        <v>#REF!</v>
      </c>
      <c r="K44" s="16" t="s">
        <v>744</v>
      </c>
      <c r="L44" s="16"/>
      <c r="M44" s="16"/>
      <c r="N44" s="16"/>
      <c r="O44" s="16"/>
      <c r="P44" s="17"/>
      <c r="Q44" s="17"/>
    </row>
    <row r="45" spans="1:17" ht="22.5" customHeight="1" thickTop="1" thickBot="1" x14ac:dyDescent="0.25">
      <c r="A45" s="16" t="e">
        <f>#REF!</f>
        <v>#REF!</v>
      </c>
      <c r="B45" s="16" t="e">
        <f>#REF!</f>
        <v>#REF!</v>
      </c>
      <c r="C45" s="16" t="e">
        <f>#REF!</f>
        <v>#REF!</v>
      </c>
      <c r="D45" s="16" t="e">
        <f>#REF!</f>
        <v>#REF!</v>
      </c>
      <c r="E45" s="16" t="e">
        <f>#REF!</f>
        <v>#REF!</v>
      </c>
      <c r="F45" s="16" t="e">
        <f>#REF!</f>
        <v>#REF!</v>
      </c>
      <c r="G45" s="16" t="e">
        <f>#REF!</f>
        <v>#REF!</v>
      </c>
      <c r="H45" s="16" t="e">
        <f>#REF!</f>
        <v>#REF!</v>
      </c>
      <c r="I45" s="16" t="e">
        <f>#REF!</f>
        <v>#REF!</v>
      </c>
      <c r="J45" s="16" t="e">
        <f>#REF!</f>
        <v>#REF!</v>
      </c>
      <c r="K45" s="16" t="s">
        <v>744</v>
      </c>
      <c r="L45" s="16"/>
      <c r="M45" s="16"/>
      <c r="N45" s="16"/>
      <c r="O45" s="16"/>
      <c r="P45" s="17"/>
      <c r="Q45" s="17"/>
    </row>
    <row r="46" spans="1:17" ht="22.5" customHeight="1" thickTop="1" thickBot="1" x14ac:dyDescent="0.25">
      <c r="A46" s="16" t="e">
        <f>#REF!</f>
        <v>#REF!</v>
      </c>
      <c r="B46" s="16" t="e">
        <f>#REF!</f>
        <v>#REF!</v>
      </c>
      <c r="C46" s="16" t="e">
        <f>#REF!</f>
        <v>#REF!</v>
      </c>
      <c r="D46" s="16" t="e">
        <f>#REF!</f>
        <v>#REF!</v>
      </c>
      <c r="E46" s="16" t="e">
        <f>#REF!</f>
        <v>#REF!</v>
      </c>
      <c r="F46" s="16" t="e">
        <f>#REF!</f>
        <v>#REF!</v>
      </c>
      <c r="G46" s="16" t="e">
        <f>#REF!</f>
        <v>#REF!</v>
      </c>
      <c r="H46" s="16" t="e">
        <f>#REF!</f>
        <v>#REF!</v>
      </c>
      <c r="I46" s="16" t="e">
        <f>#REF!</f>
        <v>#REF!</v>
      </c>
      <c r="J46" s="16" t="e">
        <f>#REF!</f>
        <v>#REF!</v>
      </c>
      <c r="K46" s="16" t="s">
        <v>744</v>
      </c>
      <c r="L46" s="16"/>
      <c r="M46" s="16"/>
      <c r="N46" s="16"/>
      <c r="O46" s="16"/>
      <c r="P46" s="17"/>
      <c r="Q46" s="17"/>
    </row>
    <row r="47" spans="1:17" ht="22.5" customHeight="1" thickTop="1" thickBot="1" x14ac:dyDescent="0.25">
      <c r="A47" s="16" t="e">
        <f>#REF!</f>
        <v>#REF!</v>
      </c>
      <c r="B47" s="16" t="e">
        <f>#REF!</f>
        <v>#REF!</v>
      </c>
      <c r="C47" s="16" t="e">
        <f>#REF!</f>
        <v>#REF!</v>
      </c>
      <c r="D47" s="16" t="e">
        <f>#REF!</f>
        <v>#REF!</v>
      </c>
      <c r="E47" s="16" t="e">
        <f>#REF!</f>
        <v>#REF!</v>
      </c>
      <c r="F47" s="16" t="e">
        <f>#REF!</f>
        <v>#REF!</v>
      </c>
      <c r="G47" s="16" t="e">
        <f>#REF!</f>
        <v>#REF!</v>
      </c>
      <c r="H47" s="16" t="e">
        <f>#REF!</f>
        <v>#REF!</v>
      </c>
      <c r="I47" s="16" t="e">
        <f>#REF!</f>
        <v>#REF!</v>
      </c>
      <c r="J47" s="16" t="e">
        <f>#REF!</f>
        <v>#REF!</v>
      </c>
      <c r="K47" s="16" t="s">
        <v>744</v>
      </c>
      <c r="L47" s="16"/>
      <c r="M47" s="16"/>
      <c r="N47" s="16"/>
      <c r="O47" s="16"/>
      <c r="P47" s="17"/>
      <c r="Q47" s="17"/>
    </row>
    <row r="48" spans="1:17" ht="22.5" customHeight="1" thickTop="1" thickBot="1" x14ac:dyDescent="0.25">
      <c r="A48" s="16" t="e">
        <f>#REF!</f>
        <v>#REF!</v>
      </c>
      <c r="B48" s="16" t="e">
        <f>#REF!</f>
        <v>#REF!</v>
      </c>
      <c r="C48" s="16" t="e">
        <f>#REF!</f>
        <v>#REF!</v>
      </c>
      <c r="D48" s="16" t="e">
        <f>#REF!</f>
        <v>#REF!</v>
      </c>
      <c r="E48" s="16" t="e">
        <f>#REF!</f>
        <v>#REF!</v>
      </c>
      <c r="F48" s="16" t="e">
        <f>#REF!</f>
        <v>#REF!</v>
      </c>
      <c r="G48" s="16" t="e">
        <f>#REF!</f>
        <v>#REF!</v>
      </c>
      <c r="H48" s="16" t="e">
        <f>#REF!</f>
        <v>#REF!</v>
      </c>
      <c r="I48" s="16" t="e">
        <f>#REF!</f>
        <v>#REF!</v>
      </c>
      <c r="J48" s="16" t="e">
        <f>#REF!</f>
        <v>#REF!</v>
      </c>
      <c r="K48" s="16"/>
      <c r="L48" s="16"/>
      <c r="M48" s="16"/>
      <c r="N48" s="16"/>
      <c r="O48" s="16"/>
      <c r="P48" s="17"/>
      <c r="Q48" s="17"/>
    </row>
    <row r="49" spans="1:17" ht="22.5" customHeight="1" thickTop="1" thickBot="1" x14ac:dyDescent="0.25">
      <c r="A49" s="16" t="e">
        <f>#REF!</f>
        <v>#REF!</v>
      </c>
      <c r="B49" s="16" t="e">
        <f>#REF!</f>
        <v>#REF!</v>
      </c>
      <c r="C49" s="16" t="e">
        <f>#REF!</f>
        <v>#REF!</v>
      </c>
      <c r="D49" s="16" t="e">
        <f>#REF!</f>
        <v>#REF!</v>
      </c>
      <c r="E49" s="16" t="e">
        <f>#REF!</f>
        <v>#REF!</v>
      </c>
      <c r="F49" s="16" t="e">
        <f>#REF!</f>
        <v>#REF!</v>
      </c>
      <c r="G49" s="16" t="e">
        <f>#REF!</f>
        <v>#REF!</v>
      </c>
      <c r="H49" s="16" t="e">
        <f>#REF!</f>
        <v>#REF!</v>
      </c>
      <c r="I49" s="16" t="e">
        <f>#REF!</f>
        <v>#REF!</v>
      </c>
      <c r="J49" s="16" t="e">
        <f>#REF!</f>
        <v>#REF!</v>
      </c>
      <c r="K49" s="16" t="s">
        <v>744</v>
      </c>
      <c r="L49" s="16"/>
      <c r="M49" s="16"/>
      <c r="N49" s="16"/>
      <c r="O49" s="16"/>
      <c r="P49" s="17"/>
      <c r="Q49" s="17"/>
    </row>
    <row r="50" spans="1:17" ht="22.5" customHeight="1" thickTop="1" thickBot="1" x14ac:dyDescent="0.25">
      <c r="A50" s="16" t="e">
        <f>#REF!</f>
        <v>#REF!</v>
      </c>
      <c r="B50" s="16" t="e">
        <f>#REF!</f>
        <v>#REF!</v>
      </c>
      <c r="C50" s="16" t="e">
        <f>#REF!</f>
        <v>#REF!</v>
      </c>
      <c r="D50" s="16" t="e">
        <f>#REF!</f>
        <v>#REF!</v>
      </c>
      <c r="E50" s="16" t="e">
        <f>#REF!</f>
        <v>#REF!</v>
      </c>
      <c r="F50" s="16" t="e">
        <f>#REF!</f>
        <v>#REF!</v>
      </c>
      <c r="G50" s="16" t="e">
        <f>#REF!</f>
        <v>#REF!</v>
      </c>
      <c r="H50" s="16" t="e">
        <f>#REF!</f>
        <v>#REF!</v>
      </c>
      <c r="I50" s="16" t="e">
        <f>#REF!</f>
        <v>#REF!</v>
      </c>
      <c r="J50" s="16" t="e">
        <f>#REF!</f>
        <v>#REF!</v>
      </c>
      <c r="K50" s="16" t="s">
        <v>744</v>
      </c>
      <c r="L50" s="16"/>
      <c r="M50" s="16"/>
      <c r="N50" s="16"/>
      <c r="O50" s="16"/>
      <c r="P50" s="17"/>
      <c r="Q50" s="17"/>
    </row>
    <row r="51" spans="1:17" ht="22.5" customHeight="1" thickTop="1" thickBot="1" x14ac:dyDescent="0.25">
      <c r="A51" s="16" t="e">
        <f>#REF!</f>
        <v>#REF!</v>
      </c>
      <c r="B51" s="16" t="e">
        <f>#REF!</f>
        <v>#REF!</v>
      </c>
      <c r="C51" s="16" t="e">
        <f>#REF!</f>
        <v>#REF!</v>
      </c>
      <c r="D51" s="16" t="e">
        <f>#REF!</f>
        <v>#REF!</v>
      </c>
      <c r="E51" s="16" t="e">
        <f>#REF!</f>
        <v>#REF!</v>
      </c>
      <c r="F51" s="16" t="e">
        <f>#REF!</f>
        <v>#REF!</v>
      </c>
      <c r="G51" s="16" t="e">
        <f>#REF!</f>
        <v>#REF!</v>
      </c>
      <c r="H51" s="16" t="e">
        <f>#REF!</f>
        <v>#REF!</v>
      </c>
      <c r="I51" s="16" t="e">
        <f>#REF!</f>
        <v>#REF!</v>
      </c>
      <c r="J51" s="16" t="e">
        <f>#REF!</f>
        <v>#REF!</v>
      </c>
      <c r="K51" s="16" t="s">
        <v>744</v>
      </c>
      <c r="L51" s="16"/>
      <c r="M51" s="16"/>
      <c r="N51" s="16"/>
      <c r="O51" s="16"/>
      <c r="P51" s="17"/>
      <c r="Q51" s="17"/>
    </row>
    <row r="52" spans="1:17" ht="22.5" customHeight="1" thickTop="1" thickBot="1" x14ac:dyDescent="0.25">
      <c r="A52" s="16" t="e">
        <f>#REF!</f>
        <v>#REF!</v>
      </c>
      <c r="B52" s="16" t="e">
        <f>#REF!</f>
        <v>#REF!</v>
      </c>
      <c r="C52" s="16" t="e">
        <f>#REF!</f>
        <v>#REF!</v>
      </c>
      <c r="D52" s="16" t="e">
        <f>#REF!</f>
        <v>#REF!</v>
      </c>
      <c r="E52" s="16" t="e">
        <f>#REF!</f>
        <v>#REF!</v>
      </c>
      <c r="F52" s="16" t="e">
        <f>#REF!</f>
        <v>#REF!</v>
      </c>
      <c r="G52" s="16" t="e">
        <f>#REF!</f>
        <v>#REF!</v>
      </c>
      <c r="H52" s="16" t="e">
        <f>#REF!</f>
        <v>#REF!</v>
      </c>
      <c r="I52" s="16" t="e">
        <f>#REF!</f>
        <v>#REF!</v>
      </c>
      <c r="J52" s="16" t="e">
        <f>#REF!</f>
        <v>#REF!</v>
      </c>
      <c r="K52" s="16" t="s">
        <v>744</v>
      </c>
      <c r="L52" s="16"/>
      <c r="M52" s="16"/>
      <c r="N52" s="16"/>
      <c r="O52" s="16"/>
      <c r="P52" s="17"/>
      <c r="Q52" s="17"/>
    </row>
    <row r="53" spans="1:17" ht="22.5" customHeight="1" thickTop="1" thickBot="1" x14ac:dyDescent="0.25">
      <c r="A53" s="16" t="e">
        <f>#REF!</f>
        <v>#REF!</v>
      </c>
      <c r="B53" s="16" t="e">
        <f>#REF!</f>
        <v>#REF!</v>
      </c>
      <c r="C53" s="16" t="e">
        <f>#REF!</f>
        <v>#REF!</v>
      </c>
      <c r="D53" s="16" t="e">
        <f>#REF!</f>
        <v>#REF!</v>
      </c>
      <c r="E53" s="16" t="e">
        <f>#REF!</f>
        <v>#REF!</v>
      </c>
      <c r="F53" s="16" t="e">
        <f>#REF!</f>
        <v>#REF!</v>
      </c>
      <c r="G53" s="16" t="e">
        <f>#REF!</f>
        <v>#REF!</v>
      </c>
      <c r="H53" s="16" t="e">
        <f>#REF!</f>
        <v>#REF!</v>
      </c>
      <c r="I53" s="16" t="e">
        <f>#REF!</f>
        <v>#REF!</v>
      </c>
      <c r="J53" s="16" t="e">
        <f>#REF!</f>
        <v>#REF!</v>
      </c>
      <c r="K53" s="16"/>
      <c r="L53" s="16"/>
      <c r="M53" s="16"/>
      <c r="N53" s="16"/>
      <c r="O53" s="16"/>
      <c r="P53" s="17"/>
      <c r="Q53" s="17"/>
    </row>
    <row r="54" spans="1:17" ht="22.5" customHeight="1" thickTop="1" thickBot="1" x14ac:dyDescent="0.25">
      <c r="A54" s="16" t="e">
        <f>#REF!</f>
        <v>#REF!</v>
      </c>
      <c r="B54" s="16" t="e">
        <f>#REF!</f>
        <v>#REF!</v>
      </c>
      <c r="C54" s="16" t="e">
        <f>#REF!</f>
        <v>#REF!</v>
      </c>
      <c r="D54" s="16" t="e">
        <f>#REF!</f>
        <v>#REF!</v>
      </c>
      <c r="E54" s="16" t="e">
        <f>#REF!</f>
        <v>#REF!</v>
      </c>
      <c r="F54" s="16" t="e">
        <f>#REF!</f>
        <v>#REF!</v>
      </c>
      <c r="G54" s="16" t="e">
        <f>#REF!</f>
        <v>#REF!</v>
      </c>
      <c r="H54" s="16" t="e">
        <f>#REF!</f>
        <v>#REF!</v>
      </c>
      <c r="I54" s="16" t="e">
        <f>#REF!</f>
        <v>#REF!</v>
      </c>
      <c r="J54" s="16" t="e">
        <f>#REF!</f>
        <v>#REF!</v>
      </c>
      <c r="K54" s="16"/>
      <c r="L54" s="16"/>
      <c r="M54" s="16"/>
      <c r="N54" s="16"/>
      <c r="O54" s="16"/>
      <c r="P54" s="17"/>
      <c r="Q54" s="17"/>
    </row>
    <row r="55" spans="1:17" ht="22.5" customHeight="1" thickTop="1" thickBot="1" x14ac:dyDescent="0.25">
      <c r="A55" s="16" t="e">
        <f>#REF!</f>
        <v>#REF!</v>
      </c>
      <c r="B55" s="16" t="e">
        <f>#REF!</f>
        <v>#REF!</v>
      </c>
      <c r="C55" s="16" t="e">
        <f>#REF!</f>
        <v>#REF!</v>
      </c>
      <c r="D55" s="16" t="e">
        <f>#REF!</f>
        <v>#REF!</v>
      </c>
      <c r="E55" s="16" t="e">
        <f>#REF!</f>
        <v>#REF!</v>
      </c>
      <c r="F55" s="16" t="e">
        <f>#REF!</f>
        <v>#REF!</v>
      </c>
      <c r="G55" s="16" t="e">
        <f>#REF!</f>
        <v>#REF!</v>
      </c>
      <c r="H55" s="16" t="e">
        <f>#REF!</f>
        <v>#REF!</v>
      </c>
      <c r="I55" s="16" t="e">
        <f>#REF!</f>
        <v>#REF!</v>
      </c>
      <c r="J55" s="16" t="e">
        <f>#REF!</f>
        <v>#REF!</v>
      </c>
      <c r="K55" s="16"/>
      <c r="L55" s="16"/>
      <c r="M55" s="16"/>
      <c r="N55" s="16"/>
      <c r="O55" s="16"/>
      <c r="P55" s="17"/>
      <c r="Q55" s="17"/>
    </row>
    <row r="56" spans="1:17" ht="22.5" customHeight="1" thickTop="1" thickBot="1" x14ac:dyDescent="0.25">
      <c r="A56" s="16" t="e">
        <f>#REF!</f>
        <v>#REF!</v>
      </c>
      <c r="B56" s="16" t="e">
        <f>#REF!</f>
        <v>#REF!</v>
      </c>
      <c r="C56" s="16" t="e">
        <f>#REF!</f>
        <v>#REF!</v>
      </c>
      <c r="D56" s="16" t="e">
        <f>#REF!</f>
        <v>#REF!</v>
      </c>
      <c r="E56" s="16" t="e">
        <f>#REF!</f>
        <v>#REF!</v>
      </c>
      <c r="F56" s="16" t="e">
        <f>#REF!</f>
        <v>#REF!</v>
      </c>
      <c r="G56" s="16" t="e">
        <f>#REF!</f>
        <v>#REF!</v>
      </c>
      <c r="H56" s="16" t="e">
        <f>#REF!</f>
        <v>#REF!</v>
      </c>
      <c r="I56" s="16" t="e">
        <f>#REF!</f>
        <v>#REF!</v>
      </c>
      <c r="J56" s="16" t="e">
        <f>#REF!</f>
        <v>#REF!</v>
      </c>
      <c r="K56" s="16" t="s">
        <v>744</v>
      </c>
      <c r="L56" s="16"/>
      <c r="M56" s="16"/>
      <c r="N56" s="16"/>
      <c r="O56" s="16"/>
      <c r="P56" s="20"/>
      <c r="Q56" s="20"/>
    </row>
    <row r="57" spans="1:17" ht="22.5" customHeight="1" thickTop="1" thickBot="1" x14ac:dyDescent="0.25">
      <c r="A57" s="16" t="e">
        <f>#REF!</f>
        <v>#REF!</v>
      </c>
      <c r="B57" s="16" t="e">
        <f>#REF!</f>
        <v>#REF!</v>
      </c>
      <c r="C57" s="16" t="e">
        <f>#REF!</f>
        <v>#REF!</v>
      </c>
      <c r="D57" s="16" t="e">
        <f>#REF!</f>
        <v>#REF!</v>
      </c>
      <c r="E57" s="16" t="e">
        <f>#REF!</f>
        <v>#REF!</v>
      </c>
      <c r="F57" s="16" t="e">
        <f>#REF!</f>
        <v>#REF!</v>
      </c>
      <c r="G57" s="16" t="e">
        <f>#REF!</f>
        <v>#REF!</v>
      </c>
      <c r="H57" s="16" t="e">
        <f>#REF!</f>
        <v>#REF!</v>
      </c>
      <c r="I57" s="16" t="e">
        <f>#REF!</f>
        <v>#REF!</v>
      </c>
      <c r="J57" s="16" t="e">
        <f>#REF!</f>
        <v>#REF!</v>
      </c>
      <c r="K57" s="16" t="s">
        <v>744</v>
      </c>
      <c r="L57" s="16"/>
      <c r="M57" s="16"/>
      <c r="N57" s="16"/>
      <c r="O57" s="16"/>
      <c r="P57" s="17"/>
      <c r="Q57" s="17"/>
    </row>
    <row r="58" spans="1:17" ht="22.5" customHeight="1" thickTop="1" thickBot="1" x14ac:dyDescent="0.25">
      <c r="A58" s="16" t="e">
        <f>#REF!</f>
        <v>#REF!</v>
      </c>
      <c r="B58" s="16" t="e">
        <f>#REF!</f>
        <v>#REF!</v>
      </c>
      <c r="C58" s="16" t="e">
        <f>#REF!</f>
        <v>#REF!</v>
      </c>
      <c r="D58" s="16" t="e">
        <f>#REF!</f>
        <v>#REF!</v>
      </c>
      <c r="E58" s="16" t="e">
        <f>#REF!</f>
        <v>#REF!</v>
      </c>
      <c r="F58" s="16" t="e">
        <f>#REF!</f>
        <v>#REF!</v>
      </c>
      <c r="G58" s="16" t="e">
        <f>#REF!</f>
        <v>#REF!</v>
      </c>
      <c r="H58" s="16" t="e">
        <f>#REF!</f>
        <v>#REF!</v>
      </c>
      <c r="I58" s="16" t="e">
        <f>#REF!</f>
        <v>#REF!</v>
      </c>
      <c r="J58" s="16" t="e">
        <f>#REF!</f>
        <v>#REF!</v>
      </c>
      <c r="K58" s="16" t="s">
        <v>744</v>
      </c>
      <c r="L58" s="16"/>
      <c r="M58" s="16"/>
      <c r="N58" s="16"/>
      <c r="O58" s="16"/>
      <c r="P58" s="17"/>
      <c r="Q58" s="17"/>
    </row>
    <row r="59" spans="1:17" ht="22.5" customHeight="1" thickTop="1" thickBot="1" x14ac:dyDescent="0.25">
      <c r="A59" s="16" t="e">
        <f>#REF!</f>
        <v>#REF!</v>
      </c>
      <c r="B59" s="16" t="e">
        <f>#REF!</f>
        <v>#REF!</v>
      </c>
      <c r="C59" s="16" t="e">
        <f>#REF!</f>
        <v>#REF!</v>
      </c>
      <c r="D59" s="16" t="e">
        <f>#REF!</f>
        <v>#REF!</v>
      </c>
      <c r="E59" s="16" t="e">
        <f>#REF!</f>
        <v>#REF!</v>
      </c>
      <c r="F59" s="16" t="e">
        <f>#REF!</f>
        <v>#REF!</v>
      </c>
      <c r="G59" s="16" t="e">
        <f>#REF!</f>
        <v>#REF!</v>
      </c>
      <c r="H59" s="16" t="e">
        <f>#REF!</f>
        <v>#REF!</v>
      </c>
      <c r="I59" s="16" t="e">
        <f>#REF!</f>
        <v>#REF!</v>
      </c>
      <c r="J59" s="16" t="e">
        <f>#REF!</f>
        <v>#REF!</v>
      </c>
      <c r="K59" s="16" t="s">
        <v>744</v>
      </c>
      <c r="L59" s="16"/>
      <c r="M59" s="16"/>
      <c r="N59" s="16"/>
      <c r="O59" s="16"/>
      <c r="P59" s="17"/>
      <c r="Q59" s="17"/>
    </row>
    <row r="60" spans="1:17" ht="22.5" customHeight="1" thickTop="1" thickBot="1" x14ac:dyDescent="0.25">
      <c r="A60" s="16" t="e">
        <f>#REF!</f>
        <v>#REF!</v>
      </c>
      <c r="B60" s="16" t="e">
        <f>#REF!</f>
        <v>#REF!</v>
      </c>
      <c r="C60" s="16" t="e">
        <f>#REF!</f>
        <v>#REF!</v>
      </c>
      <c r="D60" s="16" t="e">
        <f>#REF!</f>
        <v>#REF!</v>
      </c>
      <c r="E60" s="16" t="e">
        <f>#REF!</f>
        <v>#REF!</v>
      </c>
      <c r="F60" s="16" t="e">
        <f>#REF!</f>
        <v>#REF!</v>
      </c>
      <c r="G60" s="16" t="e">
        <f>#REF!</f>
        <v>#REF!</v>
      </c>
      <c r="H60" s="16" t="e">
        <f>#REF!</f>
        <v>#REF!</v>
      </c>
      <c r="I60" s="16" t="e">
        <f>#REF!</f>
        <v>#REF!</v>
      </c>
      <c r="J60" s="16" t="e">
        <f>#REF!</f>
        <v>#REF!</v>
      </c>
      <c r="K60" s="16" t="s">
        <v>744</v>
      </c>
      <c r="L60" s="16"/>
      <c r="M60" s="16"/>
      <c r="N60" s="16"/>
      <c r="O60" s="16"/>
      <c r="P60" s="20"/>
      <c r="Q60" s="20"/>
    </row>
    <row r="61" spans="1:17" ht="22.5" customHeight="1" thickTop="1" thickBot="1" x14ac:dyDescent="0.25">
      <c r="A61" s="16" t="e">
        <f>#REF!</f>
        <v>#REF!</v>
      </c>
      <c r="B61" s="16" t="e">
        <f>#REF!</f>
        <v>#REF!</v>
      </c>
      <c r="C61" s="16" t="e">
        <f>#REF!</f>
        <v>#REF!</v>
      </c>
      <c r="D61" s="16" t="e">
        <f>#REF!</f>
        <v>#REF!</v>
      </c>
      <c r="E61" s="16" t="e">
        <f>#REF!</f>
        <v>#REF!</v>
      </c>
      <c r="F61" s="16" t="e">
        <f>#REF!</f>
        <v>#REF!</v>
      </c>
      <c r="G61" s="16" t="e">
        <f>#REF!</f>
        <v>#REF!</v>
      </c>
      <c r="H61" s="16" t="e">
        <f>#REF!</f>
        <v>#REF!</v>
      </c>
      <c r="I61" s="16" t="e">
        <f>#REF!</f>
        <v>#REF!</v>
      </c>
      <c r="J61" s="16" t="e">
        <f>#REF!</f>
        <v>#REF!</v>
      </c>
      <c r="K61" s="16" t="s">
        <v>744</v>
      </c>
      <c r="L61" s="16"/>
      <c r="M61" s="16"/>
      <c r="N61" s="16"/>
      <c r="O61" s="16"/>
      <c r="P61" s="20"/>
      <c r="Q61" s="20"/>
    </row>
    <row r="62" spans="1:17" ht="22.5" customHeight="1" thickTop="1" thickBot="1" x14ac:dyDescent="0.25">
      <c r="A62" s="16" t="e">
        <f>#REF!</f>
        <v>#REF!</v>
      </c>
      <c r="B62" s="16" t="e">
        <f>#REF!</f>
        <v>#REF!</v>
      </c>
      <c r="C62" s="16" t="e">
        <f>#REF!</f>
        <v>#REF!</v>
      </c>
      <c r="D62" s="16" t="e">
        <f>#REF!</f>
        <v>#REF!</v>
      </c>
      <c r="E62" s="16" t="e">
        <f>#REF!</f>
        <v>#REF!</v>
      </c>
      <c r="F62" s="16" t="e">
        <f>#REF!</f>
        <v>#REF!</v>
      </c>
      <c r="G62" s="16" t="e">
        <f>#REF!</f>
        <v>#REF!</v>
      </c>
      <c r="H62" s="16" t="e">
        <f>#REF!</f>
        <v>#REF!</v>
      </c>
      <c r="I62" s="16" t="e">
        <f>#REF!</f>
        <v>#REF!</v>
      </c>
      <c r="J62" s="16" t="e">
        <f>#REF!</f>
        <v>#REF!</v>
      </c>
      <c r="K62" s="16" t="s">
        <v>744</v>
      </c>
      <c r="L62" s="16"/>
      <c r="M62" s="16"/>
      <c r="N62" s="16"/>
      <c r="O62" s="16"/>
      <c r="P62" s="20"/>
      <c r="Q62" s="20"/>
    </row>
    <row r="63" spans="1:17" ht="22.5" customHeight="1" thickTop="1" thickBot="1" x14ac:dyDescent="0.25">
      <c r="A63" s="16" t="e">
        <f>#REF!</f>
        <v>#REF!</v>
      </c>
      <c r="B63" s="16" t="e">
        <f>#REF!</f>
        <v>#REF!</v>
      </c>
      <c r="C63" s="16" t="e">
        <f>#REF!</f>
        <v>#REF!</v>
      </c>
      <c r="D63" s="16" t="e">
        <f>#REF!</f>
        <v>#REF!</v>
      </c>
      <c r="E63" s="16" t="e">
        <f>#REF!</f>
        <v>#REF!</v>
      </c>
      <c r="F63" s="16" t="e">
        <f>#REF!</f>
        <v>#REF!</v>
      </c>
      <c r="G63" s="16" t="e">
        <f>#REF!</f>
        <v>#REF!</v>
      </c>
      <c r="H63" s="16" t="e">
        <f>#REF!</f>
        <v>#REF!</v>
      </c>
      <c r="I63" s="16" t="e">
        <f>#REF!</f>
        <v>#REF!</v>
      </c>
      <c r="J63" s="16" t="e">
        <f>#REF!</f>
        <v>#REF!</v>
      </c>
      <c r="K63" s="16" t="s">
        <v>744</v>
      </c>
      <c r="L63" s="16"/>
      <c r="M63" s="16"/>
      <c r="N63" s="16"/>
      <c r="O63" s="16"/>
      <c r="P63" s="20"/>
      <c r="Q63" s="20"/>
    </row>
    <row r="64" spans="1:17" ht="22.5" customHeight="1" thickTop="1" thickBot="1" x14ac:dyDescent="0.25">
      <c r="A64" s="16" t="e">
        <f>#REF!</f>
        <v>#REF!</v>
      </c>
      <c r="B64" s="16" t="e">
        <f>#REF!</f>
        <v>#REF!</v>
      </c>
      <c r="C64" s="16" t="e">
        <f>#REF!</f>
        <v>#REF!</v>
      </c>
      <c r="D64" s="16" t="e">
        <f>#REF!</f>
        <v>#REF!</v>
      </c>
      <c r="E64" s="16" t="e">
        <f>#REF!</f>
        <v>#REF!</v>
      </c>
      <c r="F64" s="16" t="e">
        <f>#REF!</f>
        <v>#REF!</v>
      </c>
      <c r="G64" s="16" t="e">
        <f>#REF!</f>
        <v>#REF!</v>
      </c>
      <c r="H64" s="16" t="e">
        <f>#REF!</f>
        <v>#REF!</v>
      </c>
      <c r="I64" s="16" t="e">
        <f>#REF!</f>
        <v>#REF!</v>
      </c>
      <c r="J64" s="16" t="e">
        <f>#REF!</f>
        <v>#REF!</v>
      </c>
      <c r="K64" s="16" t="s">
        <v>744</v>
      </c>
      <c r="L64" s="16"/>
      <c r="M64" s="16"/>
      <c r="N64" s="16"/>
      <c r="O64" s="16"/>
      <c r="P64" s="20"/>
      <c r="Q64" s="20"/>
    </row>
    <row r="65" spans="1:17" ht="22.5" customHeight="1" thickTop="1" thickBot="1" x14ac:dyDescent="0.25">
      <c r="A65" s="16" t="e">
        <f>#REF!</f>
        <v>#REF!</v>
      </c>
      <c r="B65" s="16" t="e">
        <f>#REF!</f>
        <v>#REF!</v>
      </c>
      <c r="C65" s="16" t="e">
        <f>#REF!</f>
        <v>#REF!</v>
      </c>
      <c r="D65" s="16" t="e">
        <f>#REF!</f>
        <v>#REF!</v>
      </c>
      <c r="E65" s="16" t="e">
        <f>#REF!</f>
        <v>#REF!</v>
      </c>
      <c r="F65" s="16" t="e">
        <f>#REF!</f>
        <v>#REF!</v>
      </c>
      <c r="G65" s="16" t="e">
        <f>#REF!</f>
        <v>#REF!</v>
      </c>
      <c r="H65" s="16" t="e">
        <f>#REF!</f>
        <v>#REF!</v>
      </c>
      <c r="I65" s="16" t="e">
        <f>#REF!</f>
        <v>#REF!</v>
      </c>
      <c r="J65" s="16" t="e">
        <f>#REF!</f>
        <v>#REF!</v>
      </c>
      <c r="K65" s="16" t="s">
        <v>744</v>
      </c>
      <c r="L65" s="16"/>
      <c r="M65" s="16"/>
      <c r="N65" s="16"/>
      <c r="O65" s="16"/>
      <c r="P65" s="20"/>
      <c r="Q65" s="20"/>
    </row>
    <row r="66" spans="1:17" ht="22.5" customHeight="1" thickTop="1" thickBot="1" x14ac:dyDescent="0.25">
      <c r="A66" s="16" t="e">
        <f>#REF!</f>
        <v>#REF!</v>
      </c>
      <c r="B66" s="16" t="e">
        <f>#REF!</f>
        <v>#REF!</v>
      </c>
      <c r="C66" s="16" t="e">
        <f>#REF!</f>
        <v>#REF!</v>
      </c>
      <c r="D66" s="16" t="e">
        <f>#REF!</f>
        <v>#REF!</v>
      </c>
      <c r="E66" s="16" t="e">
        <f>#REF!</f>
        <v>#REF!</v>
      </c>
      <c r="F66" s="16" t="e">
        <f>#REF!</f>
        <v>#REF!</v>
      </c>
      <c r="G66" s="16" t="e">
        <f>#REF!</f>
        <v>#REF!</v>
      </c>
      <c r="H66" s="16" t="e">
        <f>#REF!</f>
        <v>#REF!</v>
      </c>
      <c r="I66" s="16" t="e">
        <f>#REF!</f>
        <v>#REF!</v>
      </c>
      <c r="J66" s="16" t="e">
        <f>#REF!</f>
        <v>#REF!</v>
      </c>
      <c r="K66" s="16" t="s">
        <v>744</v>
      </c>
      <c r="L66" s="16"/>
      <c r="M66" s="16"/>
      <c r="N66" s="16"/>
      <c r="O66" s="16"/>
      <c r="P66" s="20"/>
      <c r="Q66" s="20"/>
    </row>
    <row r="67" spans="1:17" ht="22.5" customHeight="1" thickTop="1" thickBot="1" x14ac:dyDescent="0.25">
      <c r="A67" s="16" t="e">
        <f>#REF!</f>
        <v>#REF!</v>
      </c>
      <c r="B67" s="16" t="e">
        <f>#REF!</f>
        <v>#REF!</v>
      </c>
      <c r="C67" s="16" t="e">
        <f>#REF!</f>
        <v>#REF!</v>
      </c>
      <c r="D67" s="16" t="e">
        <f>#REF!</f>
        <v>#REF!</v>
      </c>
      <c r="E67" s="16" t="e">
        <f>#REF!</f>
        <v>#REF!</v>
      </c>
      <c r="F67" s="16" t="e">
        <f>#REF!</f>
        <v>#REF!</v>
      </c>
      <c r="G67" s="16" t="e">
        <f>#REF!</f>
        <v>#REF!</v>
      </c>
      <c r="H67" s="16" t="e">
        <f>#REF!</f>
        <v>#REF!</v>
      </c>
      <c r="I67" s="16" t="e">
        <f>#REF!</f>
        <v>#REF!</v>
      </c>
      <c r="J67" s="16" t="e">
        <f>#REF!</f>
        <v>#REF!</v>
      </c>
      <c r="K67" s="16" t="s">
        <v>744</v>
      </c>
      <c r="L67" s="16"/>
      <c r="M67" s="16"/>
      <c r="N67" s="16"/>
      <c r="O67" s="16"/>
      <c r="P67" s="20"/>
      <c r="Q67" s="20"/>
    </row>
    <row r="68" spans="1:17" ht="22.5" customHeight="1" thickTop="1" thickBot="1" x14ac:dyDescent="0.25">
      <c r="A68" s="16" t="e">
        <f>#REF!</f>
        <v>#REF!</v>
      </c>
      <c r="B68" s="16" t="e">
        <f>#REF!</f>
        <v>#REF!</v>
      </c>
      <c r="C68" s="16" t="e">
        <f>#REF!</f>
        <v>#REF!</v>
      </c>
      <c r="D68" s="16" t="e">
        <f>#REF!</f>
        <v>#REF!</v>
      </c>
      <c r="E68" s="16" t="e">
        <f>#REF!</f>
        <v>#REF!</v>
      </c>
      <c r="F68" s="16" t="e">
        <f>#REF!</f>
        <v>#REF!</v>
      </c>
      <c r="G68" s="16" t="e">
        <f>#REF!</f>
        <v>#REF!</v>
      </c>
      <c r="H68" s="16" t="e">
        <f>#REF!</f>
        <v>#REF!</v>
      </c>
      <c r="I68" s="16" t="e">
        <f>#REF!</f>
        <v>#REF!</v>
      </c>
      <c r="J68" s="16" t="e">
        <f>#REF!</f>
        <v>#REF!</v>
      </c>
      <c r="K68" s="16" t="s">
        <v>744</v>
      </c>
      <c r="L68" s="16"/>
      <c r="M68" s="16"/>
      <c r="N68" s="16"/>
      <c r="O68" s="16"/>
      <c r="P68" s="20"/>
      <c r="Q68" s="20"/>
    </row>
    <row r="69" spans="1:17" ht="22.5" customHeight="1" thickTop="1" thickBot="1" x14ac:dyDescent="0.25">
      <c r="A69" s="16" t="e">
        <f>#REF!</f>
        <v>#REF!</v>
      </c>
      <c r="B69" s="16" t="e">
        <f>#REF!</f>
        <v>#REF!</v>
      </c>
      <c r="C69" s="16" t="e">
        <f>#REF!</f>
        <v>#REF!</v>
      </c>
      <c r="D69" s="16" t="e">
        <f>#REF!</f>
        <v>#REF!</v>
      </c>
      <c r="E69" s="16" t="e">
        <f>#REF!</f>
        <v>#REF!</v>
      </c>
      <c r="F69" s="16" t="e">
        <f>#REF!</f>
        <v>#REF!</v>
      </c>
      <c r="G69" s="16" t="e">
        <f>#REF!</f>
        <v>#REF!</v>
      </c>
      <c r="H69" s="16" t="e">
        <f>#REF!</f>
        <v>#REF!</v>
      </c>
      <c r="I69" s="16" t="e">
        <f>#REF!</f>
        <v>#REF!</v>
      </c>
      <c r="J69" s="16" t="e">
        <f>#REF!</f>
        <v>#REF!</v>
      </c>
      <c r="K69" s="16" t="s">
        <v>744</v>
      </c>
      <c r="L69" s="16"/>
      <c r="M69" s="16"/>
      <c r="N69" s="16"/>
      <c r="O69" s="16"/>
      <c r="P69" s="17"/>
      <c r="Q69" s="17"/>
    </row>
    <row r="70" spans="1:17" ht="22.5" customHeight="1" thickTop="1" thickBot="1" x14ac:dyDescent="0.25">
      <c r="A70" s="16" t="e">
        <f>#REF!</f>
        <v>#REF!</v>
      </c>
      <c r="B70" s="16" t="e">
        <f>#REF!</f>
        <v>#REF!</v>
      </c>
      <c r="C70" s="16" t="e">
        <f>#REF!</f>
        <v>#REF!</v>
      </c>
      <c r="D70" s="16" t="e">
        <f>#REF!</f>
        <v>#REF!</v>
      </c>
      <c r="E70" s="16" t="e">
        <f>#REF!</f>
        <v>#REF!</v>
      </c>
      <c r="F70" s="16" t="e">
        <f>#REF!</f>
        <v>#REF!</v>
      </c>
      <c r="G70" s="16" t="e">
        <f>#REF!</f>
        <v>#REF!</v>
      </c>
      <c r="H70" s="16" t="e">
        <f>#REF!</f>
        <v>#REF!</v>
      </c>
      <c r="I70" s="16" t="e">
        <f>#REF!</f>
        <v>#REF!</v>
      </c>
      <c r="J70" s="16" t="e">
        <f>#REF!</f>
        <v>#REF!</v>
      </c>
      <c r="K70" s="16" t="s">
        <v>744</v>
      </c>
      <c r="L70" s="16"/>
      <c r="M70" s="16"/>
      <c r="N70" s="16"/>
      <c r="O70" s="16"/>
      <c r="P70" s="17"/>
      <c r="Q70" s="17"/>
    </row>
    <row r="71" spans="1:17" ht="22.5" customHeight="1" thickTop="1" thickBot="1" x14ac:dyDescent="0.25">
      <c r="A71" s="16" t="e">
        <f>#REF!</f>
        <v>#REF!</v>
      </c>
      <c r="B71" s="16" t="e">
        <f>#REF!</f>
        <v>#REF!</v>
      </c>
      <c r="C71" s="16" t="e">
        <f>#REF!</f>
        <v>#REF!</v>
      </c>
      <c r="D71" s="16" t="e">
        <f>#REF!</f>
        <v>#REF!</v>
      </c>
      <c r="E71" s="16" t="e">
        <f>#REF!</f>
        <v>#REF!</v>
      </c>
      <c r="F71" s="16" t="e">
        <f>#REF!</f>
        <v>#REF!</v>
      </c>
      <c r="G71" s="16" t="e">
        <f>#REF!</f>
        <v>#REF!</v>
      </c>
      <c r="H71" s="16" t="e">
        <f>#REF!</f>
        <v>#REF!</v>
      </c>
      <c r="I71" s="16" t="e">
        <f>#REF!</f>
        <v>#REF!</v>
      </c>
      <c r="J71" s="16" t="e">
        <f>#REF!</f>
        <v>#REF!</v>
      </c>
      <c r="K71" s="16" t="s">
        <v>744</v>
      </c>
      <c r="L71" s="16"/>
      <c r="M71" s="16"/>
      <c r="N71" s="16"/>
      <c r="O71" s="16"/>
      <c r="P71" s="17"/>
      <c r="Q71" s="17"/>
    </row>
    <row r="72" spans="1:17" ht="22.5" customHeight="1" thickTop="1" thickBot="1" x14ac:dyDescent="0.25">
      <c r="A72" s="16" t="e">
        <f>#REF!</f>
        <v>#REF!</v>
      </c>
      <c r="B72" s="16" t="e">
        <f>#REF!</f>
        <v>#REF!</v>
      </c>
      <c r="C72" s="16" t="e">
        <f>#REF!</f>
        <v>#REF!</v>
      </c>
      <c r="D72" s="16" t="e">
        <f>#REF!</f>
        <v>#REF!</v>
      </c>
      <c r="E72" s="16" t="e">
        <f>#REF!</f>
        <v>#REF!</v>
      </c>
      <c r="F72" s="16" t="e">
        <f>#REF!</f>
        <v>#REF!</v>
      </c>
      <c r="G72" s="16" t="e">
        <f>#REF!</f>
        <v>#REF!</v>
      </c>
      <c r="H72" s="16" t="e">
        <f>#REF!</f>
        <v>#REF!</v>
      </c>
      <c r="I72" s="16" t="e">
        <f>#REF!</f>
        <v>#REF!</v>
      </c>
      <c r="J72" s="16" t="e">
        <f>#REF!</f>
        <v>#REF!</v>
      </c>
      <c r="K72" s="16" t="s">
        <v>744</v>
      </c>
      <c r="L72" s="16"/>
      <c r="M72" s="16"/>
      <c r="N72" s="16"/>
      <c r="O72" s="16"/>
      <c r="P72" s="17"/>
      <c r="Q72" s="17"/>
    </row>
    <row r="73" spans="1:17" ht="22.5" customHeight="1" thickTop="1" thickBot="1" x14ac:dyDescent="0.25">
      <c r="A73" s="16" t="e">
        <f>#REF!</f>
        <v>#REF!</v>
      </c>
      <c r="B73" s="16" t="e">
        <f>#REF!</f>
        <v>#REF!</v>
      </c>
      <c r="C73" s="16" t="e">
        <f>#REF!</f>
        <v>#REF!</v>
      </c>
      <c r="D73" s="16" t="e">
        <f>#REF!</f>
        <v>#REF!</v>
      </c>
      <c r="E73" s="16" t="e">
        <f>#REF!</f>
        <v>#REF!</v>
      </c>
      <c r="F73" s="16" t="e">
        <f>#REF!</f>
        <v>#REF!</v>
      </c>
      <c r="G73" s="16" t="e">
        <f>#REF!</f>
        <v>#REF!</v>
      </c>
      <c r="H73" s="16" t="e">
        <f>#REF!</f>
        <v>#REF!</v>
      </c>
      <c r="I73" s="16" t="e">
        <f>#REF!</f>
        <v>#REF!</v>
      </c>
      <c r="J73" s="16" t="e">
        <f>#REF!</f>
        <v>#REF!</v>
      </c>
      <c r="K73" s="16" t="s">
        <v>744</v>
      </c>
      <c r="L73" s="16"/>
      <c r="M73" s="16"/>
      <c r="N73" s="16"/>
      <c r="O73" s="16"/>
      <c r="P73" s="17"/>
      <c r="Q73" s="17"/>
    </row>
    <row r="74" spans="1:17" ht="22.5" customHeight="1" thickTop="1" thickBot="1" x14ac:dyDescent="0.25">
      <c r="A74" s="16" t="e">
        <f>#REF!</f>
        <v>#REF!</v>
      </c>
      <c r="B74" s="16" t="e">
        <f>#REF!</f>
        <v>#REF!</v>
      </c>
      <c r="C74" s="16" t="e">
        <f>#REF!</f>
        <v>#REF!</v>
      </c>
      <c r="D74" s="16" t="e">
        <f>#REF!</f>
        <v>#REF!</v>
      </c>
      <c r="E74" s="16" t="e">
        <f>#REF!</f>
        <v>#REF!</v>
      </c>
      <c r="F74" s="16" t="e">
        <f>#REF!</f>
        <v>#REF!</v>
      </c>
      <c r="G74" s="16" t="e">
        <f>#REF!</f>
        <v>#REF!</v>
      </c>
      <c r="H74" s="16" t="e">
        <f>#REF!</f>
        <v>#REF!</v>
      </c>
      <c r="I74" s="16" t="e">
        <f>#REF!</f>
        <v>#REF!</v>
      </c>
      <c r="J74" s="16" t="e">
        <f>#REF!</f>
        <v>#REF!</v>
      </c>
      <c r="K74" s="16" t="s">
        <v>744</v>
      </c>
      <c r="L74" s="16"/>
      <c r="M74" s="16"/>
      <c r="N74" s="16"/>
      <c r="O74" s="16"/>
      <c r="P74" s="17"/>
      <c r="Q74" s="17"/>
    </row>
    <row r="75" spans="1:17" ht="22.5" customHeight="1" thickTop="1" thickBot="1" x14ac:dyDescent="0.25">
      <c r="A75" s="16" t="e">
        <f>#REF!</f>
        <v>#REF!</v>
      </c>
      <c r="B75" s="16" t="e">
        <f>#REF!</f>
        <v>#REF!</v>
      </c>
      <c r="C75" s="16" t="e">
        <f>#REF!</f>
        <v>#REF!</v>
      </c>
      <c r="D75" s="16" t="e">
        <f>#REF!</f>
        <v>#REF!</v>
      </c>
      <c r="E75" s="16" t="e">
        <f>#REF!</f>
        <v>#REF!</v>
      </c>
      <c r="F75" s="16" t="e">
        <f>#REF!</f>
        <v>#REF!</v>
      </c>
      <c r="G75" s="16" t="e">
        <f>#REF!</f>
        <v>#REF!</v>
      </c>
      <c r="H75" s="16" t="e">
        <f>#REF!</f>
        <v>#REF!</v>
      </c>
      <c r="I75" s="16" t="e">
        <f>#REF!</f>
        <v>#REF!</v>
      </c>
      <c r="J75" s="16" t="e">
        <f>#REF!</f>
        <v>#REF!</v>
      </c>
      <c r="K75" s="16" t="s">
        <v>744</v>
      </c>
      <c r="L75" s="16"/>
      <c r="M75" s="16"/>
      <c r="N75" s="16"/>
      <c r="O75" s="16"/>
      <c r="P75" s="20"/>
      <c r="Q75" s="20"/>
    </row>
    <row r="76" spans="1:17" ht="22.5" customHeight="1" thickTop="1" thickBot="1" x14ac:dyDescent="0.25">
      <c r="A76" s="16" t="e">
        <f>#REF!</f>
        <v>#REF!</v>
      </c>
      <c r="B76" s="16" t="e">
        <f>#REF!</f>
        <v>#REF!</v>
      </c>
      <c r="C76" s="16" t="e">
        <f>#REF!</f>
        <v>#REF!</v>
      </c>
      <c r="D76" s="16" t="e">
        <f>#REF!</f>
        <v>#REF!</v>
      </c>
      <c r="E76" s="16" t="e">
        <f>#REF!</f>
        <v>#REF!</v>
      </c>
      <c r="F76" s="16" t="e">
        <f>#REF!</f>
        <v>#REF!</v>
      </c>
      <c r="G76" s="16" t="e">
        <f>#REF!</f>
        <v>#REF!</v>
      </c>
      <c r="H76" s="16" t="e">
        <f>#REF!</f>
        <v>#REF!</v>
      </c>
      <c r="I76" s="16" t="e">
        <f>#REF!</f>
        <v>#REF!</v>
      </c>
      <c r="J76" s="16" t="e">
        <f>#REF!</f>
        <v>#REF!</v>
      </c>
      <c r="K76" s="16" t="s">
        <v>744</v>
      </c>
      <c r="L76" s="16"/>
      <c r="M76" s="16"/>
      <c r="N76" s="16"/>
      <c r="O76" s="16"/>
      <c r="P76" s="20"/>
      <c r="Q76" s="20"/>
    </row>
    <row r="77" spans="1:17" ht="22.5" customHeight="1" thickTop="1" thickBot="1" x14ac:dyDescent="0.25">
      <c r="A77" s="16" t="e">
        <f>#REF!</f>
        <v>#REF!</v>
      </c>
      <c r="B77" s="16" t="e">
        <f>#REF!</f>
        <v>#REF!</v>
      </c>
      <c r="C77" s="16" t="e">
        <f>#REF!</f>
        <v>#REF!</v>
      </c>
      <c r="D77" s="16" t="e">
        <f>#REF!</f>
        <v>#REF!</v>
      </c>
      <c r="E77" s="16" t="e">
        <f>#REF!</f>
        <v>#REF!</v>
      </c>
      <c r="F77" s="16" t="e">
        <f>#REF!</f>
        <v>#REF!</v>
      </c>
      <c r="G77" s="16" t="e">
        <f>#REF!</f>
        <v>#REF!</v>
      </c>
      <c r="H77" s="16" t="e">
        <f>#REF!</f>
        <v>#REF!</v>
      </c>
      <c r="I77" s="16" t="e">
        <f>#REF!</f>
        <v>#REF!</v>
      </c>
      <c r="J77" s="16" t="e">
        <f>#REF!</f>
        <v>#REF!</v>
      </c>
      <c r="K77" s="16" t="s">
        <v>744</v>
      </c>
      <c r="L77" s="16"/>
      <c r="M77" s="16"/>
      <c r="N77" s="16"/>
      <c r="O77" s="16"/>
      <c r="P77" s="17"/>
      <c r="Q77" s="17"/>
    </row>
    <row r="78" spans="1:17" ht="22.5" customHeight="1" thickTop="1" thickBot="1" x14ac:dyDescent="0.25">
      <c r="A78" s="16" t="e">
        <f>#REF!</f>
        <v>#REF!</v>
      </c>
      <c r="B78" s="16" t="e">
        <f>#REF!</f>
        <v>#REF!</v>
      </c>
      <c r="C78" s="16" t="e">
        <f>#REF!</f>
        <v>#REF!</v>
      </c>
      <c r="D78" s="16" t="e">
        <f>#REF!</f>
        <v>#REF!</v>
      </c>
      <c r="E78" s="16" t="e">
        <f>#REF!</f>
        <v>#REF!</v>
      </c>
      <c r="F78" s="16" t="e">
        <f>#REF!</f>
        <v>#REF!</v>
      </c>
      <c r="G78" s="16" t="e">
        <f>#REF!</f>
        <v>#REF!</v>
      </c>
      <c r="H78" s="16" t="e">
        <f>#REF!</f>
        <v>#REF!</v>
      </c>
      <c r="I78" s="16" t="e">
        <f>#REF!</f>
        <v>#REF!</v>
      </c>
      <c r="J78" s="16" t="e">
        <f>#REF!</f>
        <v>#REF!</v>
      </c>
      <c r="K78" s="16" t="s">
        <v>744</v>
      </c>
      <c r="L78" s="16"/>
      <c r="M78" s="16"/>
      <c r="N78" s="16"/>
      <c r="O78" s="16"/>
      <c r="P78" s="20"/>
      <c r="Q78" s="20"/>
    </row>
    <row r="79" spans="1:17" ht="22.5" customHeight="1" thickTop="1" thickBot="1" x14ac:dyDescent="0.25">
      <c r="A79" s="16" t="e">
        <f>#REF!</f>
        <v>#REF!</v>
      </c>
      <c r="B79" s="16" t="e">
        <f>#REF!</f>
        <v>#REF!</v>
      </c>
      <c r="C79" s="16" t="e">
        <f>#REF!</f>
        <v>#REF!</v>
      </c>
      <c r="D79" s="16" t="e">
        <f>#REF!</f>
        <v>#REF!</v>
      </c>
      <c r="E79" s="16" t="e">
        <f>#REF!</f>
        <v>#REF!</v>
      </c>
      <c r="F79" s="16" t="e">
        <f>#REF!</f>
        <v>#REF!</v>
      </c>
      <c r="G79" s="16" t="e">
        <f>#REF!</f>
        <v>#REF!</v>
      </c>
      <c r="H79" s="16" t="e">
        <f>#REF!</f>
        <v>#REF!</v>
      </c>
      <c r="I79" s="16" t="e">
        <f>#REF!</f>
        <v>#REF!</v>
      </c>
      <c r="J79" s="16" t="e">
        <f>#REF!</f>
        <v>#REF!</v>
      </c>
      <c r="K79" s="16" t="s">
        <v>744</v>
      </c>
      <c r="L79" s="16"/>
      <c r="M79" s="16"/>
      <c r="N79" s="16"/>
      <c r="O79" s="16"/>
      <c r="P79" s="17"/>
      <c r="Q79" s="17"/>
    </row>
    <row r="80" spans="1:17" ht="22.5" customHeight="1" thickTop="1" thickBot="1" x14ac:dyDescent="0.25">
      <c r="A80" s="16" t="e">
        <f>#REF!</f>
        <v>#REF!</v>
      </c>
      <c r="B80" s="16" t="e">
        <f>#REF!</f>
        <v>#REF!</v>
      </c>
      <c r="C80" s="16" t="e">
        <f>#REF!</f>
        <v>#REF!</v>
      </c>
      <c r="D80" s="16" t="e">
        <f>#REF!</f>
        <v>#REF!</v>
      </c>
      <c r="E80" s="16" t="e">
        <f>#REF!</f>
        <v>#REF!</v>
      </c>
      <c r="F80" s="16" t="e">
        <f>#REF!</f>
        <v>#REF!</v>
      </c>
      <c r="G80" s="16" t="e">
        <f>#REF!</f>
        <v>#REF!</v>
      </c>
      <c r="H80" s="16" t="e">
        <f>#REF!</f>
        <v>#REF!</v>
      </c>
      <c r="I80" s="16" t="e">
        <f>#REF!</f>
        <v>#REF!</v>
      </c>
      <c r="J80" s="16" t="e">
        <f>#REF!</f>
        <v>#REF!</v>
      </c>
      <c r="K80" s="16" t="s">
        <v>744</v>
      </c>
      <c r="L80" s="16"/>
      <c r="M80" s="16"/>
      <c r="N80" s="16"/>
      <c r="O80" s="16"/>
      <c r="P80" s="18"/>
      <c r="Q80" s="18"/>
    </row>
    <row r="81" spans="1:17" ht="22.5" customHeight="1" thickTop="1" thickBot="1" x14ac:dyDescent="0.25">
      <c r="A81" s="16" t="e">
        <f>#REF!</f>
        <v>#REF!</v>
      </c>
      <c r="B81" s="16" t="e">
        <f>#REF!</f>
        <v>#REF!</v>
      </c>
      <c r="C81" s="16" t="e">
        <f>#REF!</f>
        <v>#REF!</v>
      </c>
      <c r="D81" s="16" t="e">
        <f>#REF!</f>
        <v>#REF!</v>
      </c>
      <c r="E81" s="16" t="e">
        <f>#REF!</f>
        <v>#REF!</v>
      </c>
      <c r="F81" s="16" t="e">
        <f>#REF!</f>
        <v>#REF!</v>
      </c>
      <c r="G81" s="16" t="e">
        <f>#REF!</f>
        <v>#REF!</v>
      </c>
      <c r="H81" s="16" t="e">
        <f>#REF!</f>
        <v>#REF!</v>
      </c>
      <c r="I81" s="16" t="e">
        <f>#REF!</f>
        <v>#REF!</v>
      </c>
      <c r="J81" s="16" t="e">
        <f>#REF!</f>
        <v>#REF!</v>
      </c>
      <c r="K81" s="16" t="s">
        <v>744</v>
      </c>
      <c r="L81" s="16"/>
      <c r="M81" s="16"/>
      <c r="N81" s="16"/>
      <c r="O81" s="16"/>
      <c r="P81" s="18"/>
      <c r="Q81" s="18"/>
    </row>
    <row r="82" spans="1:17" ht="22.5" customHeight="1" thickTop="1" thickBot="1" x14ac:dyDescent="0.25">
      <c r="A82" s="16" t="e">
        <f>#REF!</f>
        <v>#REF!</v>
      </c>
      <c r="B82" s="16" t="e">
        <f>#REF!</f>
        <v>#REF!</v>
      </c>
      <c r="C82" s="16" t="e">
        <f>#REF!</f>
        <v>#REF!</v>
      </c>
      <c r="D82" s="16" t="e">
        <f>#REF!</f>
        <v>#REF!</v>
      </c>
      <c r="E82" s="16" t="e">
        <f>#REF!</f>
        <v>#REF!</v>
      </c>
      <c r="F82" s="16" t="e">
        <f>#REF!</f>
        <v>#REF!</v>
      </c>
      <c r="G82" s="16" t="e">
        <f>#REF!</f>
        <v>#REF!</v>
      </c>
      <c r="H82" s="16" t="e">
        <f>#REF!</f>
        <v>#REF!</v>
      </c>
      <c r="I82" s="16" t="e">
        <f>#REF!</f>
        <v>#REF!</v>
      </c>
      <c r="J82" s="16" t="e">
        <f>#REF!</f>
        <v>#REF!</v>
      </c>
      <c r="K82" s="16" t="s">
        <v>744</v>
      </c>
      <c r="L82" s="16"/>
      <c r="M82" s="16"/>
      <c r="N82" s="16"/>
      <c r="O82" s="16"/>
      <c r="P82" s="17"/>
      <c r="Q82" s="17"/>
    </row>
    <row r="83" spans="1:17" ht="22.5" customHeight="1" thickTop="1" thickBot="1" x14ac:dyDescent="0.25">
      <c r="A83" s="16" t="e">
        <f>#REF!</f>
        <v>#REF!</v>
      </c>
      <c r="B83" s="16" t="e">
        <f>#REF!</f>
        <v>#REF!</v>
      </c>
      <c r="C83" s="16" t="e">
        <f>#REF!</f>
        <v>#REF!</v>
      </c>
      <c r="D83" s="16" t="e">
        <f>#REF!</f>
        <v>#REF!</v>
      </c>
      <c r="E83" s="16" t="e">
        <f>#REF!</f>
        <v>#REF!</v>
      </c>
      <c r="F83" s="16" t="e">
        <f>#REF!</f>
        <v>#REF!</v>
      </c>
      <c r="G83" s="16" t="e">
        <f>#REF!</f>
        <v>#REF!</v>
      </c>
      <c r="H83" s="16" t="e">
        <f>#REF!</f>
        <v>#REF!</v>
      </c>
      <c r="I83" s="16" t="e">
        <f>#REF!</f>
        <v>#REF!</v>
      </c>
      <c r="J83" s="16" t="e">
        <f>#REF!</f>
        <v>#REF!</v>
      </c>
      <c r="K83" s="16" t="s">
        <v>744</v>
      </c>
      <c r="L83" s="16"/>
      <c r="M83" s="16"/>
      <c r="N83" s="16"/>
      <c r="O83" s="16"/>
      <c r="P83" s="17"/>
      <c r="Q83" s="17"/>
    </row>
    <row r="84" spans="1:17" ht="22.5" customHeight="1" thickTop="1" thickBot="1" x14ac:dyDescent="0.25">
      <c r="A84" s="16" t="e">
        <f>#REF!</f>
        <v>#REF!</v>
      </c>
      <c r="B84" s="16" t="e">
        <f>#REF!</f>
        <v>#REF!</v>
      </c>
      <c r="C84" s="16" t="e">
        <f>#REF!</f>
        <v>#REF!</v>
      </c>
      <c r="D84" s="16" t="e">
        <f>#REF!</f>
        <v>#REF!</v>
      </c>
      <c r="E84" s="16" t="e">
        <f>#REF!</f>
        <v>#REF!</v>
      </c>
      <c r="F84" s="16" t="e">
        <f>#REF!</f>
        <v>#REF!</v>
      </c>
      <c r="G84" s="16" t="e">
        <f>#REF!</f>
        <v>#REF!</v>
      </c>
      <c r="H84" s="16" t="e">
        <f>#REF!</f>
        <v>#REF!</v>
      </c>
      <c r="I84" s="16" t="e">
        <f>#REF!</f>
        <v>#REF!</v>
      </c>
      <c r="J84" s="16" t="e">
        <f>#REF!</f>
        <v>#REF!</v>
      </c>
      <c r="K84" s="16" t="s">
        <v>744</v>
      </c>
      <c r="L84" s="16"/>
      <c r="M84" s="16"/>
      <c r="N84" s="16"/>
      <c r="O84" s="16"/>
      <c r="P84" s="21"/>
      <c r="Q84" s="21"/>
    </row>
    <row r="85" spans="1:17" ht="22.5" customHeight="1" thickTop="1" thickBot="1" x14ac:dyDescent="0.25">
      <c r="A85" s="16" t="e">
        <f>#REF!</f>
        <v>#REF!</v>
      </c>
      <c r="B85" s="16" t="e">
        <f>#REF!</f>
        <v>#REF!</v>
      </c>
      <c r="C85" s="16" t="e">
        <f>#REF!</f>
        <v>#REF!</v>
      </c>
      <c r="D85" s="16" t="e">
        <f>#REF!</f>
        <v>#REF!</v>
      </c>
      <c r="E85" s="16" t="e">
        <f>#REF!</f>
        <v>#REF!</v>
      </c>
      <c r="F85" s="16" t="e">
        <f>#REF!</f>
        <v>#REF!</v>
      </c>
      <c r="G85" s="16" t="e">
        <f>#REF!</f>
        <v>#REF!</v>
      </c>
      <c r="H85" s="16" t="e">
        <f>#REF!</f>
        <v>#REF!</v>
      </c>
      <c r="I85" s="16" t="e">
        <f>#REF!</f>
        <v>#REF!</v>
      </c>
      <c r="J85" s="16" t="e">
        <f>#REF!</f>
        <v>#REF!</v>
      </c>
      <c r="K85" s="16" t="s">
        <v>744</v>
      </c>
      <c r="L85" s="16"/>
      <c r="M85" s="16"/>
      <c r="N85" s="16"/>
      <c r="O85" s="16"/>
      <c r="P85" s="22"/>
      <c r="Q85" s="22"/>
    </row>
    <row r="86" spans="1:17" ht="22.5" customHeight="1" thickTop="1" thickBot="1" x14ac:dyDescent="0.25">
      <c r="A86" s="16" t="e">
        <f>#REF!</f>
        <v>#REF!</v>
      </c>
      <c r="B86" s="16" t="e">
        <f>#REF!</f>
        <v>#REF!</v>
      </c>
      <c r="C86" s="16" t="e">
        <f>#REF!</f>
        <v>#REF!</v>
      </c>
      <c r="D86" s="16" t="e">
        <f>#REF!</f>
        <v>#REF!</v>
      </c>
      <c r="E86" s="16" t="e">
        <f>#REF!</f>
        <v>#REF!</v>
      </c>
      <c r="F86" s="16" t="e">
        <f>#REF!</f>
        <v>#REF!</v>
      </c>
      <c r="G86" s="16" t="e">
        <f>#REF!</f>
        <v>#REF!</v>
      </c>
      <c r="H86" s="16" t="e">
        <f>#REF!</f>
        <v>#REF!</v>
      </c>
      <c r="I86" s="16" t="e">
        <f>#REF!</f>
        <v>#REF!</v>
      </c>
      <c r="J86" s="16" t="e">
        <f>#REF!</f>
        <v>#REF!</v>
      </c>
      <c r="K86" s="16" t="s">
        <v>744</v>
      </c>
      <c r="L86" s="16"/>
      <c r="M86" s="16"/>
      <c r="N86" s="16"/>
      <c r="O86" s="16"/>
      <c r="P86" s="22"/>
      <c r="Q86" s="22"/>
    </row>
    <row r="87" spans="1:17" ht="22.5" customHeight="1" thickTop="1" thickBot="1" x14ac:dyDescent="0.25">
      <c r="A87" s="16" t="e">
        <f>#REF!</f>
        <v>#REF!</v>
      </c>
      <c r="B87" s="16" t="e">
        <f>#REF!</f>
        <v>#REF!</v>
      </c>
      <c r="C87" s="16" t="e">
        <f>#REF!</f>
        <v>#REF!</v>
      </c>
      <c r="D87" s="16" t="e">
        <f>#REF!</f>
        <v>#REF!</v>
      </c>
      <c r="E87" s="16" t="e">
        <f>#REF!</f>
        <v>#REF!</v>
      </c>
      <c r="F87" s="16" t="e">
        <f>#REF!</f>
        <v>#REF!</v>
      </c>
      <c r="G87" s="16" t="e">
        <f>#REF!</f>
        <v>#REF!</v>
      </c>
      <c r="H87" s="16" t="e">
        <f>#REF!</f>
        <v>#REF!</v>
      </c>
      <c r="I87" s="16" t="e">
        <f>#REF!</f>
        <v>#REF!</v>
      </c>
      <c r="J87" s="16" t="e">
        <f>#REF!</f>
        <v>#REF!</v>
      </c>
      <c r="K87" s="16" t="s">
        <v>744</v>
      </c>
      <c r="L87" s="16"/>
      <c r="M87" s="16"/>
      <c r="N87" s="16"/>
      <c r="O87" s="16"/>
      <c r="P87" s="22"/>
      <c r="Q87" s="22"/>
    </row>
    <row r="88" spans="1:17" ht="22.5" customHeight="1" thickTop="1" thickBot="1" x14ac:dyDescent="0.25">
      <c r="A88" s="16" t="e">
        <f>#REF!</f>
        <v>#REF!</v>
      </c>
      <c r="B88" s="16" t="e">
        <f>#REF!</f>
        <v>#REF!</v>
      </c>
      <c r="C88" s="16" t="e">
        <f>#REF!</f>
        <v>#REF!</v>
      </c>
      <c r="D88" s="16" t="e">
        <f>#REF!</f>
        <v>#REF!</v>
      </c>
      <c r="E88" s="16" t="e">
        <f>#REF!</f>
        <v>#REF!</v>
      </c>
      <c r="F88" s="16" t="e">
        <f>#REF!</f>
        <v>#REF!</v>
      </c>
      <c r="G88" s="16" t="e">
        <f>#REF!</f>
        <v>#REF!</v>
      </c>
      <c r="H88" s="16" t="e">
        <f>#REF!</f>
        <v>#REF!</v>
      </c>
      <c r="I88" s="16" t="e">
        <f>#REF!</f>
        <v>#REF!</v>
      </c>
      <c r="J88" s="16" t="e">
        <f>#REF!</f>
        <v>#REF!</v>
      </c>
      <c r="K88" s="16" t="s">
        <v>744</v>
      </c>
      <c r="L88" s="16"/>
      <c r="M88" s="16"/>
      <c r="N88" s="16"/>
      <c r="O88" s="16"/>
      <c r="P88" s="17"/>
      <c r="Q88" s="17"/>
    </row>
    <row r="89" spans="1:17" ht="22.5" customHeight="1" thickTop="1" thickBot="1" x14ac:dyDescent="0.25">
      <c r="A89" s="16" t="e">
        <f>#REF!</f>
        <v>#REF!</v>
      </c>
      <c r="B89" s="16" t="e">
        <f>#REF!</f>
        <v>#REF!</v>
      </c>
      <c r="C89" s="16" t="e">
        <f>#REF!</f>
        <v>#REF!</v>
      </c>
      <c r="D89" s="16" t="e">
        <f>#REF!</f>
        <v>#REF!</v>
      </c>
      <c r="E89" s="16" t="e">
        <f>#REF!</f>
        <v>#REF!</v>
      </c>
      <c r="F89" s="16" t="e">
        <f>#REF!</f>
        <v>#REF!</v>
      </c>
      <c r="G89" s="16" t="e">
        <f>#REF!</f>
        <v>#REF!</v>
      </c>
      <c r="H89" s="16" t="e">
        <f>#REF!</f>
        <v>#REF!</v>
      </c>
      <c r="I89" s="16" t="e">
        <f>#REF!</f>
        <v>#REF!</v>
      </c>
      <c r="J89" s="16" t="e">
        <f>#REF!</f>
        <v>#REF!</v>
      </c>
      <c r="K89" s="16" t="s">
        <v>744</v>
      </c>
      <c r="L89" s="16"/>
      <c r="M89" s="16"/>
      <c r="N89" s="16"/>
      <c r="O89" s="16"/>
      <c r="P89" s="21"/>
      <c r="Q89" s="21"/>
    </row>
    <row r="90" spans="1:17" ht="22.5" customHeight="1" thickTop="1" thickBot="1" x14ac:dyDescent="0.25">
      <c r="A90" s="16" t="e">
        <f>#REF!</f>
        <v>#REF!</v>
      </c>
      <c r="B90" s="16" t="e">
        <f>#REF!</f>
        <v>#REF!</v>
      </c>
      <c r="C90" s="16" t="e">
        <f>#REF!</f>
        <v>#REF!</v>
      </c>
      <c r="D90" s="16" t="e">
        <f>#REF!</f>
        <v>#REF!</v>
      </c>
      <c r="E90" s="16" t="e">
        <f>#REF!</f>
        <v>#REF!</v>
      </c>
      <c r="F90" s="16" t="e">
        <f>#REF!</f>
        <v>#REF!</v>
      </c>
      <c r="G90" s="16" t="e">
        <f>#REF!</f>
        <v>#REF!</v>
      </c>
      <c r="H90" s="16" t="e">
        <f>#REF!</f>
        <v>#REF!</v>
      </c>
      <c r="I90" s="16" t="e">
        <f>#REF!</f>
        <v>#REF!</v>
      </c>
      <c r="J90" s="16" t="e">
        <f>#REF!</f>
        <v>#REF!</v>
      </c>
      <c r="K90" s="16" t="s">
        <v>744</v>
      </c>
      <c r="L90" s="16"/>
      <c r="M90" s="16"/>
      <c r="N90" s="16"/>
      <c r="O90" s="16"/>
      <c r="P90" s="21"/>
      <c r="Q90" s="21"/>
    </row>
    <row r="91" spans="1:17" ht="22.5" customHeight="1" thickTop="1" thickBot="1" x14ac:dyDescent="0.25">
      <c r="A91" s="16" t="e">
        <f>#REF!</f>
        <v>#REF!</v>
      </c>
      <c r="B91" s="16" t="e">
        <f>#REF!</f>
        <v>#REF!</v>
      </c>
      <c r="C91" s="16" t="e">
        <f>#REF!</f>
        <v>#REF!</v>
      </c>
      <c r="D91" s="16" t="e">
        <f>#REF!</f>
        <v>#REF!</v>
      </c>
      <c r="E91" s="16" t="e">
        <f>#REF!</f>
        <v>#REF!</v>
      </c>
      <c r="F91" s="16" t="e">
        <f>#REF!</f>
        <v>#REF!</v>
      </c>
      <c r="G91" s="16" t="e">
        <f>#REF!</f>
        <v>#REF!</v>
      </c>
      <c r="H91" s="16" t="e">
        <f>#REF!</f>
        <v>#REF!</v>
      </c>
      <c r="I91" s="16" t="e">
        <f>#REF!</f>
        <v>#REF!</v>
      </c>
      <c r="J91" s="16" t="e">
        <f>#REF!</f>
        <v>#REF!</v>
      </c>
      <c r="K91" s="16" t="s">
        <v>744</v>
      </c>
      <c r="L91" s="16"/>
      <c r="M91" s="16"/>
      <c r="N91" s="16"/>
      <c r="O91" s="16"/>
      <c r="P91" s="21"/>
      <c r="Q91" s="21"/>
    </row>
    <row r="92" spans="1:17" ht="22.5" customHeight="1" thickTop="1" thickBot="1" x14ac:dyDescent="0.25">
      <c r="A92" s="16" t="e">
        <f>#REF!</f>
        <v>#REF!</v>
      </c>
      <c r="B92" s="16" t="e">
        <f>#REF!</f>
        <v>#REF!</v>
      </c>
      <c r="C92" s="16" t="e">
        <f>#REF!</f>
        <v>#REF!</v>
      </c>
      <c r="D92" s="16" t="e">
        <f>#REF!</f>
        <v>#REF!</v>
      </c>
      <c r="E92" s="16" t="e">
        <f>#REF!</f>
        <v>#REF!</v>
      </c>
      <c r="F92" s="16" t="e">
        <f>#REF!</f>
        <v>#REF!</v>
      </c>
      <c r="G92" s="16" t="e">
        <f>#REF!</f>
        <v>#REF!</v>
      </c>
      <c r="H92" s="16" t="e">
        <f>#REF!</f>
        <v>#REF!</v>
      </c>
      <c r="I92" s="16" t="e">
        <f>#REF!</f>
        <v>#REF!</v>
      </c>
      <c r="J92" s="16" t="e">
        <f>#REF!</f>
        <v>#REF!</v>
      </c>
      <c r="K92" s="16" t="s">
        <v>744</v>
      </c>
      <c r="L92" s="16"/>
      <c r="M92" s="16"/>
      <c r="N92" s="16"/>
      <c r="O92" s="16"/>
      <c r="P92" s="21"/>
      <c r="Q92" s="21"/>
    </row>
    <row r="93" spans="1:17" ht="22.5" customHeight="1" thickTop="1" thickBot="1" x14ac:dyDescent="0.25">
      <c r="A93" s="16" t="e">
        <f>#REF!</f>
        <v>#REF!</v>
      </c>
      <c r="B93" s="16" t="e">
        <f>#REF!</f>
        <v>#REF!</v>
      </c>
      <c r="C93" s="16" t="e">
        <f>#REF!</f>
        <v>#REF!</v>
      </c>
      <c r="D93" s="16" t="e">
        <f>#REF!</f>
        <v>#REF!</v>
      </c>
      <c r="E93" s="16" t="e">
        <f>#REF!</f>
        <v>#REF!</v>
      </c>
      <c r="F93" s="16" t="e">
        <f>#REF!</f>
        <v>#REF!</v>
      </c>
      <c r="G93" s="16" t="e">
        <f>#REF!</f>
        <v>#REF!</v>
      </c>
      <c r="H93" s="16" t="e">
        <f>#REF!</f>
        <v>#REF!</v>
      </c>
      <c r="I93" s="16" t="e">
        <f>#REF!</f>
        <v>#REF!</v>
      </c>
      <c r="J93" s="16" t="e">
        <f>#REF!</f>
        <v>#REF!</v>
      </c>
      <c r="K93" s="16" t="s">
        <v>744</v>
      </c>
      <c r="L93" s="16"/>
      <c r="M93" s="16"/>
      <c r="N93" s="16"/>
      <c r="O93" s="16"/>
      <c r="P93" s="21"/>
      <c r="Q93" s="21"/>
    </row>
    <row r="94" spans="1:17" ht="22.5" customHeight="1" thickTop="1" thickBot="1" x14ac:dyDescent="0.25">
      <c r="A94" s="16" t="e">
        <f>#REF!</f>
        <v>#REF!</v>
      </c>
      <c r="B94" s="16" t="e">
        <f>#REF!</f>
        <v>#REF!</v>
      </c>
      <c r="C94" s="16" t="e">
        <f>#REF!</f>
        <v>#REF!</v>
      </c>
      <c r="D94" s="16" t="e">
        <f>#REF!</f>
        <v>#REF!</v>
      </c>
      <c r="E94" s="16" t="e">
        <f>#REF!</f>
        <v>#REF!</v>
      </c>
      <c r="F94" s="16" t="e">
        <f>#REF!</f>
        <v>#REF!</v>
      </c>
      <c r="G94" s="16" t="e">
        <f>#REF!</f>
        <v>#REF!</v>
      </c>
      <c r="H94" s="16" t="e">
        <f>#REF!</f>
        <v>#REF!</v>
      </c>
      <c r="I94" s="16" t="e">
        <f>#REF!</f>
        <v>#REF!</v>
      </c>
      <c r="J94" s="16" t="e">
        <f>#REF!</f>
        <v>#REF!</v>
      </c>
      <c r="K94" s="16" t="s">
        <v>744</v>
      </c>
      <c r="L94" s="16"/>
      <c r="M94" s="16"/>
      <c r="N94" s="16"/>
      <c r="O94" s="16"/>
      <c r="P94" s="21"/>
      <c r="Q94" s="21"/>
    </row>
    <row r="95" spans="1:17" ht="22.5" customHeight="1" thickTop="1" thickBot="1" x14ac:dyDescent="0.25">
      <c r="A95" s="16" t="e">
        <f>#REF!</f>
        <v>#REF!</v>
      </c>
      <c r="B95" s="16" t="e">
        <f>#REF!</f>
        <v>#REF!</v>
      </c>
      <c r="C95" s="16" t="e">
        <f>#REF!</f>
        <v>#REF!</v>
      </c>
      <c r="D95" s="16" t="e">
        <f>#REF!</f>
        <v>#REF!</v>
      </c>
      <c r="E95" s="16" t="e">
        <f>#REF!</f>
        <v>#REF!</v>
      </c>
      <c r="F95" s="16" t="e">
        <f>#REF!</f>
        <v>#REF!</v>
      </c>
      <c r="G95" s="16" t="e">
        <f>#REF!</f>
        <v>#REF!</v>
      </c>
      <c r="H95" s="16" t="e">
        <f>#REF!</f>
        <v>#REF!</v>
      </c>
      <c r="I95" s="16" t="e">
        <f>#REF!</f>
        <v>#REF!</v>
      </c>
      <c r="J95" s="16" t="e">
        <f>#REF!</f>
        <v>#REF!</v>
      </c>
      <c r="K95" s="16" t="s">
        <v>744</v>
      </c>
      <c r="L95" s="16"/>
      <c r="M95" s="16"/>
      <c r="N95" s="16"/>
      <c r="O95" s="16"/>
      <c r="P95" s="21"/>
      <c r="Q95" s="21"/>
    </row>
    <row r="96" spans="1:17" ht="22.5" customHeight="1" thickTop="1" thickBot="1" x14ac:dyDescent="0.25">
      <c r="A96" s="16" t="e">
        <f>#REF!</f>
        <v>#REF!</v>
      </c>
      <c r="B96" s="16" t="e">
        <f>#REF!</f>
        <v>#REF!</v>
      </c>
      <c r="C96" s="16" t="e">
        <f>#REF!</f>
        <v>#REF!</v>
      </c>
      <c r="D96" s="16" t="e">
        <f>#REF!</f>
        <v>#REF!</v>
      </c>
      <c r="E96" s="16" t="e">
        <f>#REF!</f>
        <v>#REF!</v>
      </c>
      <c r="F96" s="16" t="e">
        <f>#REF!</f>
        <v>#REF!</v>
      </c>
      <c r="G96" s="16" t="e">
        <f>#REF!</f>
        <v>#REF!</v>
      </c>
      <c r="H96" s="16" t="e">
        <f>#REF!</f>
        <v>#REF!</v>
      </c>
      <c r="I96" s="16" t="e">
        <f>#REF!</f>
        <v>#REF!</v>
      </c>
      <c r="J96" s="16" t="e">
        <f>#REF!</f>
        <v>#REF!</v>
      </c>
      <c r="K96" s="16"/>
      <c r="L96" s="16"/>
      <c r="M96" s="16"/>
      <c r="N96" s="16"/>
      <c r="O96" s="16"/>
      <c r="P96" s="21"/>
      <c r="Q96" s="21"/>
    </row>
    <row r="97" spans="1:17" ht="22.5" customHeight="1" thickTop="1" thickBot="1" x14ac:dyDescent="0.25">
      <c r="A97" s="16" t="e">
        <f>#REF!</f>
        <v>#REF!</v>
      </c>
      <c r="B97" s="16" t="e">
        <f>#REF!</f>
        <v>#REF!</v>
      </c>
      <c r="C97" s="16" t="e">
        <f>#REF!</f>
        <v>#REF!</v>
      </c>
      <c r="D97" s="16" t="e">
        <f>#REF!</f>
        <v>#REF!</v>
      </c>
      <c r="E97" s="16" t="e">
        <f>#REF!</f>
        <v>#REF!</v>
      </c>
      <c r="F97" s="16" t="e">
        <f>#REF!</f>
        <v>#REF!</v>
      </c>
      <c r="G97" s="16" t="e">
        <f>#REF!</f>
        <v>#REF!</v>
      </c>
      <c r="H97" s="16" t="e">
        <f>#REF!</f>
        <v>#REF!</v>
      </c>
      <c r="I97" s="16" t="e">
        <f>#REF!</f>
        <v>#REF!</v>
      </c>
      <c r="J97" s="16" t="e">
        <f>#REF!</f>
        <v>#REF!</v>
      </c>
      <c r="K97" s="16"/>
      <c r="L97" s="16"/>
      <c r="M97" s="16"/>
      <c r="N97" s="16"/>
      <c r="O97" s="16"/>
      <c r="P97" s="21"/>
      <c r="Q97" s="21"/>
    </row>
    <row r="98" spans="1:17" ht="22.5" customHeight="1" thickTop="1" thickBot="1" x14ac:dyDescent="0.25">
      <c r="A98" s="16" t="e">
        <f>#REF!</f>
        <v>#REF!</v>
      </c>
      <c r="B98" s="16" t="e">
        <f>#REF!</f>
        <v>#REF!</v>
      </c>
      <c r="C98" s="16" t="e">
        <f>#REF!</f>
        <v>#REF!</v>
      </c>
      <c r="D98" s="16" t="e">
        <f>#REF!</f>
        <v>#REF!</v>
      </c>
      <c r="E98" s="16" t="e">
        <f>#REF!</f>
        <v>#REF!</v>
      </c>
      <c r="F98" s="16" t="e">
        <f>#REF!</f>
        <v>#REF!</v>
      </c>
      <c r="G98" s="16" t="e">
        <f>#REF!</f>
        <v>#REF!</v>
      </c>
      <c r="H98" s="16" t="e">
        <f>#REF!</f>
        <v>#REF!</v>
      </c>
      <c r="I98" s="16" t="e">
        <f>#REF!</f>
        <v>#REF!</v>
      </c>
      <c r="J98" s="16" t="e">
        <f>#REF!</f>
        <v>#REF!</v>
      </c>
      <c r="K98" s="16"/>
      <c r="L98" s="16"/>
      <c r="M98" s="16"/>
      <c r="N98" s="16"/>
      <c r="O98" s="16"/>
      <c r="P98" s="21"/>
      <c r="Q98" s="21"/>
    </row>
    <row r="99" spans="1:17" ht="22.5" customHeight="1" thickTop="1" thickBot="1" x14ac:dyDescent="0.25">
      <c r="A99" s="16" t="e">
        <f>#REF!</f>
        <v>#REF!</v>
      </c>
      <c r="B99" s="16" t="e">
        <f>#REF!</f>
        <v>#REF!</v>
      </c>
      <c r="C99" s="16" t="e">
        <f>#REF!</f>
        <v>#REF!</v>
      </c>
      <c r="D99" s="16" t="e">
        <f>#REF!</f>
        <v>#REF!</v>
      </c>
      <c r="E99" s="16" t="e">
        <f>#REF!</f>
        <v>#REF!</v>
      </c>
      <c r="F99" s="16" t="e">
        <f>#REF!</f>
        <v>#REF!</v>
      </c>
      <c r="G99" s="16" t="e">
        <f>#REF!</f>
        <v>#REF!</v>
      </c>
      <c r="H99" s="16" t="e">
        <f>#REF!</f>
        <v>#REF!</v>
      </c>
      <c r="I99" s="16" t="e">
        <f>#REF!</f>
        <v>#REF!</v>
      </c>
      <c r="J99" s="16" t="e">
        <f>#REF!</f>
        <v>#REF!</v>
      </c>
      <c r="K99" s="16"/>
      <c r="L99" s="16"/>
      <c r="M99" s="16"/>
      <c r="N99" s="16"/>
      <c r="O99" s="16"/>
      <c r="P99" s="21"/>
      <c r="Q99" s="21"/>
    </row>
    <row r="100" spans="1:17" ht="22.5" customHeight="1" thickTop="1" thickBot="1" x14ac:dyDescent="0.25">
      <c r="A100" s="16" t="e">
        <f>#REF!</f>
        <v>#REF!</v>
      </c>
      <c r="B100" s="16" t="e">
        <f>#REF!</f>
        <v>#REF!</v>
      </c>
      <c r="C100" s="16" t="e">
        <f>#REF!</f>
        <v>#REF!</v>
      </c>
      <c r="D100" s="16" t="e">
        <f>#REF!</f>
        <v>#REF!</v>
      </c>
      <c r="E100" s="16" t="e">
        <f>#REF!</f>
        <v>#REF!</v>
      </c>
      <c r="F100" s="16" t="e">
        <f>#REF!</f>
        <v>#REF!</v>
      </c>
      <c r="G100" s="16" t="e">
        <f>#REF!</f>
        <v>#REF!</v>
      </c>
      <c r="H100" s="16" t="e">
        <f>#REF!</f>
        <v>#REF!</v>
      </c>
      <c r="I100" s="16" t="e">
        <f>#REF!</f>
        <v>#REF!</v>
      </c>
      <c r="J100" s="16" t="e">
        <f>#REF!</f>
        <v>#REF!</v>
      </c>
      <c r="K100" s="16"/>
      <c r="L100" s="16"/>
      <c r="M100" s="16"/>
      <c r="N100" s="16"/>
      <c r="O100" s="16"/>
      <c r="P100" s="22"/>
      <c r="Q100" s="22"/>
    </row>
    <row r="101" spans="1:17" ht="22.5" customHeight="1" thickTop="1" thickBot="1" x14ac:dyDescent="0.25">
      <c r="A101" s="16" t="e">
        <f>#REF!</f>
        <v>#REF!</v>
      </c>
      <c r="B101" s="16" t="e">
        <f>#REF!</f>
        <v>#REF!</v>
      </c>
      <c r="C101" s="16" t="e">
        <f>#REF!</f>
        <v>#REF!</v>
      </c>
      <c r="D101" s="16" t="e">
        <f>#REF!</f>
        <v>#REF!</v>
      </c>
      <c r="E101" s="16" t="e">
        <f>#REF!</f>
        <v>#REF!</v>
      </c>
      <c r="F101" s="16" t="e">
        <f>#REF!</f>
        <v>#REF!</v>
      </c>
      <c r="G101" s="16" t="e">
        <f>#REF!</f>
        <v>#REF!</v>
      </c>
      <c r="H101" s="16" t="e">
        <f>#REF!</f>
        <v>#REF!</v>
      </c>
      <c r="I101" s="16" t="e">
        <f>#REF!</f>
        <v>#REF!</v>
      </c>
      <c r="J101" s="16" t="e">
        <f>#REF!</f>
        <v>#REF!</v>
      </c>
      <c r="K101" s="16"/>
      <c r="L101" s="16"/>
      <c r="M101" s="16"/>
      <c r="N101" s="16"/>
      <c r="O101" s="16"/>
      <c r="P101" s="21"/>
      <c r="Q101" s="21"/>
    </row>
    <row r="102" spans="1:17" ht="22.5" customHeight="1" thickTop="1" thickBot="1" x14ac:dyDescent="0.25">
      <c r="A102" s="16" t="e">
        <f>#REF!</f>
        <v>#REF!</v>
      </c>
      <c r="B102" s="16" t="e">
        <f>#REF!</f>
        <v>#REF!</v>
      </c>
      <c r="C102" s="16" t="e">
        <f>#REF!</f>
        <v>#REF!</v>
      </c>
      <c r="D102" s="16" t="e">
        <f>#REF!</f>
        <v>#REF!</v>
      </c>
      <c r="E102" s="16" t="e">
        <f>#REF!</f>
        <v>#REF!</v>
      </c>
      <c r="F102" s="16" t="e">
        <f>#REF!</f>
        <v>#REF!</v>
      </c>
      <c r="G102" s="16" t="e">
        <f>#REF!</f>
        <v>#REF!</v>
      </c>
      <c r="H102" s="16" t="e">
        <f>#REF!</f>
        <v>#REF!</v>
      </c>
      <c r="I102" s="16" t="e">
        <f>#REF!</f>
        <v>#REF!</v>
      </c>
      <c r="J102" s="16" t="e">
        <f>#REF!</f>
        <v>#REF!</v>
      </c>
      <c r="K102" s="16" t="s">
        <v>744</v>
      </c>
      <c r="L102" s="16"/>
      <c r="M102" s="16"/>
      <c r="N102" s="16"/>
      <c r="O102" s="16"/>
      <c r="P102" s="17"/>
      <c r="Q102" s="17"/>
    </row>
    <row r="103" spans="1:17" ht="22.5" customHeight="1" thickTop="1" thickBot="1" x14ac:dyDescent="0.25">
      <c r="A103" s="16" t="e">
        <f>#REF!</f>
        <v>#REF!</v>
      </c>
      <c r="B103" s="16" t="e">
        <f>#REF!</f>
        <v>#REF!</v>
      </c>
      <c r="C103" s="16" t="e">
        <f>#REF!</f>
        <v>#REF!</v>
      </c>
      <c r="D103" s="16" t="e">
        <f>#REF!</f>
        <v>#REF!</v>
      </c>
      <c r="E103" s="16" t="e">
        <f>#REF!</f>
        <v>#REF!</v>
      </c>
      <c r="F103" s="16" t="e">
        <f>#REF!</f>
        <v>#REF!</v>
      </c>
      <c r="G103" s="16" t="e">
        <f>#REF!</f>
        <v>#REF!</v>
      </c>
      <c r="H103" s="16" t="e">
        <f>#REF!</f>
        <v>#REF!</v>
      </c>
      <c r="I103" s="16" t="e">
        <f>#REF!</f>
        <v>#REF!</v>
      </c>
      <c r="J103" s="16" t="e">
        <f>#REF!</f>
        <v>#REF!</v>
      </c>
      <c r="K103" s="16" t="s">
        <v>744</v>
      </c>
      <c r="L103" s="16"/>
      <c r="M103" s="16"/>
      <c r="N103" s="16"/>
      <c r="O103" s="16"/>
      <c r="P103" s="17"/>
      <c r="Q103" s="17"/>
    </row>
    <row r="104" spans="1:17" ht="22.5" customHeight="1" thickTop="1" thickBot="1" x14ac:dyDescent="0.25">
      <c r="A104" s="16" t="e">
        <f>#REF!</f>
        <v>#REF!</v>
      </c>
      <c r="B104" s="16" t="e">
        <f>#REF!</f>
        <v>#REF!</v>
      </c>
      <c r="C104" s="16" t="e">
        <f>#REF!</f>
        <v>#REF!</v>
      </c>
      <c r="D104" s="16" t="e">
        <f>#REF!</f>
        <v>#REF!</v>
      </c>
      <c r="E104" s="16" t="e">
        <f>#REF!</f>
        <v>#REF!</v>
      </c>
      <c r="F104" s="16" t="e">
        <f>#REF!</f>
        <v>#REF!</v>
      </c>
      <c r="G104" s="16" t="e">
        <f>#REF!</f>
        <v>#REF!</v>
      </c>
      <c r="H104" s="16" t="e">
        <f>#REF!</f>
        <v>#REF!</v>
      </c>
      <c r="I104" s="16" t="e">
        <f>#REF!</f>
        <v>#REF!</v>
      </c>
      <c r="J104" s="16" t="e">
        <f>#REF!</f>
        <v>#REF!</v>
      </c>
      <c r="K104" s="16"/>
      <c r="L104" s="16"/>
      <c r="M104" s="16"/>
      <c r="N104" s="16"/>
      <c r="O104" s="16"/>
      <c r="P104" s="21"/>
      <c r="Q104" s="21"/>
    </row>
    <row r="105" spans="1:17" ht="22.5" customHeight="1" thickTop="1" thickBot="1" x14ac:dyDescent="0.25">
      <c r="A105" s="16" t="e">
        <f>#REF!</f>
        <v>#REF!</v>
      </c>
      <c r="B105" s="16" t="e">
        <f>#REF!</f>
        <v>#REF!</v>
      </c>
      <c r="C105" s="16" t="e">
        <f>#REF!</f>
        <v>#REF!</v>
      </c>
      <c r="D105" s="16" t="e">
        <f>#REF!</f>
        <v>#REF!</v>
      </c>
      <c r="E105" s="16" t="e">
        <f>#REF!</f>
        <v>#REF!</v>
      </c>
      <c r="F105" s="16" t="e">
        <f>#REF!</f>
        <v>#REF!</v>
      </c>
      <c r="G105" s="16" t="e">
        <f>#REF!</f>
        <v>#REF!</v>
      </c>
      <c r="H105" s="16" t="e">
        <f>#REF!</f>
        <v>#REF!</v>
      </c>
      <c r="I105" s="16" t="e">
        <f>#REF!</f>
        <v>#REF!</v>
      </c>
      <c r="J105" s="16" t="e">
        <f>#REF!</f>
        <v>#REF!</v>
      </c>
      <c r="K105" s="16"/>
      <c r="L105" s="16"/>
      <c r="M105" s="16"/>
      <c r="N105" s="16"/>
      <c r="O105" s="16"/>
      <c r="P105" s="22"/>
      <c r="Q105" s="22"/>
    </row>
    <row r="106" spans="1:17" ht="22.5" customHeight="1" thickTop="1" thickBot="1" x14ac:dyDescent="0.25">
      <c r="A106" s="16" t="e">
        <f>#REF!</f>
        <v>#REF!</v>
      </c>
      <c r="B106" s="16" t="e">
        <f>#REF!</f>
        <v>#REF!</v>
      </c>
      <c r="C106" s="16" t="e">
        <f>#REF!</f>
        <v>#REF!</v>
      </c>
      <c r="D106" s="16" t="e">
        <f>#REF!</f>
        <v>#REF!</v>
      </c>
      <c r="E106" s="16" t="e">
        <f>#REF!</f>
        <v>#REF!</v>
      </c>
      <c r="F106" s="16" t="e">
        <f>#REF!</f>
        <v>#REF!</v>
      </c>
      <c r="G106" s="16" t="e">
        <f>#REF!</f>
        <v>#REF!</v>
      </c>
      <c r="H106" s="16" t="e">
        <f>#REF!</f>
        <v>#REF!</v>
      </c>
      <c r="I106" s="16" t="e">
        <f>#REF!</f>
        <v>#REF!</v>
      </c>
      <c r="J106" s="16" t="e">
        <f>#REF!</f>
        <v>#REF!</v>
      </c>
      <c r="K106" s="16"/>
      <c r="L106" s="16"/>
      <c r="M106" s="16"/>
      <c r="N106" s="16"/>
      <c r="O106" s="16"/>
      <c r="P106" s="17"/>
      <c r="Q106" s="17"/>
    </row>
    <row r="107" spans="1:17" ht="22.5" customHeight="1" thickTop="1" thickBot="1" x14ac:dyDescent="0.25">
      <c r="A107" s="16" t="e">
        <f>#REF!</f>
        <v>#REF!</v>
      </c>
      <c r="B107" s="16" t="e">
        <f>#REF!</f>
        <v>#REF!</v>
      </c>
      <c r="C107" s="16" t="e">
        <f>#REF!</f>
        <v>#REF!</v>
      </c>
      <c r="D107" s="16" t="e">
        <f>#REF!</f>
        <v>#REF!</v>
      </c>
      <c r="E107" s="16" t="e">
        <f>#REF!</f>
        <v>#REF!</v>
      </c>
      <c r="F107" s="16" t="e">
        <f>#REF!</f>
        <v>#REF!</v>
      </c>
      <c r="G107" s="16" t="e">
        <f>#REF!</f>
        <v>#REF!</v>
      </c>
      <c r="H107" s="16" t="e">
        <f>#REF!</f>
        <v>#REF!</v>
      </c>
      <c r="I107" s="16" t="e">
        <f>#REF!</f>
        <v>#REF!</v>
      </c>
      <c r="J107" s="16" t="e">
        <f>#REF!</f>
        <v>#REF!</v>
      </c>
      <c r="K107" s="16" t="s">
        <v>744</v>
      </c>
      <c r="L107" s="16"/>
      <c r="M107" s="16"/>
      <c r="N107" s="16"/>
      <c r="O107" s="16"/>
      <c r="P107" s="17"/>
      <c r="Q107" s="17"/>
    </row>
    <row r="108" spans="1:17" ht="22.5" customHeight="1" thickTop="1" thickBot="1" x14ac:dyDescent="0.25">
      <c r="A108" s="16" t="e">
        <f>#REF!</f>
        <v>#REF!</v>
      </c>
      <c r="B108" s="16" t="e">
        <f>#REF!</f>
        <v>#REF!</v>
      </c>
      <c r="C108" s="16" t="e">
        <f>#REF!</f>
        <v>#REF!</v>
      </c>
      <c r="D108" s="16" t="e">
        <f>#REF!</f>
        <v>#REF!</v>
      </c>
      <c r="E108" s="16" t="e">
        <f>#REF!</f>
        <v>#REF!</v>
      </c>
      <c r="F108" s="16" t="e">
        <f>#REF!</f>
        <v>#REF!</v>
      </c>
      <c r="G108" s="16" t="e">
        <f>#REF!</f>
        <v>#REF!</v>
      </c>
      <c r="H108" s="16" t="e">
        <f>#REF!</f>
        <v>#REF!</v>
      </c>
      <c r="I108" s="16" t="e">
        <f>#REF!</f>
        <v>#REF!</v>
      </c>
      <c r="J108" s="16" t="e">
        <f>#REF!</f>
        <v>#REF!</v>
      </c>
      <c r="K108" s="16" t="s">
        <v>744</v>
      </c>
      <c r="L108" s="16"/>
      <c r="M108" s="16"/>
      <c r="N108" s="16"/>
      <c r="O108" s="16"/>
      <c r="P108" s="17"/>
      <c r="Q108" s="17"/>
    </row>
    <row r="109" spans="1:17" ht="22.5" customHeight="1" thickTop="1" thickBot="1" x14ac:dyDescent="0.25">
      <c r="A109" s="16" t="e">
        <f>#REF!</f>
        <v>#REF!</v>
      </c>
      <c r="B109" s="16" t="e">
        <f>#REF!</f>
        <v>#REF!</v>
      </c>
      <c r="C109" s="16" t="e">
        <f>#REF!</f>
        <v>#REF!</v>
      </c>
      <c r="D109" s="16" t="e">
        <f>#REF!</f>
        <v>#REF!</v>
      </c>
      <c r="E109" s="16" t="e">
        <f>#REF!</f>
        <v>#REF!</v>
      </c>
      <c r="F109" s="16" t="e">
        <f>#REF!</f>
        <v>#REF!</v>
      </c>
      <c r="G109" s="16" t="e">
        <f>#REF!</f>
        <v>#REF!</v>
      </c>
      <c r="H109" s="16" t="e">
        <f>#REF!</f>
        <v>#REF!</v>
      </c>
      <c r="I109" s="16" t="e">
        <f>#REF!</f>
        <v>#REF!</v>
      </c>
      <c r="J109" s="16" t="e">
        <f>#REF!</f>
        <v>#REF!</v>
      </c>
      <c r="K109" s="16" t="s">
        <v>744</v>
      </c>
      <c r="L109" s="16"/>
      <c r="M109" s="16"/>
      <c r="N109" s="16"/>
      <c r="O109" s="16"/>
      <c r="P109" s="17"/>
      <c r="Q109" s="17"/>
    </row>
    <row r="110" spans="1:17" ht="22.5" customHeight="1" thickTop="1" thickBot="1" x14ac:dyDescent="0.25">
      <c r="A110" s="16" t="e">
        <f>#REF!</f>
        <v>#REF!</v>
      </c>
      <c r="B110" s="16" t="e">
        <f>#REF!</f>
        <v>#REF!</v>
      </c>
      <c r="C110" s="16" t="e">
        <f>#REF!</f>
        <v>#REF!</v>
      </c>
      <c r="D110" s="16" t="e">
        <f>#REF!</f>
        <v>#REF!</v>
      </c>
      <c r="E110" s="16" t="e">
        <f>#REF!</f>
        <v>#REF!</v>
      </c>
      <c r="F110" s="16" t="e">
        <f>#REF!</f>
        <v>#REF!</v>
      </c>
      <c r="G110" s="16" t="e">
        <f>#REF!</f>
        <v>#REF!</v>
      </c>
      <c r="H110" s="16" t="e">
        <f>#REF!</f>
        <v>#REF!</v>
      </c>
      <c r="I110" s="16" t="e">
        <f>#REF!</f>
        <v>#REF!</v>
      </c>
      <c r="J110" s="16" t="e">
        <f>#REF!</f>
        <v>#REF!</v>
      </c>
      <c r="K110" s="16" t="s">
        <v>744</v>
      </c>
      <c r="L110" s="16"/>
      <c r="M110" s="16"/>
      <c r="N110" s="16"/>
      <c r="O110" s="16"/>
      <c r="P110" s="17"/>
      <c r="Q110" s="17"/>
    </row>
    <row r="111" spans="1:17" ht="22.5" customHeight="1" thickTop="1" thickBot="1" x14ac:dyDescent="0.25">
      <c r="A111" s="16" t="e">
        <f>#REF!</f>
        <v>#REF!</v>
      </c>
      <c r="B111" s="16" t="e">
        <f>#REF!</f>
        <v>#REF!</v>
      </c>
      <c r="C111" s="16" t="e">
        <f>#REF!</f>
        <v>#REF!</v>
      </c>
      <c r="D111" s="16" t="e">
        <f>#REF!</f>
        <v>#REF!</v>
      </c>
      <c r="E111" s="16" t="e">
        <f>#REF!</f>
        <v>#REF!</v>
      </c>
      <c r="F111" s="16" t="e">
        <f>#REF!</f>
        <v>#REF!</v>
      </c>
      <c r="G111" s="16" t="e">
        <f>#REF!</f>
        <v>#REF!</v>
      </c>
      <c r="H111" s="16" t="e">
        <f>#REF!</f>
        <v>#REF!</v>
      </c>
      <c r="I111" s="16" t="e">
        <f>#REF!</f>
        <v>#REF!</v>
      </c>
      <c r="J111" s="16" t="e">
        <f>#REF!</f>
        <v>#REF!</v>
      </c>
      <c r="K111" s="16" t="s">
        <v>744</v>
      </c>
      <c r="L111" s="16"/>
      <c r="M111" s="16"/>
      <c r="N111" s="16"/>
      <c r="O111" s="16"/>
      <c r="P111" s="17"/>
      <c r="Q111" s="17"/>
    </row>
    <row r="112" spans="1:17" ht="22.5" customHeight="1" thickTop="1" thickBot="1" x14ac:dyDescent="0.25">
      <c r="A112" s="16" t="e">
        <f>#REF!</f>
        <v>#REF!</v>
      </c>
      <c r="B112" s="16" t="e">
        <f>#REF!</f>
        <v>#REF!</v>
      </c>
      <c r="C112" s="16" t="e">
        <f>#REF!</f>
        <v>#REF!</v>
      </c>
      <c r="D112" s="16" t="e">
        <f>#REF!</f>
        <v>#REF!</v>
      </c>
      <c r="E112" s="16" t="e">
        <f>#REF!</f>
        <v>#REF!</v>
      </c>
      <c r="F112" s="16" t="e">
        <f>#REF!</f>
        <v>#REF!</v>
      </c>
      <c r="G112" s="16" t="e">
        <f>#REF!</f>
        <v>#REF!</v>
      </c>
      <c r="H112" s="16" t="e">
        <f>#REF!</f>
        <v>#REF!</v>
      </c>
      <c r="I112" s="16" t="e">
        <f>#REF!</f>
        <v>#REF!</v>
      </c>
      <c r="J112" s="16" t="e">
        <f>#REF!</f>
        <v>#REF!</v>
      </c>
      <c r="K112" s="16" t="s">
        <v>744</v>
      </c>
      <c r="L112" s="16"/>
      <c r="M112" s="16"/>
      <c r="N112" s="16"/>
      <c r="O112" s="16"/>
      <c r="P112" s="17"/>
      <c r="Q112" s="17"/>
    </row>
    <row r="113" spans="1:17" ht="22.5" customHeight="1" thickTop="1" thickBot="1" x14ac:dyDescent="0.25">
      <c r="A113" s="16" t="e">
        <f>#REF!</f>
        <v>#REF!</v>
      </c>
      <c r="B113" s="16" t="e">
        <f>#REF!</f>
        <v>#REF!</v>
      </c>
      <c r="C113" s="16" t="e">
        <f>#REF!</f>
        <v>#REF!</v>
      </c>
      <c r="D113" s="16" t="e">
        <f>#REF!</f>
        <v>#REF!</v>
      </c>
      <c r="E113" s="16" t="e">
        <f>#REF!</f>
        <v>#REF!</v>
      </c>
      <c r="F113" s="16" t="e">
        <f>#REF!</f>
        <v>#REF!</v>
      </c>
      <c r="G113" s="16" t="e">
        <f>#REF!</f>
        <v>#REF!</v>
      </c>
      <c r="H113" s="16" t="e">
        <f>#REF!</f>
        <v>#REF!</v>
      </c>
      <c r="I113" s="16" t="e">
        <f>#REF!</f>
        <v>#REF!</v>
      </c>
      <c r="J113" s="16" t="e">
        <f>#REF!</f>
        <v>#REF!</v>
      </c>
      <c r="K113" s="16" t="s">
        <v>744</v>
      </c>
      <c r="L113" s="16"/>
      <c r="M113" s="16"/>
      <c r="N113" s="16"/>
      <c r="O113" s="16"/>
      <c r="P113" s="19"/>
      <c r="Q113" s="19"/>
    </row>
    <row r="114" spans="1:17" ht="22.5" customHeight="1" thickTop="1" thickBot="1" x14ac:dyDescent="0.25">
      <c r="A114" s="16" t="e">
        <f>#REF!</f>
        <v>#REF!</v>
      </c>
      <c r="B114" s="16" t="e">
        <f>#REF!</f>
        <v>#REF!</v>
      </c>
      <c r="C114" s="16" t="e">
        <f>#REF!</f>
        <v>#REF!</v>
      </c>
      <c r="D114" s="16" t="e">
        <f>#REF!</f>
        <v>#REF!</v>
      </c>
      <c r="E114" s="16" t="e">
        <f>#REF!</f>
        <v>#REF!</v>
      </c>
      <c r="F114" s="16" t="e">
        <f>#REF!</f>
        <v>#REF!</v>
      </c>
      <c r="G114" s="16" t="e">
        <f>#REF!</f>
        <v>#REF!</v>
      </c>
      <c r="H114" s="16" t="e">
        <f>#REF!</f>
        <v>#REF!</v>
      </c>
      <c r="I114" s="16" t="e">
        <f>#REF!</f>
        <v>#REF!</v>
      </c>
      <c r="J114" s="16" t="e">
        <f>#REF!</f>
        <v>#REF!</v>
      </c>
      <c r="K114" s="16" t="s">
        <v>744</v>
      </c>
      <c r="L114" s="16"/>
      <c r="M114" s="16"/>
      <c r="N114" s="16"/>
      <c r="O114" s="16"/>
      <c r="P114" s="19"/>
      <c r="Q114" s="19"/>
    </row>
    <row r="115" spans="1:17" ht="22.5" customHeight="1" thickTop="1" thickBot="1" x14ac:dyDescent="0.25">
      <c r="A115" s="16" t="e">
        <f>#REF!</f>
        <v>#REF!</v>
      </c>
      <c r="B115" s="16" t="e">
        <f>#REF!</f>
        <v>#REF!</v>
      </c>
      <c r="C115" s="16" t="e">
        <f>#REF!</f>
        <v>#REF!</v>
      </c>
      <c r="D115" s="16" t="e">
        <f>#REF!</f>
        <v>#REF!</v>
      </c>
      <c r="E115" s="16" t="e">
        <f>#REF!</f>
        <v>#REF!</v>
      </c>
      <c r="F115" s="16" t="e">
        <f>#REF!</f>
        <v>#REF!</v>
      </c>
      <c r="G115" s="16" t="e">
        <f>#REF!</f>
        <v>#REF!</v>
      </c>
      <c r="H115" s="16" t="e">
        <f>#REF!</f>
        <v>#REF!</v>
      </c>
      <c r="I115" s="16" t="e">
        <f>#REF!</f>
        <v>#REF!</v>
      </c>
      <c r="J115" s="16" t="e">
        <f>#REF!</f>
        <v>#REF!</v>
      </c>
      <c r="K115" s="16"/>
      <c r="L115" s="16"/>
      <c r="M115" s="16"/>
      <c r="N115" s="16"/>
      <c r="O115" s="16"/>
      <c r="P115" s="17"/>
      <c r="Q115" s="17"/>
    </row>
    <row r="116" spans="1:17" ht="22.5" customHeight="1" thickTop="1" thickBot="1" x14ac:dyDescent="0.25">
      <c r="A116" s="16" t="e">
        <f>#REF!</f>
        <v>#REF!</v>
      </c>
      <c r="B116" s="16" t="e">
        <f>#REF!</f>
        <v>#REF!</v>
      </c>
      <c r="C116" s="16" t="e">
        <f>#REF!</f>
        <v>#REF!</v>
      </c>
      <c r="D116" s="16" t="e">
        <f>#REF!</f>
        <v>#REF!</v>
      </c>
      <c r="E116" s="16" t="e">
        <f>#REF!</f>
        <v>#REF!</v>
      </c>
      <c r="F116" s="16" t="e">
        <f>#REF!</f>
        <v>#REF!</v>
      </c>
      <c r="G116" s="16" t="e">
        <f>#REF!</f>
        <v>#REF!</v>
      </c>
      <c r="H116" s="16" t="e">
        <f>#REF!</f>
        <v>#REF!</v>
      </c>
      <c r="I116" s="16" t="e">
        <f>#REF!</f>
        <v>#REF!</v>
      </c>
      <c r="J116" s="16" t="e">
        <f>#REF!</f>
        <v>#REF!</v>
      </c>
      <c r="K116" s="16"/>
      <c r="L116" s="16"/>
      <c r="M116" s="16"/>
      <c r="N116" s="16"/>
      <c r="O116" s="16"/>
      <c r="P116" s="22"/>
      <c r="Q116" s="22"/>
    </row>
    <row r="117" spans="1:17" ht="22.5" customHeight="1" thickTop="1" thickBot="1" x14ac:dyDescent="0.25">
      <c r="A117" s="16" t="e">
        <f>#REF!</f>
        <v>#REF!</v>
      </c>
      <c r="B117" s="16" t="e">
        <f>#REF!</f>
        <v>#REF!</v>
      </c>
      <c r="C117" s="16" t="e">
        <f>#REF!</f>
        <v>#REF!</v>
      </c>
      <c r="D117" s="16" t="e">
        <f>#REF!</f>
        <v>#REF!</v>
      </c>
      <c r="E117" s="16" t="e">
        <f>#REF!</f>
        <v>#REF!</v>
      </c>
      <c r="F117" s="16" t="e">
        <f>#REF!</f>
        <v>#REF!</v>
      </c>
      <c r="G117" s="16" t="e">
        <f>#REF!</f>
        <v>#REF!</v>
      </c>
      <c r="H117" s="16" t="e">
        <f>#REF!</f>
        <v>#REF!</v>
      </c>
      <c r="I117" s="16" t="e">
        <f>#REF!</f>
        <v>#REF!</v>
      </c>
      <c r="J117" s="16" t="e">
        <f>#REF!</f>
        <v>#REF!</v>
      </c>
      <c r="K117" s="16"/>
      <c r="L117" s="16"/>
      <c r="M117" s="16"/>
      <c r="N117" s="16"/>
      <c r="O117" s="16"/>
      <c r="P117" s="22"/>
      <c r="Q117" s="22"/>
    </row>
    <row r="118" spans="1:17" ht="22.5" customHeight="1" thickTop="1" thickBot="1" x14ac:dyDescent="0.25">
      <c r="A118" s="16" t="e">
        <f>#REF!</f>
        <v>#REF!</v>
      </c>
      <c r="B118" s="16" t="e">
        <f>#REF!</f>
        <v>#REF!</v>
      </c>
      <c r="C118" s="16" t="e">
        <f>#REF!</f>
        <v>#REF!</v>
      </c>
      <c r="D118" s="16" t="e">
        <f>#REF!</f>
        <v>#REF!</v>
      </c>
      <c r="E118" s="16" t="e">
        <f>#REF!</f>
        <v>#REF!</v>
      </c>
      <c r="F118" s="16" t="e">
        <f>#REF!</f>
        <v>#REF!</v>
      </c>
      <c r="G118" s="16" t="e">
        <f>#REF!</f>
        <v>#REF!</v>
      </c>
      <c r="H118" s="16" t="e">
        <f>#REF!</f>
        <v>#REF!</v>
      </c>
      <c r="I118" s="16" t="e">
        <f>#REF!</f>
        <v>#REF!</v>
      </c>
      <c r="J118" s="16" t="e">
        <f>#REF!</f>
        <v>#REF!</v>
      </c>
      <c r="K118" s="16"/>
      <c r="L118" s="16"/>
      <c r="M118" s="16"/>
      <c r="N118" s="16"/>
      <c r="O118" s="16"/>
      <c r="P118" s="20"/>
      <c r="Q118" s="20"/>
    </row>
    <row r="119" spans="1:17" ht="22.5" customHeight="1" thickTop="1" thickBot="1" x14ac:dyDescent="0.25">
      <c r="A119" s="16" t="e">
        <f>#REF!</f>
        <v>#REF!</v>
      </c>
      <c r="B119" s="16" t="e">
        <f>#REF!</f>
        <v>#REF!</v>
      </c>
      <c r="C119" s="16" t="e">
        <f>#REF!</f>
        <v>#REF!</v>
      </c>
      <c r="D119" s="16" t="e">
        <f>#REF!</f>
        <v>#REF!</v>
      </c>
      <c r="E119" s="16" t="e">
        <f>#REF!</f>
        <v>#REF!</v>
      </c>
      <c r="F119" s="16" t="e">
        <f>#REF!</f>
        <v>#REF!</v>
      </c>
      <c r="G119" s="16" t="e">
        <f>#REF!</f>
        <v>#REF!</v>
      </c>
      <c r="H119" s="16" t="e">
        <f>#REF!</f>
        <v>#REF!</v>
      </c>
      <c r="I119" s="16" t="e">
        <f>#REF!</f>
        <v>#REF!</v>
      </c>
      <c r="J119" s="16" t="e">
        <f>#REF!</f>
        <v>#REF!</v>
      </c>
      <c r="K119" s="16"/>
      <c r="L119" s="16"/>
      <c r="M119" s="16"/>
      <c r="N119" s="16"/>
      <c r="O119" s="16"/>
      <c r="P119" s="17"/>
      <c r="Q119" s="17"/>
    </row>
    <row r="120" spans="1:17" ht="22.5" customHeight="1" thickTop="1" thickBot="1" x14ac:dyDescent="0.25">
      <c r="A120" s="16" t="e">
        <f>#REF!</f>
        <v>#REF!</v>
      </c>
      <c r="B120" s="16" t="e">
        <f>#REF!</f>
        <v>#REF!</v>
      </c>
      <c r="C120" s="16" t="e">
        <f>#REF!</f>
        <v>#REF!</v>
      </c>
      <c r="D120" s="16" t="e">
        <f>#REF!</f>
        <v>#REF!</v>
      </c>
      <c r="E120" s="16" t="e">
        <f>#REF!</f>
        <v>#REF!</v>
      </c>
      <c r="F120" s="16" t="e">
        <f>#REF!</f>
        <v>#REF!</v>
      </c>
      <c r="G120" s="16" t="e">
        <f>#REF!</f>
        <v>#REF!</v>
      </c>
      <c r="H120" s="16" t="e">
        <f>#REF!</f>
        <v>#REF!</v>
      </c>
      <c r="I120" s="16" t="e">
        <f>#REF!</f>
        <v>#REF!</v>
      </c>
      <c r="J120" s="16" t="e">
        <f>#REF!</f>
        <v>#REF!</v>
      </c>
      <c r="K120" s="16"/>
      <c r="L120" s="16"/>
      <c r="M120" s="16"/>
      <c r="N120" s="16"/>
      <c r="O120" s="16"/>
      <c r="P120" s="24"/>
      <c r="Q120" s="24"/>
    </row>
    <row r="121" spans="1:17" ht="22.5" customHeight="1" thickTop="1" thickBot="1" x14ac:dyDescent="0.25">
      <c r="A121" s="16" t="e">
        <f>#REF!</f>
        <v>#REF!</v>
      </c>
      <c r="B121" s="16" t="e">
        <f>#REF!</f>
        <v>#REF!</v>
      </c>
      <c r="C121" s="16" t="e">
        <f>#REF!</f>
        <v>#REF!</v>
      </c>
      <c r="D121" s="16" t="e">
        <f>#REF!</f>
        <v>#REF!</v>
      </c>
      <c r="E121" s="16" t="e">
        <f>#REF!</f>
        <v>#REF!</v>
      </c>
      <c r="F121" s="16" t="e">
        <f>#REF!</f>
        <v>#REF!</v>
      </c>
      <c r="G121" s="16" t="e">
        <f>#REF!</f>
        <v>#REF!</v>
      </c>
      <c r="H121" s="16" t="e">
        <f>#REF!</f>
        <v>#REF!</v>
      </c>
      <c r="I121" s="16" t="e">
        <f>#REF!</f>
        <v>#REF!</v>
      </c>
      <c r="J121" s="16" t="e">
        <f>#REF!</f>
        <v>#REF!</v>
      </c>
      <c r="K121" s="16"/>
      <c r="L121" s="16"/>
      <c r="M121" s="16"/>
      <c r="N121" s="16"/>
      <c r="O121" s="16"/>
      <c r="P121" s="24"/>
      <c r="Q121" s="24"/>
    </row>
    <row r="122" spans="1:17" ht="22.5" customHeight="1" thickTop="1" thickBot="1" x14ac:dyDescent="0.25">
      <c r="A122" s="16" t="e">
        <f>#REF!</f>
        <v>#REF!</v>
      </c>
      <c r="B122" s="16" t="e">
        <f>#REF!</f>
        <v>#REF!</v>
      </c>
      <c r="C122" s="16" t="e">
        <f>#REF!</f>
        <v>#REF!</v>
      </c>
      <c r="D122" s="16" t="e">
        <f>#REF!</f>
        <v>#REF!</v>
      </c>
      <c r="E122" s="16" t="e">
        <f>#REF!</f>
        <v>#REF!</v>
      </c>
      <c r="F122" s="16" t="e">
        <f>#REF!</f>
        <v>#REF!</v>
      </c>
      <c r="G122" s="16" t="e">
        <f>#REF!</f>
        <v>#REF!</v>
      </c>
      <c r="H122" s="16" t="e">
        <f>#REF!</f>
        <v>#REF!</v>
      </c>
      <c r="I122" s="16" t="e">
        <f>#REF!</f>
        <v>#REF!</v>
      </c>
      <c r="J122" s="16" t="e">
        <f>#REF!</f>
        <v>#REF!</v>
      </c>
      <c r="K122" s="16"/>
      <c r="L122" s="16"/>
      <c r="M122" s="16"/>
      <c r="N122" s="16"/>
      <c r="O122" s="16"/>
      <c r="P122" s="24"/>
      <c r="Q122" s="24"/>
    </row>
    <row r="123" spans="1:17" ht="22.5" customHeight="1" thickTop="1" thickBot="1" x14ac:dyDescent="0.25">
      <c r="A123" s="16" t="e">
        <f>#REF!</f>
        <v>#REF!</v>
      </c>
      <c r="B123" s="16" t="e">
        <f>#REF!</f>
        <v>#REF!</v>
      </c>
      <c r="C123" s="16" t="e">
        <f>#REF!</f>
        <v>#REF!</v>
      </c>
      <c r="D123" s="16" t="e">
        <f>#REF!</f>
        <v>#REF!</v>
      </c>
      <c r="E123" s="16" t="e">
        <f>#REF!</f>
        <v>#REF!</v>
      </c>
      <c r="F123" s="16" t="e">
        <f>#REF!</f>
        <v>#REF!</v>
      </c>
      <c r="G123" s="16" t="e">
        <f>#REF!</f>
        <v>#REF!</v>
      </c>
      <c r="H123" s="16" t="e">
        <f>#REF!</f>
        <v>#REF!</v>
      </c>
      <c r="I123" s="16" t="e">
        <f>#REF!</f>
        <v>#REF!</v>
      </c>
      <c r="J123" s="16" t="e">
        <f>#REF!</f>
        <v>#REF!</v>
      </c>
      <c r="K123" s="16"/>
      <c r="L123" s="16"/>
      <c r="M123" s="16"/>
      <c r="N123" s="16"/>
      <c r="O123" s="16"/>
      <c r="P123" s="24"/>
      <c r="Q123" s="24"/>
    </row>
    <row r="124" spans="1:17" ht="22.5" customHeight="1" thickTop="1" thickBot="1" x14ac:dyDescent="0.25">
      <c r="A124" s="16" t="e">
        <f>#REF!</f>
        <v>#REF!</v>
      </c>
      <c r="B124" s="16" t="e">
        <f>#REF!</f>
        <v>#REF!</v>
      </c>
      <c r="C124" s="16" t="e">
        <f>#REF!</f>
        <v>#REF!</v>
      </c>
      <c r="D124" s="16" t="e">
        <f>#REF!</f>
        <v>#REF!</v>
      </c>
      <c r="E124" s="16" t="e">
        <f>#REF!</f>
        <v>#REF!</v>
      </c>
      <c r="F124" s="16" t="e">
        <f>#REF!</f>
        <v>#REF!</v>
      </c>
      <c r="G124" s="16" t="e">
        <f>#REF!</f>
        <v>#REF!</v>
      </c>
      <c r="H124" s="16" t="e">
        <f>#REF!</f>
        <v>#REF!</v>
      </c>
      <c r="I124" s="16" t="e">
        <f>#REF!</f>
        <v>#REF!</v>
      </c>
      <c r="J124" s="16" t="e">
        <f>#REF!</f>
        <v>#REF!</v>
      </c>
      <c r="K124" s="16"/>
      <c r="L124" s="16"/>
      <c r="M124" s="16"/>
      <c r="N124" s="16"/>
      <c r="O124" s="16"/>
      <c r="P124" s="24"/>
      <c r="Q124" s="24"/>
    </row>
    <row r="125" spans="1:17" ht="22.5" customHeight="1" thickTop="1" thickBot="1" x14ac:dyDescent="0.25">
      <c r="A125" s="16" t="e">
        <f>#REF!</f>
        <v>#REF!</v>
      </c>
      <c r="B125" s="16" t="e">
        <f>#REF!</f>
        <v>#REF!</v>
      </c>
      <c r="C125" s="16" t="e">
        <f>#REF!</f>
        <v>#REF!</v>
      </c>
      <c r="D125" s="16" t="e">
        <f>#REF!</f>
        <v>#REF!</v>
      </c>
      <c r="E125" s="16" t="e">
        <f>#REF!</f>
        <v>#REF!</v>
      </c>
      <c r="F125" s="16" t="e">
        <f>#REF!</f>
        <v>#REF!</v>
      </c>
      <c r="G125" s="16" t="e">
        <f>#REF!</f>
        <v>#REF!</v>
      </c>
      <c r="H125" s="16" t="e">
        <f>#REF!</f>
        <v>#REF!</v>
      </c>
      <c r="I125" s="16" t="e">
        <f>#REF!</f>
        <v>#REF!</v>
      </c>
      <c r="J125" s="16" t="e">
        <f>#REF!</f>
        <v>#REF!</v>
      </c>
      <c r="K125" s="16"/>
      <c r="L125" s="16"/>
      <c r="M125" s="16"/>
      <c r="N125" s="16"/>
      <c r="O125" s="16"/>
      <c r="P125" s="17"/>
      <c r="Q125" s="17"/>
    </row>
    <row r="126" spans="1:17" ht="22.5" customHeight="1" thickTop="1" thickBot="1" x14ac:dyDescent="0.25">
      <c r="A126" s="16" t="e">
        <f>#REF!</f>
        <v>#REF!</v>
      </c>
      <c r="B126" s="16" t="e">
        <f>#REF!</f>
        <v>#REF!</v>
      </c>
      <c r="C126" s="16" t="e">
        <f>#REF!</f>
        <v>#REF!</v>
      </c>
      <c r="D126" s="16" t="e">
        <f>#REF!</f>
        <v>#REF!</v>
      </c>
      <c r="E126" s="16" t="e">
        <f>#REF!</f>
        <v>#REF!</v>
      </c>
      <c r="F126" s="16" t="e">
        <f>#REF!</f>
        <v>#REF!</v>
      </c>
      <c r="G126" s="16" t="e">
        <f>#REF!</f>
        <v>#REF!</v>
      </c>
      <c r="H126" s="16" t="e">
        <f>#REF!</f>
        <v>#REF!</v>
      </c>
      <c r="I126" s="16" t="e">
        <f>#REF!</f>
        <v>#REF!</v>
      </c>
      <c r="J126" s="16" t="e">
        <f>#REF!</f>
        <v>#REF!</v>
      </c>
      <c r="K126" s="16"/>
      <c r="L126" s="16"/>
      <c r="M126" s="16"/>
      <c r="N126" s="16"/>
      <c r="O126" s="16"/>
      <c r="P126" s="17"/>
      <c r="Q126" s="17"/>
    </row>
    <row r="127" spans="1:17" ht="22.5" customHeight="1" thickTop="1" thickBot="1" x14ac:dyDescent="0.25">
      <c r="A127" s="16" t="e">
        <f>#REF!</f>
        <v>#REF!</v>
      </c>
      <c r="B127" s="16" t="e">
        <f>#REF!</f>
        <v>#REF!</v>
      </c>
      <c r="C127" s="16" t="e">
        <f>#REF!</f>
        <v>#REF!</v>
      </c>
      <c r="D127" s="16" t="e">
        <f>#REF!</f>
        <v>#REF!</v>
      </c>
      <c r="E127" s="16" t="e">
        <f>#REF!</f>
        <v>#REF!</v>
      </c>
      <c r="F127" s="16" t="e">
        <f>#REF!</f>
        <v>#REF!</v>
      </c>
      <c r="G127" s="16" t="e">
        <f>#REF!</f>
        <v>#REF!</v>
      </c>
      <c r="H127" s="16" t="e">
        <f>#REF!</f>
        <v>#REF!</v>
      </c>
      <c r="I127" s="16" t="e">
        <f>#REF!</f>
        <v>#REF!</v>
      </c>
      <c r="J127" s="16" t="e">
        <f>#REF!</f>
        <v>#REF!</v>
      </c>
      <c r="K127" s="16"/>
      <c r="L127" s="16"/>
      <c r="M127" s="16"/>
      <c r="N127" s="16"/>
      <c r="O127" s="16"/>
      <c r="P127" s="17"/>
      <c r="Q127" s="17"/>
    </row>
    <row r="128" spans="1:17" ht="22.5" customHeight="1" thickTop="1" thickBot="1" x14ac:dyDescent="0.25">
      <c r="A128" s="16" t="e">
        <f>#REF!</f>
        <v>#REF!</v>
      </c>
      <c r="B128" s="16" t="e">
        <f>#REF!</f>
        <v>#REF!</v>
      </c>
      <c r="C128" s="16" t="e">
        <f>#REF!</f>
        <v>#REF!</v>
      </c>
      <c r="D128" s="16" t="e">
        <f>#REF!</f>
        <v>#REF!</v>
      </c>
      <c r="E128" s="16" t="e">
        <f>#REF!</f>
        <v>#REF!</v>
      </c>
      <c r="F128" s="16" t="e">
        <f>#REF!</f>
        <v>#REF!</v>
      </c>
      <c r="G128" s="16" t="e">
        <f>#REF!</f>
        <v>#REF!</v>
      </c>
      <c r="H128" s="16" t="e">
        <f>#REF!</f>
        <v>#REF!</v>
      </c>
      <c r="I128" s="16" t="e">
        <f>#REF!</f>
        <v>#REF!</v>
      </c>
      <c r="J128" s="16" t="e">
        <f>#REF!</f>
        <v>#REF!</v>
      </c>
      <c r="K128" s="16"/>
      <c r="L128" s="16"/>
      <c r="M128" s="16"/>
      <c r="N128" s="16"/>
      <c r="O128" s="16"/>
      <c r="P128" s="17"/>
      <c r="Q128" s="17"/>
    </row>
    <row r="129" spans="1:17" ht="22.5" customHeight="1" thickTop="1" thickBot="1" x14ac:dyDescent="0.25">
      <c r="A129" s="16" t="e">
        <f>#REF!</f>
        <v>#REF!</v>
      </c>
      <c r="B129" s="16" t="e">
        <f>#REF!</f>
        <v>#REF!</v>
      </c>
      <c r="C129" s="16" t="e">
        <f>#REF!</f>
        <v>#REF!</v>
      </c>
      <c r="D129" s="16" t="e">
        <f>#REF!</f>
        <v>#REF!</v>
      </c>
      <c r="E129" s="16" t="e">
        <f>#REF!</f>
        <v>#REF!</v>
      </c>
      <c r="F129" s="16" t="e">
        <f>#REF!</f>
        <v>#REF!</v>
      </c>
      <c r="G129" s="16" t="e">
        <f>#REF!</f>
        <v>#REF!</v>
      </c>
      <c r="H129" s="16" t="e">
        <f>#REF!</f>
        <v>#REF!</v>
      </c>
      <c r="I129" s="16" t="e">
        <f>#REF!</f>
        <v>#REF!</v>
      </c>
      <c r="J129" s="16" t="e">
        <f>#REF!</f>
        <v>#REF!</v>
      </c>
      <c r="K129" s="16"/>
      <c r="L129" s="16"/>
      <c r="M129" s="16"/>
      <c r="N129" s="16"/>
      <c r="O129" s="16"/>
      <c r="P129" s="17"/>
      <c r="Q129" s="17"/>
    </row>
    <row r="130" spans="1:17" ht="22.5" customHeight="1" thickTop="1" thickBot="1" x14ac:dyDescent="0.25">
      <c r="A130" s="16" t="e">
        <f>#REF!</f>
        <v>#REF!</v>
      </c>
      <c r="B130" s="16" t="e">
        <f>#REF!</f>
        <v>#REF!</v>
      </c>
      <c r="C130" s="16" t="e">
        <f>#REF!</f>
        <v>#REF!</v>
      </c>
      <c r="D130" s="16" t="e">
        <f>#REF!</f>
        <v>#REF!</v>
      </c>
      <c r="E130" s="16" t="e">
        <f>#REF!</f>
        <v>#REF!</v>
      </c>
      <c r="F130" s="16" t="e">
        <f>#REF!</f>
        <v>#REF!</v>
      </c>
      <c r="G130" s="16" t="e">
        <f>#REF!</f>
        <v>#REF!</v>
      </c>
      <c r="H130" s="16" t="e">
        <f>#REF!</f>
        <v>#REF!</v>
      </c>
      <c r="I130" s="16" t="e">
        <f>#REF!</f>
        <v>#REF!</v>
      </c>
      <c r="J130" s="16" t="e">
        <f>#REF!</f>
        <v>#REF!</v>
      </c>
      <c r="K130" s="16"/>
      <c r="L130" s="16"/>
      <c r="M130" s="16"/>
      <c r="N130" s="16"/>
      <c r="O130" s="16"/>
      <c r="P130" s="17"/>
      <c r="Q130" s="17"/>
    </row>
    <row r="131" spans="1:17" ht="22.5" customHeight="1" thickTop="1" thickBot="1" x14ac:dyDescent="0.25">
      <c r="A131" s="16" t="e">
        <f>#REF!</f>
        <v>#REF!</v>
      </c>
      <c r="B131" s="16" t="e">
        <f>#REF!</f>
        <v>#REF!</v>
      </c>
      <c r="C131" s="16" t="e">
        <f>#REF!</f>
        <v>#REF!</v>
      </c>
      <c r="D131" s="16" t="e">
        <f>#REF!</f>
        <v>#REF!</v>
      </c>
      <c r="E131" s="16" t="e">
        <f>#REF!</f>
        <v>#REF!</v>
      </c>
      <c r="F131" s="16" t="e">
        <f>#REF!</f>
        <v>#REF!</v>
      </c>
      <c r="G131" s="16" t="e">
        <f>#REF!</f>
        <v>#REF!</v>
      </c>
      <c r="H131" s="16" t="e">
        <f>#REF!</f>
        <v>#REF!</v>
      </c>
      <c r="I131" s="16" t="e">
        <f>#REF!</f>
        <v>#REF!</v>
      </c>
      <c r="J131" s="16" t="e">
        <f>#REF!</f>
        <v>#REF!</v>
      </c>
      <c r="K131" s="16"/>
      <c r="L131" s="16"/>
      <c r="M131" s="16"/>
      <c r="N131" s="16"/>
      <c r="O131" s="16"/>
      <c r="P131" s="17"/>
      <c r="Q131" s="17"/>
    </row>
    <row r="132" spans="1:17" ht="22.5" customHeight="1" thickTop="1" thickBot="1" x14ac:dyDescent="0.25">
      <c r="A132" s="16" t="e">
        <f>#REF!</f>
        <v>#REF!</v>
      </c>
      <c r="B132" s="16" t="e">
        <f>#REF!</f>
        <v>#REF!</v>
      </c>
      <c r="C132" s="16" t="e">
        <f>#REF!</f>
        <v>#REF!</v>
      </c>
      <c r="D132" s="16" t="e">
        <f>#REF!</f>
        <v>#REF!</v>
      </c>
      <c r="E132" s="16" t="e">
        <f>#REF!</f>
        <v>#REF!</v>
      </c>
      <c r="F132" s="16" t="e">
        <f>#REF!</f>
        <v>#REF!</v>
      </c>
      <c r="G132" s="16" t="e">
        <f>#REF!</f>
        <v>#REF!</v>
      </c>
      <c r="H132" s="16" t="e">
        <f>#REF!</f>
        <v>#REF!</v>
      </c>
      <c r="I132" s="16" t="e">
        <f>#REF!</f>
        <v>#REF!</v>
      </c>
      <c r="J132" s="16" t="e">
        <f>#REF!</f>
        <v>#REF!</v>
      </c>
      <c r="K132" s="16"/>
      <c r="L132" s="16"/>
      <c r="M132" s="16"/>
      <c r="N132" s="16"/>
      <c r="O132" s="16"/>
      <c r="P132" s="17"/>
      <c r="Q132" s="17"/>
    </row>
    <row r="133" spans="1:17" ht="22.5" customHeight="1" thickTop="1" thickBot="1" x14ac:dyDescent="0.25">
      <c r="A133" s="16" t="e">
        <f>#REF!</f>
        <v>#REF!</v>
      </c>
      <c r="B133" s="16" t="e">
        <f>#REF!</f>
        <v>#REF!</v>
      </c>
      <c r="C133" s="16" t="e">
        <f>#REF!</f>
        <v>#REF!</v>
      </c>
      <c r="D133" s="16" t="e">
        <f>#REF!</f>
        <v>#REF!</v>
      </c>
      <c r="E133" s="16" t="e">
        <f>#REF!</f>
        <v>#REF!</v>
      </c>
      <c r="F133" s="16" t="e">
        <f>#REF!</f>
        <v>#REF!</v>
      </c>
      <c r="G133" s="16" t="e">
        <f>#REF!</f>
        <v>#REF!</v>
      </c>
      <c r="H133" s="16" t="e">
        <f>#REF!</f>
        <v>#REF!</v>
      </c>
      <c r="I133" s="16" t="e">
        <f>#REF!</f>
        <v>#REF!</v>
      </c>
      <c r="J133" s="16" t="e">
        <f>#REF!</f>
        <v>#REF!</v>
      </c>
      <c r="K133" s="16"/>
      <c r="L133" s="16"/>
      <c r="M133" s="16"/>
      <c r="N133" s="16"/>
      <c r="O133" s="16"/>
      <c r="P133" s="17"/>
      <c r="Q133" s="17"/>
    </row>
    <row r="134" spans="1:17" ht="22.5" customHeight="1" thickTop="1" thickBot="1" x14ac:dyDescent="0.25">
      <c r="A134" s="16" t="e">
        <f>#REF!</f>
        <v>#REF!</v>
      </c>
      <c r="B134" s="16" t="e">
        <f>#REF!</f>
        <v>#REF!</v>
      </c>
      <c r="C134" s="16" t="e">
        <f>#REF!</f>
        <v>#REF!</v>
      </c>
      <c r="D134" s="16" t="e">
        <f>#REF!</f>
        <v>#REF!</v>
      </c>
      <c r="E134" s="16" t="e">
        <f>#REF!</f>
        <v>#REF!</v>
      </c>
      <c r="F134" s="16" t="e">
        <f>#REF!</f>
        <v>#REF!</v>
      </c>
      <c r="G134" s="16" t="e">
        <f>#REF!</f>
        <v>#REF!</v>
      </c>
      <c r="H134" s="16" t="e">
        <f>#REF!</f>
        <v>#REF!</v>
      </c>
      <c r="I134" s="16" t="e">
        <f>#REF!</f>
        <v>#REF!</v>
      </c>
      <c r="J134" s="16" t="e">
        <f>#REF!</f>
        <v>#REF!</v>
      </c>
      <c r="K134" s="16"/>
      <c r="L134" s="16"/>
      <c r="M134" s="16"/>
      <c r="N134" s="16"/>
      <c r="O134" s="16"/>
      <c r="P134" s="17"/>
      <c r="Q134" s="17"/>
    </row>
    <row r="135" spans="1:17" ht="22.5" customHeight="1" thickTop="1" thickBot="1" x14ac:dyDescent="0.25">
      <c r="A135" s="16" t="e">
        <f>#REF!</f>
        <v>#REF!</v>
      </c>
      <c r="B135" s="16" t="e">
        <f>#REF!</f>
        <v>#REF!</v>
      </c>
      <c r="C135" s="16" t="e">
        <f>#REF!</f>
        <v>#REF!</v>
      </c>
      <c r="D135" s="16" t="e">
        <f>#REF!</f>
        <v>#REF!</v>
      </c>
      <c r="E135" s="16" t="e">
        <f>#REF!</f>
        <v>#REF!</v>
      </c>
      <c r="F135" s="16" t="e">
        <f>#REF!</f>
        <v>#REF!</v>
      </c>
      <c r="G135" s="16" t="e">
        <f>#REF!</f>
        <v>#REF!</v>
      </c>
      <c r="H135" s="16" t="e">
        <f>#REF!</f>
        <v>#REF!</v>
      </c>
      <c r="I135" s="16" t="e">
        <f>#REF!</f>
        <v>#REF!</v>
      </c>
      <c r="J135" s="16" t="e">
        <f>#REF!</f>
        <v>#REF!</v>
      </c>
      <c r="K135" s="16"/>
      <c r="L135" s="16"/>
      <c r="M135" s="16"/>
      <c r="N135" s="16"/>
      <c r="O135" s="16"/>
      <c r="P135" s="17"/>
      <c r="Q135" s="17"/>
    </row>
    <row r="136" spans="1:17" ht="22.5" customHeight="1" thickTop="1" thickBot="1" x14ac:dyDescent="0.25">
      <c r="A136" s="16" t="e">
        <f>#REF!</f>
        <v>#REF!</v>
      </c>
      <c r="B136" s="16" t="e">
        <f>#REF!</f>
        <v>#REF!</v>
      </c>
      <c r="C136" s="16" t="e">
        <f>#REF!</f>
        <v>#REF!</v>
      </c>
      <c r="D136" s="16" t="e">
        <f>#REF!</f>
        <v>#REF!</v>
      </c>
      <c r="E136" s="16" t="e">
        <f>#REF!</f>
        <v>#REF!</v>
      </c>
      <c r="F136" s="16" t="e">
        <f>#REF!</f>
        <v>#REF!</v>
      </c>
      <c r="G136" s="16" t="e">
        <f>#REF!</f>
        <v>#REF!</v>
      </c>
      <c r="H136" s="16" t="e">
        <f>#REF!</f>
        <v>#REF!</v>
      </c>
      <c r="I136" s="16" t="e">
        <f>#REF!</f>
        <v>#REF!</v>
      </c>
      <c r="J136" s="16" t="e">
        <f>#REF!</f>
        <v>#REF!</v>
      </c>
      <c r="K136" s="16"/>
      <c r="L136" s="16"/>
      <c r="M136" s="16"/>
      <c r="N136" s="16"/>
      <c r="O136" s="16"/>
      <c r="P136" s="17"/>
      <c r="Q136" s="17"/>
    </row>
    <row r="137" spans="1:17" ht="22.5" customHeight="1" thickTop="1" thickBot="1" x14ac:dyDescent="0.25">
      <c r="A137" s="16" t="e">
        <f>#REF!</f>
        <v>#REF!</v>
      </c>
      <c r="B137" s="16" t="e">
        <f>#REF!</f>
        <v>#REF!</v>
      </c>
      <c r="C137" s="16" t="e">
        <f>#REF!</f>
        <v>#REF!</v>
      </c>
      <c r="D137" s="16" t="e">
        <f>#REF!</f>
        <v>#REF!</v>
      </c>
      <c r="E137" s="16" t="e">
        <f>#REF!</f>
        <v>#REF!</v>
      </c>
      <c r="F137" s="16" t="e">
        <f>#REF!</f>
        <v>#REF!</v>
      </c>
      <c r="G137" s="16" t="e">
        <f>#REF!</f>
        <v>#REF!</v>
      </c>
      <c r="H137" s="16" t="e">
        <f>#REF!</f>
        <v>#REF!</v>
      </c>
      <c r="I137" s="16" t="e">
        <f>#REF!</f>
        <v>#REF!</v>
      </c>
      <c r="J137" s="16" t="e">
        <f>#REF!</f>
        <v>#REF!</v>
      </c>
      <c r="K137" s="16"/>
      <c r="L137" s="16"/>
      <c r="M137" s="16"/>
      <c r="N137" s="16"/>
      <c r="O137" s="16"/>
      <c r="P137" s="17"/>
      <c r="Q137" s="17"/>
    </row>
    <row r="138" spans="1:17" ht="22.5" customHeight="1" thickTop="1" thickBot="1" x14ac:dyDescent="0.25">
      <c r="A138" s="16" t="e">
        <f>#REF!</f>
        <v>#REF!</v>
      </c>
      <c r="B138" s="16" t="e">
        <f>#REF!</f>
        <v>#REF!</v>
      </c>
      <c r="C138" s="16" t="e">
        <f>#REF!</f>
        <v>#REF!</v>
      </c>
      <c r="D138" s="16" t="e">
        <f>#REF!</f>
        <v>#REF!</v>
      </c>
      <c r="E138" s="16" t="e">
        <f>#REF!</f>
        <v>#REF!</v>
      </c>
      <c r="F138" s="16" t="e">
        <f>#REF!</f>
        <v>#REF!</v>
      </c>
      <c r="G138" s="16" t="e">
        <f>#REF!</f>
        <v>#REF!</v>
      </c>
      <c r="H138" s="16" t="e">
        <f>#REF!</f>
        <v>#REF!</v>
      </c>
      <c r="I138" s="16" t="e">
        <f>#REF!</f>
        <v>#REF!</v>
      </c>
      <c r="J138" s="16" t="e">
        <f>#REF!</f>
        <v>#REF!</v>
      </c>
      <c r="K138" s="16"/>
      <c r="L138" s="16"/>
      <c r="M138" s="16"/>
      <c r="N138" s="16"/>
      <c r="O138" s="16"/>
      <c r="P138" s="17"/>
      <c r="Q138" s="17"/>
    </row>
    <row r="139" spans="1:17" ht="22.5" customHeight="1" thickTop="1" thickBot="1" x14ac:dyDescent="0.25">
      <c r="A139" s="16" t="e">
        <f>#REF!</f>
        <v>#REF!</v>
      </c>
      <c r="B139" s="16" t="e">
        <f>#REF!</f>
        <v>#REF!</v>
      </c>
      <c r="C139" s="16" t="e">
        <f>#REF!</f>
        <v>#REF!</v>
      </c>
      <c r="D139" s="16" t="e">
        <f>#REF!</f>
        <v>#REF!</v>
      </c>
      <c r="E139" s="16" t="e">
        <f>#REF!</f>
        <v>#REF!</v>
      </c>
      <c r="F139" s="16" t="e">
        <f>#REF!</f>
        <v>#REF!</v>
      </c>
      <c r="G139" s="16" t="e">
        <f>#REF!</f>
        <v>#REF!</v>
      </c>
      <c r="H139" s="16" t="e">
        <f>#REF!</f>
        <v>#REF!</v>
      </c>
      <c r="I139" s="16" t="e">
        <f>#REF!</f>
        <v>#REF!</v>
      </c>
      <c r="J139" s="16" t="e">
        <f>#REF!</f>
        <v>#REF!</v>
      </c>
      <c r="K139" s="16"/>
      <c r="L139" s="16"/>
      <c r="M139" s="16"/>
      <c r="N139" s="16"/>
      <c r="O139" s="16"/>
      <c r="P139" s="17"/>
      <c r="Q139" s="17"/>
    </row>
    <row r="140" spans="1:17" ht="22.5" customHeight="1" thickTop="1" thickBot="1" x14ac:dyDescent="0.25">
      <c r="A140" s="16" t="e">
        <f>#REF!</f>
        <v>#REF!</v>
      </c>
      <c r="B140" s="16" t="e">
        <f>#REF!</f>
        <v>#REF!</v>
      </c>
      <c r="C140" s="16" t="e">
        <f>#REF!</f>
        <v>#REF!</v>
      </c>
      <c r="D140" s="16" t="e">
        <f>#REF!</f>
        <v>#REF!</v>
      </c>
      <c r="E140" s="16" t="e">
        <f>#REF!</f>
        <v>#REF!</v>
      </c>
      <c r="F140" s="16" t="e">
        <f>#REF!</f>
        <v>#REF!</v>
      </c>
      <c r="G140" s="16" t="e">
        <f>#REF!</f>
        <v>#REF!</v>
      </c>
      <c r="H140" s="16" t="e">
        <f>#REF!</f>
        <v>#REF!</v>
      </c>
      <c r="I140" s="16" t="e">
        <f>#REF!</f>
        <v>#REF!</v>
      </c>
      <c r="J140" s="16" t="e">
        <f>#REF!</f>
        <v>#REF!</v>
      </c>
      <c r="K140" s="16"/>
      <c r="L140" s="16"/>
      <c r="M140" s="16"/>
      <c r="N140" s="16"/>
      <c r="O140" s="16"/>
      <c r="P140" s="17"/>
      <c r="Q140" s="17"/>
    </row>
    <row r="141" spans="1:17" ht="22.5" customHeight="1" thickTop="1" thickBot="1" x14ac:dyDescent="0.25">
      <c r="A141" s="16" t="e">
        <f>#REF!</f>
        <v>#REF!</v>
      </c>
      <c r="B141" s="16" t="e">
        <f>#REF!</f>
        <v>#REF!</v>
      </c>
      <c r="C141" s="16" t="e">
        <f>#REF!</f>
        <v>#REF!</v>
      </c>
      <c r="D141" s="16" t="e">
        <f>#REF!</f>
        <v>#REF!</v>
      </c>
      <c r="E141" s="16" t="e">
        <f>#REF!</f>
        <v>#REF!</v>
      </c>
      <c r="F141" s="16" t="e">
        <f>#REF!</f>
        <v>#REF!</v>
      </c>
      <c r="G141" s="16" t="e">
        <f>#REF!</f>
        <v>#REF!</v>
      </c>
      <c r="H141" s="16" t="e">
        <f>#REF!</f>
        <v>#REF!</v>
      </c>
      <c r="I141" s="16" t="e">
        <f>#REF!</f>
        <v>#REF!</v>
      </c>
      <c r="J141" s="16" t="e">
        <f>#REF!</f>
        <v>#REF!</v>
      </c>
      <c r="K141" s="16"/>
      <c r="L141" s="16"/>
      <c r="M141" s="16"/>
      <c r="N141" s="16"/>
      <c r="O141" s="16"/>
      <c r="P141" s="17"/>
      <c r="Q141" s="17"/>
    </row>
    <row r="142" spans="1:17" ht="22.5" customHeight="1" thickTop="1" thickBot="1" x14ac:dyDescent="0.25">
      <c r="A142" s="16" t="e">
        <f>#REF!</f>
        <v>#REF!</v>
      </c>
      <c r="B142" s="16" t="e">
        <f>#REF!</f>
        <v>#REF!</v>
      </c>
      <c r="C142" s="16" t="e">
        <f>#REF!</f>
        <v>#REF!</v>
      </c>
      <c r="D142" s="16" t="e">
        <f>#REF!</f>
        <v>#REF!</v>
      </c>
      <c r="E142" s="16" t="e">
        <f>#REF!</f>
        <v>#REF!</v>
      </c>
      <c r="F142" s="16" t="e">
        <f>#REF!</f>
        <v>#REF!</v>
      </c>
      <c r="G142" s="16" t="e">
        <f>#REF!</f>
        <v>#REF!</v>
      </c>
      <c r="H142" s="16" t="e">
        <f>#REF!</f>
        <v>#REF!</v>
      </c>
      <c r="I142" s="16" t="e">
        <f>#REF!</f>
        <v>#REF!</v>
      </c>
      <c r="J142" s="16" t="e">
        <f>#REF!</f>
        <v>#REF!</v>
      </c>
      <c r="K142" s="16"/>
      <c r="L142" s="16"/>
      <c r="M142" s="16"/>
      <c r="N142" s="16"/>
      <c r="O142" s="16"/>
      <c r="P142" s="17"/>
      <c r="Q142" s="17"/>
    </row>
    <row r="143" spans="1:17" ht="22.5" customHeight="1" thickTop="1" thickBot="1" x14ac:dyDescent="0.25">
      <c r="A143" s="16" t="e">
        <f>#REF!</f>
        <v>#REF!</v>
      </c>
      <c r="B143" s="16" t="e">
        <f>#REF!</f>
        <v>#REF!</v>
      </c>
      <c r="C143" s="16" t="e">
        <f>#REF!</f>
        <v>#REF!</v>
      </c>
      <c r="D143" s="16" t="e">
        <f>#REF!</f>
        <v>#REF!</v>
      </c>
      <c r="E143" s="16" t="e">
        <f>#REF!</f>
        <v>#REF!</v>
      </c>
      <c r="F143" s="16" t="e">
        <f>#REF!</f>
        <v>#REF!</v>
      </c>
      <c r="G143" s="16" t="e">
        <f>#REF!</f>
        <v>#REF!</v>
      </c>
      <c r="H143" s="16" t="e">
        <f>#REF!</f>
        <v>#REF!</v>
      </c>
      <c r="I143" s="16" t="e">
        <f>#REF!</f>
        <v>#REF!</v>
      </c>
      <c r="J143" s="16" t="e">
        <f>#REF!</f>
        <v>#REF!</v>
      </c>
      <c r="K143" s="16"/>
      <c r="L143" s="16"/>
      <c r="M143" s="16"/>
      <c r="N143" s="16"/>
      <c r="O143" s="16"/>
      <c r="P143" s="17"/>
      <c r="Q143" s="17"/>
    </row>
    <row r="144" spans="1:17" ht="22.5" customHeight="1" thickTop="1" thickBot="1" x14ac:dyDescent="0.25">
      <c r="A144" s="16" t="e">
        <f>#REF!</f>
        <v>#REF!</v>
      </c>
      <c r="B144" s="16" t="e">
        <f>#REF!</f>
        <v>#REF!</v>
      </c>
      <c r="C144" s="16" t="e">
        <f>#REF!</f>
        <v>#REF!</v>
      </c>
      <c r="D144" s="16" t="e">
        <f>#REF!</f>
        <v>#REF!</v>
      </c>
      <c r="E144" s="16" t="e">
        <f>#REF!</f>
        <v>#REF!</v>
      </c>
      <c r="F144" s="16" t="e">
        <f>#REF!</f>
        <v>#REF!</v>
      </c>
      <c r="G144" s="16" t="e">
        <f>#REF!</f>
        <v>#REF!</v>
      </c>
      <c r="H144" s="16" t="e">
        <f>#REF!</f>
        <v>#REF!</v>
      </c>
      <c r="I144" s="16" t="e">
        <f>#REF!</f>
        <v>#REF!</v>
      </c>
      <c r="J144" s="16" t="e">
        <f>#REF!</f>
        <v>#REF!</v>
      </c>
      <c r="K144" s="16"/>
      <c r="L144" s="16"/>
      <c r="M144" s="16"/>
      <c r="N144" s="16"/>
      <c r="O144" s="16"/>
      <c r="P144" s="17"/>
      <c r="Q144" s="17"/>
    </row>
    <row r="145" spans="1:17" ht="22.5" customHeight="1" thickTop="1" thickBot="1" x14ac:dyDescent="0.25">
      <c r="A145" s="16" t="e">
        <f>#REF!</f>
        <v>#REF!</v>
      </c>
      <c r="B145" s="16" t="e">
        <f>#REF!</f>
        <v>#REF!</v>
      </c>
      <c r="C145" s="16" t="e">
        <f>#REF!</f>
        <v>#REF!</v>
      </c>
      <c r="D145" s="16" t="e">
        <f>#REF!</f>
        <v>#REF!</v>
      </c>
      <c r="E145" s="16" t="e">
        <f>#REF!</f>
        <v>#REF!</v>
      </c>
      <c r="F145" s="16" t="e">
        <f>#REF!</f>
        <v>#REF!</v>
      </c>
      <c r="G145" s="16" t="e">
        <f>#REF!</f>
        <v>#REF!</v>
      </c>
      <c r="H145" s="16" t="e">
        <f>#REF!</f>
        <v>#REF!</v>
      </c>
      <c r="I145" s="16" t="e">
        <f>#REF!</f>
        <v>#REF!</v>
      </c>
      <c r="J145" s="16" t="e">
        <f>#REF!</f>
        <v>#REF!</v>
      </c>
      <c r="K145" s="16"/>
      <c r="L145" s="16"/>
      <c r="M145" s="16"/>
      <c r="N145" s="16"/>
      <c r="O145" s="16"/>
      <c r="P145" s="17"/>
      <c r="Q145" s="17"/>
    </row>
    <row r="146" spans="1:17" ht="22.5" customHeight="1" thickTop="1" thickBot="1" x14ac:dyDescent="0.25">
      <c r="A146" s="16" t="e">
        <f>#REF!</f>
        <v>#REF!</v>
      </c>
      <c r="B146" s="16" t="e">
        <f>#REF!</f>
        <v>#REF!</v>
      </c>
      <c r="C146" s="16" t="e">
        <f>#REF!</f>
        <v>#REF!</v>
      </c>
      <c r="D146" s="16" t="e">
        <f>#REF!</f>
        <v>#REF!</v>
      </c>
      <c r="E146" s="16" t="e">
        <f>#REF!</f>
        <v>#REF!</v>
      </c>
      <c r="F146" s="16" t="e">
        <f>#REF!</f>
        <v>#REF!</v>
      </c>
      <c r="G146" s="16" t="e">
        <f>#REF!</f>
        <v>#REF!</v>
      </c>
      <c r="H146" s="16" t="e">
        <f>#REF!</f>
        <v>#REF!</v>
      </c>
      <c r="I146" s="16" t="e">
        <f>#REF!</f>
        <v>#REF!</v>
      </c>
      <c r="J146" s="16" t="e">
        <f>#REF!</f>
        <v>#REF!</v>
      </c>
      <c r="K146" s="16"/>
      <c r="L146" s="16"/>
      <c r="M146" s="16"/>
      <c r="N146" s="16"/>
      <c r="O146" s="16"/>
      <c r="P146" s="17">
        <v>8</v>
      </c>
      <c r="Q146" s="17" t="s">
        <v>789</v>
      </c>
    </row>
    <row r="147" spans="1:17" ht="22.5" customHeight="1" thickTop="1" thickBot="1" x14ac:dyDescent="0.25">
      <c r="A147" s="16" t="e">
        <f>#REF!</f>
        <v>#REF!</v>
      </c>
      <c r="B147" s="16" t="e">
        <f>#REF!</f>
        <v>#REF!</v>
      </c>
      <c r="C147" s="16" t="e">
        <f>#REF!</f>
        <v>#REF!</v>
      </c>
      <c r="D147" s="16" t="e">
        <f>#REF!</f>
        <v>#REF!</v>
      </c>
      <c r="E147" s="16" t="e">
        <f>#REF!</f>
        <v>#REF!</v>
      </c>
      <c r="F147" s="16" t="e">
        <f>#REF!</f>
        <v>#REF!</v>
      </c>
      <c r="G147" s="16" t="e">
        <f>#REF!</f>
        <v>#REF!</v>
      </c>
      <c r="H147" s="16" t="e">
        <f>#REF!</f>
        <v>#REF!</v>
      </c>
      <c r="I147" s="16" t="e">
        <f>#REF!</f>
        <v>#REF!</v>
      </c>
      <c r="J147" s="16" t="e">
        <f>#REF!</f>
        <v>#REF!</v>
      </c>
      <c r="K147" s="16"/>
      <c r="L147" s="16"/>
      <c r="M147" s="16"/>
      <c r="N147" s="16"/>
      <c r="O147" s="16"/>
      <c r="P147" s="17">
        <v>8</v>
      </c>
      <c r="Q147" s="17" t="s">
        <v>789</v>
      </c>
    </row>
    <row r="148" spans="1:17" ht="22.5" customHeight="1" thickTop="1" thickBot="1" x14ac:dyDescent="0.25">
      <c r="A148" s="16" t="e">
        <f>#REF!</f>
        <v>#REF!</v>
      </c>
      <c r="B148" s="16" t="e">
        <f>#REF!</f>
        <v>#REF!</v>
      </c>
      <c r="C148" s="16" t="e">
        <f>#REF!</f>
        <v>#REF!</v>
      </c>
      <c r="D148" s="16" t="e">
        <f>#REF!</f>
        <v>#REF!</v>
      </c>
      <c r="E148" s="16" t="e">
        <f>#REF!</f>
        <v>#REF!</v>
      </c>
      <c r="F148" s="16" t="e">
        <f>#REF!</f>
        <v>#REF!</v>
      </c>
      <c r="G148" s="16" t="e">
        <f>#REF!</f>
        <v>#REF!</v>
      </c>
      <c r="H148" s="16" t="e">
        <f>#REF!</f>
        <v>#REF!</v>
      </c>
      <c r="I148" s="16" t="e">
        <f>#REF!</f>
        <v>#REF!</v>
      </c>
      <c r="J148" s="16" t="e">
        <f>#REF!</f>
        <v>#REF!</v>
      </c>
      <c r="K148" s="16"/>
      <c r="L148" s="16"/>
      <c r="M148" s="16"/>
      <c r="N148" s="16"/>
      <c r="O148" s="16"/>
      <c r="P148" s="17">
        <v>8</v>
      </c>
      <c r="Q148" s="17" t="s">
        <v>789</v>
      </c>
    </row>
    <row r="149" spans="1:17" ht="22.5" customHeight="1" thickTop="1" thickBot="1" x14ac:dyDescent="0.25">
      <c r="A149" s="16" t="e">
        <f>#REF!</f>
        <v>#REF!</v>
      </c>
      <c r="B149" s="16" t="e">
        <f>#REF!</f>
        <v>#REF!</v>
      </c>
      <c r="C149" s="16" t="e">
        <f>#REF!</f>
        <v>#REF!</v>
      </c>
      <c r="D149" s="16" t="e">
        <f>#REF!</f>
        <v>#REF!</v>
      </c>
      <c r="E149" s="16" t="e">
        <f>#REF!</f>
        <v>#REF!</v>
      </c>
      <c r="F149" s="16" t="e">
        <f>#REF!</f>
        <v>#REF!</v>
      </c>
      <c r="G149" s="16" t="e">
        <f>#REF!</f>
        <v>#REF!</v>
      </c>
      <c r="H149" s="16" t="e">
        <f>#REF!</f>
        <v>#REF!</v>
      </c>
      <c r="I149" s="16" t="e">
        <f>#REF!</f>
        <v>#REF!</v>
      </c>
      <c r="J149" s="16" t="e">
        <f>#REF!</f>
        <v>#REF!</v>
      </c>
      <c r="K149" s="16"/>
      <c r="L149" s="16"/>
      <c r="M149" s="16"/>
      <c r="N149" s="16"/>
      <c r="O149" s="16"/>
      <c r="P149" s="17">
        <v>8</v>
      </c>
      <c r="Q149" s="17" t="s">
        <v>789</v>
      </c>
    </row>
    <row r="150" spans="1:17" ht="22.5" customHeight="1" thickTop="1" thickBot="1" x14ac:dyDescent="0.25">
      <c r="A150" s="16" t="e">
        <f>#REF!</f>
        <v>#REF!</v>
      </c>
      <c r="B150" s="16" t="e">
        <f>#REF!</f>
        <v>#REF!</v>
      </c>
      <c r="C150" s="16" t="e">
        <f>#REF!</f>
        <v>#REF!</v>
      </c>
      <c r="D150" s="16" t="e">
        <f>#REF!</f>
        <v>#REF!</v>
      </c>
      <c r="E150" s="16" t="e">
        <f>#REF!</f>
        <v>#REF!</v>
      </c>
      <c r="F150" s="16" t="e">
        <f>#REF!</f>
        <v>#REF!</v>
      </c>
      <c r="G150" s="16" t="e">
        <f>#REF!</f>
        <v>#REF!</v>
      </c>
      <c r="H150" s="16" t="e">
        <f>#REF!</f>
        <v>#REF!</v>
      </c>
      <c r="I150" s="16" t="e">
        <f>#REF!</f>
        <v>#REF!</v>
      </c>
      <c r="J150" s="16" t="e">
        <f>#REF!</f>
        <v>#REF!</v>
      </c>
      <c r="K150" s="16" t="s">
        <v>744</v>
      </c>
      <c r="L150" s="16"/>
      <c r="M150" s="16"/>
      <c r="N150" s="16"/>
      <c r="O150" s="16"/>
      <c r="P150" s="17">
        <v>8</v>
      </c>
      <c r="Q150" s="17" t="s">
        <v>789</v>
      </c>
    </row>
    <row r="151" spans="1:17" ht="22.5" customHeight="1" thickTop="1" thickBot="1" x14ac:dyDescent="0.25">
      <c r="A151" s="16" t="e">
        <f>#REF!</f>
        <v>#REF!</v>
      </c>
      <c r="B151" s="16" t="e">
        <f>#REF!</f>
        <v>#REF!</v>
      </c>
      <c r="C151" s="16" t="e">
        <f>#REF!</f>
        <v>#REF!</v>
      </c>
      <c r="D151" s="16" t="e">
        <f>#REF!</f>
        <v>#REF!</v>
      </c>
      <c r="E151" s="16" t="e">
        <f>#REF!</f>
        <v>#REF!</v>
      </c>
      <c r="F151" s="16" t="e">
        <f>#REF!</f>
        <v>#REF!</v>
      </c>
      <c r="G151" s="16" t="e">
        <f>#REF!</f>
        <v>#REF!</v>
      </c>
      <c r="H151" s="16" t="e">
        <f>#REF!</f>
        <v>#REF!</v>
      </c>
      <c r="I151" s="16" t="e">
        <f>#REF!</f>
        <v>#REF!</v>
      </c>
      <c r="J151" s="16" t="e">
        <f>#REF!</f>
        <v>#REF!</v>
      </c>
      <c r="K151" s="16"/>
      <c r="L151" s="16"/>
      <c r="M151" s="16"/>
      <c r="N151" s="16"/>
      <c r="O151" s="16"/>
      <c r="P151" s="17">
        <v>8</v>
      </c>
      <c r="Q151" s="17" t="s">
        <v>789</v>
      </c>
    </row>
    <row r="152" spans="1:17" ht="22.5" customHeight="1" thickTop="1" thickBot="1" x14ac:dyDescent="0.25">
      <c r="A152" s="16" t="e">
        <f>#REF!</f>
        <v>#REF!</v>
      </c>
      <c r="B152" s="16" t="e">
        <f>#REF!</f>
        <v>#REF!</v>
      </c>
      <c r="C152" s="16" t="e">
        <f>#REF!</f>
        <v>#REF!</v>
      </c>
      <c r="D152" s="16" t="e">
        <f>#REF!</f>
        <v>#REF!</v>
      </c>
      <c r="E152" s="16" t="e">
        <f>#REF!</f>
        <v>#REF!</v>
      </c>
      <c r="F152" s="16" t="e">
        <f>#REF!</f>
        <v>#REF!</v>
      </c>
      <c r="G152" s="16" t="e">
        <f>#REF!</f>
        <v>#REF!</v>
      </c>
      <c r="H152" s="16" t="e">
        <f>#REF!</f>
        <v>#REF!</v>
      </c>
      <c r="I152" s="16" t="e">
        <f>#REF!</f>
        <v>#REF!</v>
      </c>
      <c r="J152" s="16" t="e">
        <f>#REF!</f>
        <v>#REF!</v>
      </c>
      <c r="K152" s="16" t="s">
        <v>744</v>
      </c>
      <c r="L152" s="16"/>
      <c r="M152" s="16"/>
      <c r="N152" s="16"/>
      <c r="O152" s="16"/>
      <c r="P152" s="17">
        <v>8</v>
      </c>
      <c r="Q152" s="17" t="s">
        <v>789</v>
      </c>
    </row>
    <row r="153" spans="1:17" ht="22.5" customHeight="1" thickTop="1" thickBot="1" x14ac:dyDescent="0.25">
      <c r="A153" s="16" t="e">
        <f>#REF!</f>
        <v>#REF!</v>
      </c>
      <c r="B153" s="16" t="e">
        <f>#REF!</f>
        <v>#REF!</v>
      </c>
      <c r="C153" s="16" t="e">
        <f>#REF!</f>
        <v>#REF!</v>
      </c>
      <c r="D153" s="16" t="e">
        <f>#REF!</f>
        <v>#REF!</v>
      </c>
      <c r="E153" s="16" t="e">
        <f>#REF!</f>
        <v>#REF!</v>
      </c>
      <c r="F153" s="16" t="e">
        <f>#REF!</f>
        <v>#REF!</v>
      </c>
      <c r="G153" s="16" t="e">
        <f>#REF!</f>
        <v>#REF!</v>
      </c>
      <c r="H153" s="16" t="e">
        <f>#REF!</f>
        <v>#REF!</v>
      </c>
      <c r="I153" s="16" t="e">
        <f>#REF!</f>
        <v>#REF!</v>
      </c>
      <c r="J153" s="16" t="e">
        <f>#REF!</f>
        <v>#REF!</v>
      </c>
      <c r="K153" s="16"/>
      <c r="L153" s="16"/>
      <c r="M153" s="16"/>
      <c r="N153" s="16"/>
      <c r="O153" s="16"/>
      <c r="P153" s="17">
        <v>8</v>
      </c>
      <c r="Q153" s="17" t="s">
        <v>789</v>
      </c>
    </row>
    <row r="154" spans="1:17" ht="22.5" customHeight="1" thickTop="1" thickBot="1" x14ac:dyDescent="0.25">
      <c r="A154" s="16" t="e">
        <f>#REF!</f>
        <v>#REF!</v>
      </c>
      <c r="B154" s="16" t="e">
        <f>#REF!</f>
        <v>#REF!</v>
      </c>
      <c r="C154" s="16" t="e">
        <f>#REF!</f>
        <v>#REF!</v>
      </c>
      <c r="D154" s="16" t="e">
        <f>#REF!</f>
        <v>#REF!</v>
      </c>
      <c r="E154" s="16" t="e">
        <f>#REF!</f>
        <v>#REF!</v>
      </c>
      <c r="F154" s="16" t="e">
        <f>#REF!</f>
        <v>#REF!</v>
      </c>
      <c r="G154" s="16" t="e">
        <f>#REF!</f>
        <v>#REF!</v>
      </c>
      <c r="H154" s="16" t="e">
        <f>#REF!</f>
        <v>#REF!</v>
      </c>
      <c r="I154" s="16" t="e">
        <f>#REF!</f>
        <v>#REF!</v>
      </c>
      <c r="J154" s="16" t="e">
        <f>#REF!</f>
        <v>#REF!</v>
      </c>
      <c r="K154" s="16" t="s">
        <v>744</v>
      </c>
      <c r="L154" s="16"/>
      <c r="M154" s="16"/>
      <c r="N154" s="16"/>
      <c r="O154" s="16"/>
      <c r="P154" s="24">
        <v>9</v>
      </c>
      <c r="Q154" s="17"/>
    </row>
    <row r="155" spans="1:17" ht="22.5" customHeight="1" thickTop="1" thickBot="1" x14ac:dyDescent="0.25">
      <c r="A155" s="16" t="e">
        <f>#REF!</f>
        <v>#REF!</v>
      </c>
      <c r="B155" s="16" t="e">
        <f>#REF!</f>
        <v>#REF!</v>
      </c>
      <c r="C155" s="16" t="e">
        <f>#REF!</f>
        <v>#REF!</v>
      </c>
      <c r="D155" s="16" t="e">
        <f>#REF!</f>
        <v>#REF!</v>
      </c>
      <c r="E155" s="16" t="e">
        <f>#REF!</f>
        <v>#REF!</v>
      </c>
      <c r="F155" s="16" t="e">
        <f>#REF!</f>
        <v>#REF!</v>
      </c>
      <c r="G155" s="16" t="e">
        <f>#REF!</f>
        <v>#REF!</v>
      </c>
      <c r="H155" s="16" t="e">
        <f>#REF!</f>
        <v>#REF!</v>
      </c>
      <c r="I155" s="16" t="e">
        <f>#REF!</f>
        <v>#REF!</v>
      </c>
      <c r="J155" s="16" t="e">
        <f>#REF!</f>
        <v>#REF!</v>
      </c>
      <c r="K155" s="16" t="s">
        <v>744</v>
      </c>
      <c r="L155" s="16"/>
      <c r="M155" s="16"/>
      <c r="N155" s="16"/>
      <c r="O155" s="16"/>
      <c r="P155" s="24">
        <v>9</v>
      </c>
      <c r="Q155" s="24"/>
    </row>
    <row r="156" spans="1:17" ht="22.5" customHeight="1" thickTop="1" thickBot="1" x14ac:dyDescent="0.25">
      <c r="A156" s="16" t="e">
        <f>#REF!</f>
        <v>#REF!</v>
      </c>
      <c r="B156" s="16" t="e">
        <f>#REF!</f>
        <v>#REF!</v>
      </c>
      <c r="C156" s="16" t="e">
        <f>#REF!</f>
        <v>#REF!</v>
      </c>
      <c r="D156" s="16" t="e">
        <f>#REF!</f>
        <v>#REF!</v>
      </c>
      <c r="E156" s="16" t="e">
        <f>#REF!</f>
        <v>#REF!</v>
      </c>
      <c r="F156" s="16" t="e">
        <f>#REF!</f>
        <v>#REF!</v>
      </c>
      <c r="G156" s="16" t="e">
        <f>#REF!</f>
        <v>#REF!</v>
      </c>
      <c r="H156" s="16" t="e">
        <f>#REF!</f>
        <v>#REF!</v>
      </c>
      <c r="I156" s="16" t="e">
        <f>#REF!</f>
        <v>#REF!</v>
      </c>
      <c r="J156" s="16" t="e">
        <f>#REF!</f>
        <v>#REF!</v>
      </c>
      <c r="K156" s="16" t="s">
        <v>744</v>
      </c>
      <c r="L156" s="16"/>
      <c r="M156" s="16"/>
      <c r="N156" s="16"/>
      <c r="O156" s="16"/>
      <c r="P156" s="24" t="s">
        <v>790</v>
      </c>
      <c r="Q156" s="24"/>
    </row>
    <row r="157" spans="1:17" ht="22.5" customHeight="1" thickTop="1" thickBot="1" x14ac:dyDescent="0.25">
      <c r="A157" s="16" t="e">
        <f>#REF!</f>
        <v>#REF!</v>
      </c>
      <c r="B157" s="16" t="e">
        <f>#REF!</f>
        <v>#REF!</v>
      </c>
      <c r="C157" s="16" t="e">
        <f>#REF!</f>
        <v>#REF!</v>
      </c>
      <c r="D157" s="16" t="e">
        <f>#REF!</f>
        <v>#REF!</v>
      </c>
      <c r="E157" s="16" t="e">
        <f>#REF!</f>
        <v>#REF!</v>
      </c>
      <c r="F157" s="16" t="e">
        <f>#REF!</f>
        <v>#REF!</v>
      </c>
      <c r="G157" s="16" t="e">
        <f>#REF!</f>
        <v>#REF!</v>
      </c>
      <c r="H157" s="16" t="e">
        <f>#REF!</f>
        <v>#REF!</v>
      </c>
      <c r="I157" s="16" t="e">
        <f>#REF!</f>
        <v>#REF!</v>
      </c>
      <c r="J157" s="16" t="e">
        <f>#REF!</f>
        <v>#REF!</v>
      </c>
      <c r="K157" s="16" t="s">
        <v>744</v>
      </c>
      <c r="L157" s="16"/>
      <c r="M157" s="16"/>
      <c r="N157" s="16"/>
      <c r="O157" s="16"/>
      <c r="P157" s="24" t="s">
        <v>790</v>
      </c>
      <c r="Q157" s="24"/>
    </row>
    <row r="158" spans="1:17" ht="22.5" customHeight="1" thickTop="1" thickBot="1" x14ac:dyDescent="0.25">
      <c r="A158" s="16" t="e">
        <f>#REF!</f>
        <v>#REF!</v>
      </c>
      <c r="B158" s="16" t="e">
        <f>#REF!</f>
        <v>#REF!</v>
      </c>
      <c r="C158" s="16" t="e">
        <f>#REF!</f>
        <v>#REF!</v>
      </c>
      <c r="D158" s="16" t="e">
        <f>#REF!</f>
        <v>#REF!</v>
      </c>
      <c r="E158" s="16" t="e">
        <f>#REF!</f>
        <v>#REF!</v>
      </c>
      <c r="F158" s="16" t="e">
        <f>#REF!</f>
        <v>#REF!</v>
      </c>
      <c r="G158" s="16" t="e">
        <f>#REF!</f>
        <v>#REF!</v>
      </c>
      <c r="H158" s="16" t="e">
        <f>#REF!</f>
        <v>#REF!</v>
      </c>
      <c r="I158" s="16" t="e">
        <f>#REF!</f>
        <v>#REF!</v>
      </c>
      <c r="J158" s="16" t="e">
        <f>#REF!</f>
        <v>#REF!</v>
      </c>
      <c r="K158" s="16" t="s">
        <v>744</v>
      </c>
      <c r="L158" s="16"/>
      <c r="M158" s="16"/>
      <c r="N158" s="16"/>
      <c r="O158" s="16"/>
      <c r="P158" s="24" t="s">
        <v>790</v>
      </c>
      <c r="Q158" s="24"/>
    </row>
    <row r="159" spans="1:17" ht="22.5" customHeight="1" thickTop="1" thickBot="1" x14ac:dyDescent="0.25">
      <c r="A159" s="16" t="e">
        <f>#REF!</f>
        <v>#REF!</v>
      </c>
      <c r="B159" s="16" t="e">
        <f>#REF!</f>
        <v>#REF!</v>
      </c>
      <c r="C159" s="16" t="e">
        <f>#REF!</f>
        <v>#REF!</v>
      </c>
      <c r="D159" s="16" t="e">
        <f>#REF!</f>
        <v>#REF!</v>
      </c>
      <c r="E159" s="16" t="e">
        <f>#REF!</f>
        <v>#REF!</v>
      </c>
      <c r="F159" s="16" t="e">
        <f>#REF!</f>
        <v>#REF!</v>
      </c>
      <c r="G159" s="16" t="e">
        <f>#REF!</f>
        <v>#REF!</v>
      </c>
      <c r="H159" s="16" t="e">
        <f>#REF!</f>
        <v>#REF!</v>
      </c>
      <c r="I159" s="16" t="e">
        <f>#REF!</f>
        <v>#REF!</v>
      </c>
      <c r="J159" s="16" t="e">
        <f>#REF!</f>
        <v>#REF!</v>
      </c>
      <c r="K159" s="16" t="s">
        <v>744</v>
      </c>
      <c r="L159" s="16"/>
      <c r="M159" s="16"/>
      <c r="N159" s="16"/>
      <c r="O159" s="16"/>
      <c r="P159" s="24" t="s">
        <v>790</v>
      </c>
      <c r="Q159" s="24"/>
    </row>
    <row r="160" spans="1:17" ht="22.5" customHeight="1" thickTop="1" thickBot="1" x14ac:dyDescent="0.25">
      <c r="A160" s="16" t="e">
        <f>#REF!</f>
        <v>#REF!</v>
      </c>
      <c r="B160" s="16" t="e">
        <f>#REF!</f>
        <v>#REF!</v>
      </c>
      <c r="C160" s="16" t="e">
        <f>#REF!</f>
        <v>#REF!</v>
      </c>
      <c r="D160" s="16" t="e">
        <f>#REF!</f>
        <v>#REF!</v>
      </c>
      <c r="E160" s="16" t="e">
        <f>#REF!</f>
        <v>#REF!</v>
      </c>
      <c r="F160" s="16" t="e">
        <f>#REF!</f>
        <v>#REF!</v>
      </c>
      <c r="G160" s="16" t="e">
        <f>#REF!</f>
        <v>#REF!</v>
      </c>
      <c r="H160" s="16" t="e">
        <f>#REF!</f>
        <v>#REF!</v>
      </c>
      <c r="I160" s="16" t="e">
        <f>#REF!</f>
        <v>#REF!</v>
      </c>
      <c r="J160" s="16" t="e">
        <f>#REF!</f>
        <v>#REF!</v>
      </c>
      <c r="K160" s="16" t="s">
        <v>744</v>
      </c>
      <c r="L160" s="16"/>
      <c r="M160" s="16"/>
      <c r="N160" s="16"/>
      <c r="O160" s="16"/>
      <c r="P160" s="24" t="s">
        <v>790</v>
      </c>
      <c r="Q160" s="24"/>
    </row>
    <row r="161" spans="1:17" ht="22.5" customHeight="1" thickTop="1" thickBot="1" x14ac:dyDescent="0.25">
      <c r="A161" s="16" t="e">
        <f>#REF!</f>
        <v>#REF!</v>
      </c>
      <c r="B161" s="16" t="e">
        <f>#REF!</f>
        <v>#REF!</v>
      </c>
      <c r="C161" s="16" t="e">
        <f>#REF!</f>
        <v>#REF!</v>
      </c>
      <c r="D161" s="16" t="e">
        <f>#REF!</f>
        <v>#REF!</v>
      </c>
      <c r="E161" s="16" t="e">
        <f>#REF!</f>
        <v>#REF!</v>
      </c>
      <c r="F161" s="16" t="e">
        <f>#REF!</f>
        <v>#REF!</v>
      </c>
      <c r="G161" s="16" t="e">
        <f>#REF!</f>
        <v>#REF!</v>
      </c>
      <c r="H161" s="16" t="e">
        <f>#REF!</f>
        <v>#REF!</v>
      </c>
      <c r="I161" s="16" t="e">
        <f>#REF!</f>
        <v>#REF!</v>
      </c>
      <c r="J161" s="16" t="e">
        <f>#REF!</f>
        <v>#REF!</v>
      </c>
      <c r="K161" s="16" t="s">
        <v>744</v>
      </c>
      <c r="L161" s="16"/>
      <c r="M161" s="16"/>
      <c r="N161" s="16"/>
      <c r="O161" s="16"/>
      <c r="P161" s="24" t="s">
        <v>790</v>
      </c>
      <c r="Q161" s="24"/>
    </row>
    <row r="162" spans="1:17" ht="22.5" customHeight="1" thickTop="1" thickBot="1" x14ac:dyDescent="0.25">
      <c r="A162" s="16" t="e">
        <f>#REF!</f>
        <v>#REF!</v>
      </c>
      <c r="B162" s="16" t="e">
        <f>#REF!</f>
        <v>#REF!</v>
      </c>
      <c r="C162" s="16" t="e">
        <f>#REF!</f>
        <v>#REF!</v>
      </c>
      <c r="D162" s="16" t="e">
        <f>#REF!</f>
        <v>#REF!</v>
      </c>
      <c r="E162" s="16" t="e">
        <f>#REF!</f>
        <v>#REF!</v>
      </c>
      <c r="F162" s="16" t="e">
        <f>#REF!</f>
        <v>#REF!</v>
      </c>
      <c r="G162" s="16" t="e">
        <f>#REF!</f>
        <v>#REF!</v>
      </c>
      <c r="H162" s="16" t="e">
        <f>#REF!</f>
        <v>#REF!</v>
      </c>
      <c r="I162" s="16" t="e">
        <f>#REF!</f>
        <v>#REF!</v>
      </c>
      <c r="J162" s="16" t="e">
        <f>#REF!</f>
        <v>#REF!</v>
      </c>
      <c r="K162" s="16" t="s">
        <v>744</v>
      </c>
      <c r="L162" s="16"/>
      <c r="M162" s="16"/>
      <c r="N162" s="16"/>
      <c r="O162" s="16"/>
      <c r="P162" s="24" t="s">
        <v>790</v>
      </c>
      <c r="Q162" s="24"/>
    </row>
    <row r="163" spans="1:17" ht="22.5" customHeight="1" thickTop="1" thickBot="1" x14ac:dyDescent="0.25">
      <c r="A163" s="16" t="e">
        <f>#REF!</f>
        <v>#REF!</v>
      </c>
      <c r="B163" s="16" t="e">
        <f>#REF!</f>
        <v>#REF!</v>
      </c>
      <c r="C163" s="16" t="e">
        <f>#REF!</f>
        <v>#REF!</v>
      </c>
      <c r="D163" s="16" t="e">
        <f>#REF!</f>
        <v>#REF!</v>
      </c>
      <c r="E163" s="16" t="e">
        <f>#REF!</f>
        <v>#REF!</v>
      </c>
      <c r="F163" s="16" t="e">
        <f>#REF!</f>
        <v>#REF!</v>
      </c>
      <c r="G163" s="16" t="e">
        <f>#REF!</f>
        <v>#REF!</v>
      </c>
      <c r="H163" s="16" t="e">
        <f>#REF!</f>
        <v>#REF!</v>
      </c>
      <c r="I163" s="16" t="e">
        <f>#REF!</f>
        <v>#REF!</v>
      </c>
      <c r="J163" s="16" t="e">
        <f>#REF!</f>
        <v>#REF!</v>
      </c>
      <c r="K163" s="16" t="s">
        <v>744</v>
      </c>
      <c r="L163" s="16"/>
      <c r="M163" s="16"/>
      <c r="N163" s="16"/>
      <c r="O163" s="16"/>
      <c r="P163" s="24" t="s">
        <v>790</v>
      </c>
      <c r="Q163" s="24"/>
    </row>
    <row r="164" spans="1:17" ht="22.5" customHeight="1" thickTop="1" thickBot="1" x14ac:dyDescent="0.25">
      <c r="A164" s="16" t="e">
        <f>#REF!</f>
        <v>#REF!</v>
      </c>
      <c r="B164" s="16" t="e">
        <f>#REF!</f>
        <v>#REF!</v>
      </c>
      <c r="C164" s="16" t="e">
        <f>#REF!</f>
        <v>#REF!</v>
      </c>
      <c r="D164" s="16" t="e">
        <f>#REF!</f>
        <v>#REF!</v>
      </c>
      <c r="E164" s="16" t="e">
        <f>#REF!</f>
        <v>#REF!</v>
      </c>
      <c r="F164" s="16" t="e">
        <f>#REF!</f>
        <v>#REF!</v>
      </c>
      <c r="G164" s="16" t="e">
        <f>#REF!</f>
        <v>#REF!</v>
      </c>
      <c r="H164" s="16" t="e">
        <f>#REF!</f>
        <v>#REF!</v>
      </c>
      <c r="I164" s="16" t="e">
        <f>#REF!</f>
        <v>#REF!</v>
      </c>
      <c r="J164" s="16" t="e">
        <f>#REF!</f>
        <v>#REF!</v>
      </c>
      <c r="K164" s="16" t="s">
        <v>744</v>
      </c>
      <c r="L164" s="16"/>
      <c r="M164" s="16"/>
      <c r="N164" s="16"/>
      <c r="O164" s="16"/>
      <c r="P164" s="24" t="s">
        <v>790</v>
      </c>
      <c r="Q164" s="24"/>
    </row>
    <row r="165" spans="1:17" ht="22.5" customHeight="1" thickTop="1" thickBot="1" x14ac:dyDescent="0.25">
      <c r="A165" s="16" t="e">
        <f>#REF!</f>
        <v>#REF!</v>
      </c>
      <c r="B165" s="16" t="e">
        <f>#REF!</f>
        <v>#REF!</v>
      </c>
      <c r="C165" s="16" t="e">
        <f>#REF!</f>
        <v>#REF!</v>
      </c>
      <c r="D165" s="16" t="e">
        <f>#REF!</f>
        <v>#REF!</v>
      </c>
      <c r="E165" s="16" t="e">
        <f>#REF!</f>
        <v>#REF!</v>
      </c>
      <c r="F165" s="16" t="e">
        <f>#REF!</f>
        <v>#REF!</v>
      </c>
      <c r="G165" s="16" t="e">
        <f>#REF!</f>
        <v>#REF!</v>
      </c>
      <c r="H165" s="16" t="e">
        <f>#REF!</f>
        <v>#REF!</v>
      </c>
      <c r="I165" s="16" t="e">
        <f>#REF!</f>
        <v>#REF!</v>
      </c>
      <c r="J165" s="16" t="e">
        <f>#REF!</f>
        <v>#REF!</v>
      </c>
      <c r="K165" s="16" t="s">
        <v>744</v>
      </c>
      <c r="L165" s="16"/>
      <c r="M165" s="16"/>
      <c r="N165" s="16"/>
      <c r="O165" s="16"/>
      <c r="P165" s="24" t="s">
        <v>790</v>
      </c>
      <c r="Q165" s="24"/>
    </row>
    <row r="166" spans="1:17" ht="22.5" customHeight="1" thickTop="1" thickBot="1" x14ac:dyDescent="0.25">
      <c r="A166" s="16" t="e">
        <f>#REF!</f>
        <v>#REF!</v>
      </c>
      <c r="B166" s="16" t="e">
        <f>#REF!</f>
        <v>#REF!</v>
      </c>
      <c r="C166" s="16" t="e">
        <f>#REF!</f>
        <v>#REF!</v>
      </c>
      <c r="D166" s="16" t="e">
        <f>#REF!</f>
        <v>#REF!</v>
      </c>
      <c r="E166" s="16" t="e">
        <f>#REF!</f>
        <v>#REF!</v>
      </c>
      <c r="F166" s="16" t="e">
        <f>#REF!</f>
        <v>#REF!</v>
      </c>
      <c r="G166" s="16" t="e">
        <f>#REF!</f>
        <v>#REF!</v>
      </c>
      <c r="H166" s="16" t="e">
        <f>#REF!</f>
        <v>#REF!</v>
      </c>
      <c r="I166" s="16" t="e">
        <f>#REF!</f>
        <v>#REF!</v>
      </c>
      <c r="J166" s="16" t="e">
        <f>#REF!</f>
        <v>#REF!</v>
      </c>
      <c r="K166" s="16"/>
      <c r="L166" s="16"/>
      <c r="M166" s="16"/>
      <c r="N166" s="16"/>
      <c r="O166" s="16"/>
      <c r="P166" s="24" t="s">
        <v>790</v>
      </c>
      <c r="Q166" s="24"/>
    </row>
    <row r="167" spans="1:17" ht="22.5" customHeight="1" thickTop="1" thickBot="1" x14ac:dyDescent="0.25">
      <c r="A167" s="16" t="e">
        <f>#REF!</f>
        <v>#REF!</v>
      </c>
      <c r="B167" s="16" t="e">
        <f>#REF!</f>
        <v>#REF!</v>
      </c>
      <c r="C167" s="16" t="e">
        <f>#REF!</f>
        <v>#REF!</v>
      </c>
      <c r="D167" s="16" t="e">
        <f>#REF!</f>
        <v>#REF!</v>
      </c>
      <c r="E167" s="16" t="e">
        <f>#REF!</f>
        <v>#REF!</v>
      </c>
      <c r="F167" s="16" t="e">
        <f>#REF!</f>
        <v>#REF!</v>
      </c>
      <c r="G167" s="16" t="e">
        <f>#REF!</f>
        <v>#REF!</v>
      </c>
      <c r="H167" s="16" t="e">
        <f>#REF!</f>
        <v>#REF!</v>
      </c>
      <c r="I167" s="16" t="e">
        <f>#REF!</f>
        <v>#REF!</v>
      </c>
      <c r="J167" s="16" t="e">
        <f>#REF!</f>
        <v>#REF!</v>
      </c>
      <c r="K167" s="16"/>
      <c r="L167" s="16"/>
      <c r="M167" s="16"/>
      <c r="N167" s="16"/>
      <c r="O167" s="16"/>
      <c r="P167" s="24" t="s">
        <v>790</v>
      </c>
      <c r="Q167" s="24"/>
    </row>
    <row r="168" spans="1:17" ht="22.5" customHeight="1" thickTop="1" thickBot="1" x14ac:dyDescent="0.25">
      <c r="A168" s="16" t="e">
        <f>#REF!</f>
        <v>#REF!</v>
      </c>
      <c r="B168" s="16" t="e">
        <f>#REF!</f>
        <v>#REF!</v>
      </c>
      <c r="C168" s="16" t="e">
        <f>#REF!</f>
        <v>#REF!</v>
      </c>
      <c r="D168" s="16" t="e">
        <f>#REF!</f>
        <v>#REF!</v>
      </c>
      <c r="E168" s="16" t="e">
        <f>#REF!</f>
        <v>#REF!</v>
      </c>
      <c r="F168" s="16" t="e">
        <f>#REF!</f>
        <v>#REF!</v>
      </c>
      <c r="G168" s="16" t="e">
        <f>#REF!</f>
        <v>#REF!</v>
      </c>
      <c r="H168" s="16" t="e">
        <f>#REF!</f>
        <v>#REF!</v>
      </c>
      <c r="I168" s="16" t="e">
        <f>#REF!</f>
        <v>#REF!</v>
      </c>
      <c r="J168" s="16" t="e">
        <f>#REF!</f>
        <v>#REF!</v>
      </c>
      <c r="K168" s="16"/>
      <c r="L168" s="16"/>
      <c r="M168" s="16"/>
      <c r="N168" s="16"/>
      <c r="O168" s="16"/>
      <c r="P168" s="24" t="s">
        <v>790</v>
      </c>
      <c r="Q168" s="24"/>
    </row>
    <row r="169" spans="1:17" ht="22.5" customHeight="1" thickTop="1" thickBot="1" x14ac:dyDescent="0.25">
      <c r="A169" s="16" t="e">
        <f>#REF!</f>
        <v>#REF!</v>
      </c>
      <c r="B169" s="16" t="e">
        <f>#REF!</f>
        <v>#REF!</v>
      </c>
      <c r="C169" s="16" t="e">
        <f>#REF!</f>
        <v>#REF!</v>
      </c>
      <c r="D169" s="16" t="e">
        <f>#REF!</f>
        <v>#REF!</v>
      </c>
      <c r="E169" s="16" t="e">
        <f>#REF!</f>
        <v>#REF!</v>
      </c>
      <c r="F169" s="16" t="e">
        <f>#REF!</f>
        <v>#REF!</v>
      </c>
      <c r="G169" s="16" t="e">
        <f>#REF!</f>
        <v>#REF!</v>
      </c>
      <c r="H169" s="16" t="e">
        <f>#REF!</f>
        <v>#REF!</v>
      </c>
      <c r="I169" s="16" t="e">
        <f>#REF!</f>
        <v>#REF!</v>
      </c>
      <c r="J169" s="16" t="e">
        <f>#REF!</f>
        <v>#REF!</v>
      </c>
      <c r="K169" s="16" t="s">
        <v>744</v>
      </c>
      <c r="L169" s="16"/>
      <c r="M169" s="16"/>
      <c r="N169" s="16"/>
      <c r="O169" s="16"/>
      <c r="P169" s="24" t="s">
        <v>790</v>
      </c>
      <c r="Q169" s="24"/>
    </row>
    <row r="170" spans="1:17" ht="22.5" customHeight="1" thickTop="1" thickBot="1" x14ac:dyDescent="0.25">
      <c r="A170" s="16" t="e">
        <f>#REF!</f>
        <v>#REF!</v>
      </c>
      <c r="B170" s="16" t="e">
        <f>#REF!</f>
        <v>#REF!</v>
      </c>
      <c r="C170" s="16" t="e">
        <f>#REF!</f>
        <v>#REF!</v>
      </c>
      <c r="D170" s="16" t="e">
        <f>#REF!</f>
        <v>#REF!</v>
      </c>
      <c r="E170" s="16" t="e">
        <f>#REF!</f>
        <v>#REF!</v>
      </c>
      <c r="F170" s="16" t="e">
        <f>#REF!</f>
        <v>#REF!</v>
      </c>
      <c r="G170" s="16" t="e">
        <f>#REF!</f>
        <v>#REF!</v>
      </c>
      <c r="H170" s="16" t="e">
        <f>#REF!</f>
        <v>#REF!</v>
      </c>
      <c r="I170" s="16" t="e">
        <f>#REF!</f>
        <v>#REF!</v>
      </c>
      <c r="J170" s="16" t="e">
        <f>#REF!</f>
        <v>#REF!</v>
      </c>
      <c r="K170" s="16" t="s">
        <v>744</v>
      </c>
      <c r="L170" s="16"/>
      <c r="M170" s="16"/>
      <c r="N170" s="16"/>
      <c r="O170" s="16"/>
      <c r="P170" s="24" t="s">
        <v>790</v>
      </c>
      <c r="Q170" s="24"/>
    </row>
    <row r="171" spans="1:17" ht="22.5" customHeight="1" thickTop="1" thickBot="1" x14ac:dyDescent="0.25">
      <c r="A171" s="16" t="e">
        <f>#REF!</f>
        <v>#REF!</v>
      </c>
      <c r="B171" s="16" t="e">
        <f>#REF!</f>
        <v>#REF!</v>
      </c>
      <c r="C171" s="16" t="e">
        <f>#REF!</f>
        <v>#REF!</v>
      </c>
      <c r="D171" s="16" t="e">
        <f>#REF!</f>
        <v>#REF!</v>
      </c>
      <c r="E171" s="16" t="e">
        <f>#REF!</f>
        <v>#REF!</v>
      </c>
      <c r="F171" s="16" t="e">
        <f>#REF!</f>
        <v>#REF!</v>
      </c>
      <c r="G171" s="16" t="e">
        <f>#REF!</f>
        <v>#REF!</v>
      </c>
      <c r="H171" s="16" t="e">
        <f>#REF!</f>
        <v>#REF!</v>
      </c>
      <c r="I171" s="16" t="e">
        <f>#REF!</f>
        <v>#REF!</v>
      </c>
      <c r="J171" s="16" t="e">
        <f>#REF!</f>
        <v>#REF!</v>
      </c>
      <c r="K171" s="16" t="s">
        <v>744</v>
      </c>
      <c r="L171" s="16"/>
      <c r="M171" s="16"/>
      <c r="N171" s="16"/>
      <c r="O171" s="16"/>
      <c r="P171" s="24" t="s">
        <v>790</v>
      </c>
      <c r="Q171" s="24"/>
    </row>
    <row r="172" spans="1:17" ht="22.5" customHeight="1" thickTop="1" thickBot="1" x14ac:dyDescent="0.25">
      <c r="A172" s="16" t="e">
        <f>#REF!</f>
        <v>#REF!</v>
      </c>
      <c r="B172" s="16" t="e">
        <f>#REF!</f>
        <v>#REF!</v>
      </c>
      <c r="C172" s="16" t="e">
        <f>#REF!</f>
        <v>#REF!</v>
      </c>
      <c r="D172" s="16" t="e">
        <f>#REF!</f>
        <v>#REF!</v>
      </c>
      <c r="E172" s="16" t="e">
        <f>#REF!</f>
        <v>#REF!</v>
      </c>
      <c r="F172" s="16" t="e">
        <f>#REF!</f>
        <v>#REF!</v>
      </c>
      <c r="G172" s="16" t="e">
        <f>#REF!</f>
        <v>#REF!</v>
      </c>
      <c r="H172" s="16" t="e">
        <f>#REF!</f>
        <v>#REF!</v>
      </c>
      <c r="I172" s="16" t="e">
        <f>#REF!</f>
        <v>#REF!</v>
      </c>
      <c r="J172" s="16" t="e">
        <f>#REF!</f>
        <v>#REF!</v>
      </c>
      <c r="K172" s="16" t="s">
        <v>744</v>
      </c>
      <c r="L172" s="16"/>
      <c r="M172" s="16"/>
      <c r="N172" s="16"/>
      <c r="O172" s="16"/>
      <c r="P172" s="24" t="s">
        <v>790</v>
      </c>
      <c r="Q172" s="24"/>
    </row>
    <row r="173" spans="1:17" ht="22.5" customHeight="1" thickTop="1" thickBot="1" x14ac:dyDescent="0.25">
      <c r="A173" s="16" t="e">
        <f>#REF!</f>
        <v>#REF!</v>
      </c>
      <c r="B173" s="16" t="e">
        <f>#REF!</f>
        <v>#REF!</v>
      </c>
      <c r="C173" s="16" t="e">
        <f>#REF!</f>
        <v>#REF!</v>
      </c>
      <c r="D173" s="16" t="e">
        <f>#REF!</f>
        <v>#REF!</v>
      </c>
      <c r="E173" s="16" t="e">
        <f>#REF!</f>
        <v>#REF!</v>
      </c>
      <c r="F173" s="16" t="e">
        <f>#REF!</f>
        <v>#REF!</v>
      </c>
      <c r="G173" s="16" t="e">
        <f>#REF!</f>
        <v>#REF!</v>
      </c>
      <c r="H173" s="16" t="e">
        <f>#REF!</f>
        <v>#REF!</v>
      </c>
      <c r="I173" s="16" t="e">
        <f>#REF!</f>
        <v>#REF!</v>
      </c>
      <c r="J173" s="16" t="e">
        <f>#REF!</f>
        <v>#REF!</v>
      </c>
      <c r="K173" s="16" t="s">
        <v>744</v>
      </c>
      <c r="L173" s="16"/>
      <c r="M173" s="16"/>
      <c r="N173" s="16"/>
      <c r="O173" s="16"/>
      <c r="P173" s="24" t="s">
        <v>790</v>
      </c>
      <c r="Q173" s="24"/>
    </row>
    <row r="174" spans="1:17" ht="22.5" customHeight="1" thickTop="1" thickBot="1" x14ac:dyDescent="0.25">
      <c r="A174" s="16" t="e">
        <f>#REF!</f>
        <v>#REF!</v>
      </c>
      <c r="B174" s="16" t="e">
        <f>#REF!</f>
        <v>#REF!</v>
      </c>
      <c r="C174" s="16" t="e">
        <f>#REF!</f>
        <v>#REF!</v>
      </c>
      <c r="D174" s="16" t="e">
        <f>#REF!</f>
        <v>#REF!</v>
      </c>
      <c r="E174" s="16" t="e">
        <f>#REF!</f>
        <v>#REF!</v>
      </c>
      <c r="F174" s="16" t="e">
        <f>#REF!</f>
        <v>#REF!</v>
      </c>
      <c r="G174" s="16" t="e">
        <f>#REF!</f>
        <v>#REF!</v>
      </c>
      <c r="H174" s="16" t="e">
        <f>#REF!</f>
        <v>#REF!</v>
      </c>
      <c r="I174" s="16" t="e">
        <f>#REF!</f>
        <v>#REF!</v>
      </c>
      <c r="J174" s="16" t="e">
        <f>#REF!</f>
        <v>#REF!</v>
      </c>
      <c r="K174" s="16" t="s">
        <v>744</v>
      </c>
      <c r="L174" s="16"/>
      <c r="M174" s="16"/>
      <c r="N174" s="16"/>
      <c r="O174" s="16"/>
      <c r="P174" s="24"/>
      <c r="Q174" s="24"/>
    </row>
    <row r="175" spans="1:17" ht="22.5" customHeight="1" thickTop="1" thickBot="1" x14ac:dyDescent="0.25">
      <c r="A175" s="16" t="e">
        <f>#REF!</f>
        <v>#REF!</v>
      </c>
      <c r="B175" s="16" t="e">
        <f>#REF!</f>
        <v>#REF!</v>
      </c>
      <c r="C175" s="16" t="e">
        <f>#REF!</f>
        <v>#REF!</v>
      </c>
      <c r="D175" s="16" t="e">
        <f>#REF!</f>
        <v>#REF!</v>
      </c>
      <c r="E175" s="16" t="e">
        <f>#REF!</f>
        <v>#REF!</v>
      </c>
      <c r="F175" s="16" t="e">
        <f>#REF!</f>
        <v>#REF!</v>
      </c>
      <c r="G175" s="16" t="e">
        <f>#REF!</f>
        <v>#REF!</v>
      </c>
      <c r="H175" s="16" t="e">
        <f>#REF!</f>
        <v>#REF!</v>
      </c>
      <c r="I175" s="16" t="e">
        <f>#REF!</f>
        <v>#REF!</v>
      </c>
      <c r="J175" s="16" t="e">
        <f>#REF!</f>
        <v>#REF!</v>
      </c>
      <c r="K175" s="16"/>
      <c r="L175" s="16"/>
      <c r="M175" s="16"/>
      <c r="N175" s="16"/>
      <c r="O175" s="16"/>
      <c r="P175" s="24"/>
      <c r="Q175" s="24"/>
    </row>
    <row r="176" spans="1:17" ht="22.5" customHeight="1" thickTop="1" thickBot="1" x14ac:dyDescent="0.25">
      <c r="A176" s="16" t="e">
        <f>#REF!</f>
        <v>#REF!</v>
      </c>
      <c r="B176" s="16" t="e">
        <f>#REF!</f>
        <v>#REF!</v>
      </c>
      <c r="C176" s="16" t="e">
        <f>#REF!</f>
        <v>#REF!</v>
      </c>
      <c r="D176" s="16" t="e">
        <f>#REF!</f>
        <v>#REF!</v>
      </c>
      <c r="E176" s="16" t="e">
        <f>#REF!</f>
        <v>#REF!</v>
      </c>
      <c r="F176" s="16" t="e">
        <f>#REF!</f>
        <v>#REF!</v>
      </c>
      <c r="G176" s="16" t="e">
        <f>#REF!</f>
        <v>#REF!</v>
      </c>
      <c r="H176" s="16" t="e">
        <f>#REF!</f>
        <v>#REF!</v>
      </c>
      <c r="I176" s="16" t="e">
        <f>#REF!</f>
        <v>#REF!</v>
      </c>
      <c r="J176" s="16" t="e">
        <f>#REF!</f>
        <v>#REF!</v>
      </c>
      <c r="K176" s="16" t="s">
        <v>744</v>
      </c>
      <c r="L176" s="16"/>
      <c r="M176" s="16"/>
      <c r="N176" s="16"/>
      <c r="O176" s="16"/>
      <c r="P176" s="24"/>
      <c r="Q176" s="24"/>
    </row>
    <row r="177" spans="1:17" ht="22.5" customHeight="1" thickTop="1" thickBot="1" x14ac:dyDescent="0.25">
      <c r="A177" s="16" t="e">
        <f>#REF!</f>
        <v>#REF!</v>
      </c>
      <c r="B177" s="16" t="e">
        <f>#REF!</f>
        <v>#REF!</v>
      </c>
      <c r="C177" s="16" t="e">
        <f>#REF!</f>
        <v>#REF!</v>
      </c>
      <c r="D177" s="16" t="e">
        <f>#REF!</f>
        <v>#REF!</v>
      </c>
      <c r="E177" s="16" t="e">
        <f>#REF!</f>
        <v>#REF!</v>
      </c>
      <c r="F177" s="16" t="e">
        <f>#REF!</f>
        <v>#REF!</v>
      </c>
      <c r="G177" s="16" t="e">
        <f>#REF!</f>
        <v>#REF!</v>
      </c>
      <c r="H177" s="16" t="e">
        <f>#REF!</f>
        <v>#REF!</v>
      </c>
      <c r="I177" s="16" t="e">
        <f>#REF!</f>
        <v>#REF!</v>
      </c>
      <c r="J177" s="16" t="e">
        <f>#REF!</f>
        <v>#REF!</v>
      </c>
      <c r="K177" s="16" t="s">
        <v>744</v>
      </c>
      <c r="L177" s="16"/>
      <c r="M177" s="16"/>
      <c r="N177" s="16"/>
      <c r="O177" s="16"/>
      <c r="P177" s="24">
        <v>12</v>
      </c>
      <c r="Q177" s="24"/>
    </row>
    <row r="178" spans="1:17" ht="22.5" customHeight="1" thickTop="1" thickBot="1" x14ac:dyDescent="0.25">
      <c r="A178" s="16" t="e">
        <f>#REF!</f>
        <v>#REF!</v>
      </c>
      <c r="B178" s="16" t="e">
        <f>#REF!</f>
        <v>#REF!</v>
      </c>
      <c r="C178" s="16" t="e">
        <f>#REF!</f>
        <v>#REF!</v>
      </c>
      <c r="D178" s="16" t="e">
        <f>#REF!</f>
        <v>#REF!</v>
      </c>
      <c r="E178" s="16" t="e">
        <f>#REF!</f>
        <v>#REF!</v>
      </c>
      <c r="F178" s="16" t="e">
        <f>#REF!</f>
        <v>#REF!</v>
      </c>
      <c r="G178" s="16" t="e">
        <f>#REF!</f>
        <v>#REF!</v>
      </c>
      <c r="H178" s="16" t="e">
        <f>#REF!</f>
        <v>#REF!</v>
      </c>
      <c r="I178" s="16" t="e">
        <f>#REF!</f>
        <v>#REF!</v>
      </c>
      <c r="J178" s="16" t="e">
        <f>#REF!</f>
        <v>#REF!</v>
      </c>
      <c r="K178" s="16" t="s">
        <v>744</v>
      </c>
      <c r="L178" s="16"/>
      <c r="M178" s="16"/>
      <c r="N178" s="16"/>
      <c r="O178" s="16"/>
      <c r="P178" s="24">
        <v>13</v>
      </c>
      <c r="Q178" s="24"/>
    </row>
    <row r="179" spans="1:17" ht="22.5" customHeight="1" thickTop="1" thickBot="1" x14ac:dyDescent="0.25">
      <c r="A179" s="16" t="e">
        <f>#REF!</f>
        <v>#REF!</v>
      </c>
      <c r="B179" s="16" t="e">
        <f>#REF!</f>
        <v>#REF!</v>
      </c>
      <c r="C179" s="16" t="e">
        <f>#REF!</f>
        <v>#REF!</v>
      </c>
      <c r="D179" s="16" t="e">
        <f>#REF!</f>
        <v>#REF!</v>
      </c>
      <c r="E179" s="16" t="e">
        <f>#REF!</f>
        <v>#REF!</v>
      </c>
      <c r="F179" s="16" t="e">
        <f>#REF!</f>
        <v>#REF!</v>
      </c>
      <c r="G179" s="16" t="e">
        <f>#REF!</f>
        <v>#REF!</v>
      </c>
      <c r="H179" s="16" t="e">
        <f>#REF!</f>
        <v>#REF!</v>
      </c>
      <c r="I179" s="16" t="e">
        <f>#REF!</f>
        <v>#REF!</v>
      </c>
      <c r="J179" s="16" t="e">
        <f>#REF!</f>
        <v>#REF!</v>
      </c>
      <c r="K179" s="16" t="s">
        <v>744</v>
      </c>
      <c r="L179" s="16"/>
      <c r="M179" s="16"/>
      <c r="N179" s="16"/>
      <c r="O179" s="16"/>
      <c r="P179" s="24">
        <v>31</v>
      </c>
      <c r="Q179" s="24"/>
    </row>
    <row r="180" spans="1:17" ht="22.5" customHeight="1" thickTop="1" thickBot="1" x14ac:dyDescent="0.25">
      <c r="A180" s="16" t="e">
        <f>#REF!</f>
        <v>#REF!</v>
      </c>
      <c r="B180" s="16" t="e">
        <f>#REF!</f>
        <v>#REF!</v>
      </c>
      <c r="C180" s="16" t="e">
        <f>#REF!</f>
        <v>#REF!</v>
      </c>
      <c r="D180" s="16" t="e">
        <f>#REF!</f>
        <v>#REF!</v>
      </c>
      <c r="E180" s="16" t="e">
        <f>#REF!</f>
        <v>#REF!</v>
      </c>
      <c r="F180" s="16" t="e">
        <f>#REF!</f>
        <v>#REF!</v>
      </c>
      <c r="G180" s="16" t="e">
        <f>#REF!</f>
        <v>#REF!</v>
      </c>
      <c r="H180" s="16" t="e">
        <f>#REF!</f>
        <v>#REF!</v>
      </c>
      <c r="I180" s="16" t="e">
        <f>#REF!</f>
        <v>#REF!</v>
      </c>
      <c r="J180" s="16" t="e">
        <f>#REF!</f>
        <v>#REF!</v>
      </c>
      <c r="K180" s="16" t="s">
        <v>744</v>
      </c>
      <c r="L180" s="16"/>
      <c r="M180" s="16"/>
      <c r="N180" s="16"/>
      <c r="O180" s="16"/>
      <c r="P180" s="24">
        <v>13</v>
      </c>
      <c r="Q180" s="24"/>
    </row>
    <row r="181" spans="1:17" ht="22.5" customHeight="1" thickTop="1" thickBot="1" x14ac:dyDescent="0.25">
      <c r="A181" s="16" t="e">
        <f>#REF!</f>
        <v>#REF!</v>
      </c>
      <c r="B181" s="16" t="e">
        <f>#REF!</f>
        <v>#REF!</v>
      </c>
      <c r="C181" s="16" t="e">
        <f>#REF!</f>
        <v>#REF!</v>
      </c>
      <c r="D181" s="16" t="e">
        <f>#REF!</f>
        <v>#REF!</v>
      </c>
      <c r="E181" s="16" t="e">
        <f>#REF!</f>
        <v>#REF!</v>
      </c>
      <c r="F181" s="16" t="e">
        <f>#REF!</f>
        <v>#REF!</v>
      </c>
      <c r="G181" s="16" t="e">
        <f>#REF!</f>
        <v>#REF!</v>
      </c>
      <c r="H181" s="16" t="e">
        <f>#REF!</f>
        <v>#REF!</v>
      </c>
      <c r="I181" s="16" t="e">
        <f>#REF!</f>
        <v>#REF!</v>
      </c>
      <c r="J181" s="16" t="e">
        <f>#REF!</f>
        <v>#REF!</v>
      </c>
      <c r="K181" s="16" t="s">
        <v>744</v>
      </c>
      <c r="L181" s="16"/>
      <c r="M181" s="16"/>
      <c r="N181" s="16"/>
      <c r="O181" s="16"/>
      <c r="P181" s="24">
        <v>31</v>
      </c>
      <c r="Q181" s="24"/>
    </row>
    <row r="182" spans="1:17" ht="22.5" customHeight="1" thickTop="1" thickBot="1" x14ac:dyDescent="0.25">
      <c r="A182" s="16" t="e">
        <f>#REF!</f>
        <v>#REF!</v>
      </c>
      <c r="B182" s="16" t="e">
        <f>#REF!</f>
        <v>#REF!</v>
      </c>
      <c r="C182" s="16" t="e">
        <f>#REF!</f>
        <v>#REF!</v>
      </c>
      <c r="D182" s="16" t="e">
        <f>#REF!</f>
        <v>#REF!</v>
      </c>
      <c r="E182" s="16" t="e">
        <f>#REF!</f>
        <v>#REF!</v>
      </c>
      <c r="F182" s="16" t="e">
        <f>#REF!</f>
        <v>#REF!</v>
      </c>
      <c r="G182" s="16" t="e">
        <f>#REF!</f>
        <v>#REF!</v>
      </c>
      <c r="H182" s="16" t="e">
        <f>#REF!</f>
        <v>#REF!</v>
      </c>
      <c r="I182" s="16" t="e">
        <f>#REF!</f>
        <v>#REF!</v>
      </c>
      <c r="J182" s="16" t="e">
        <f>#REF!</f>
        <v>#REF!</v>
      </c>
      <c r="K182" s="16" t="s">
        <v>744</v>
      </c>
      <c r="L182" s="16"/>
      <c r="M182" s="16"/>
      <c r="N182" s="16"/>
      <c r="O182" s="16"/>
      <c r="P182" s="24">
        <v>13</v>
      </c>
      <c r="Q182" s="24"/>
    </row>
    <row r="183" spans="1:17" ht="22.5" customHeight="1" thickTop="1" thickBot="1" x14ac:dyDescent="0.25">
      <c r="A183" s="16" t="e">
        <f>#REF!</f>
        <v>#REF!</v>
      </c>
      <c r="B183" s="16" t="e">
        <f>#REF!</f>
        <v>#REF!</v>
      </c>
      <c r="C183" s="16" t="e">
        <f>#REF!</f>
        <v>#REF!</v>
      </c>
      <c r="D183" s="16" t="e">
        <f>#REF!</f>
        <v>#REF!</v>
      </c>
      <c r="E183" s="16" t="e">
        <f>#REF!</f>
        <v>#REF!</v>
      </c>
      <c r="F183" s="16" t="e">
        <f>#REF!</f>
        <v>#REF!</v>
      </c>
      <c r="G183" s="16" t="e">
        <f>#REF!</f>
        <v>#REF!</v>
      </c>
      <c r="H183" s="16" t="e">
        <f>#REF!</f>
        <v>#REF!</v>
      </c>
      <c r="I183" s="16" t="e">
        <f>#REF!</f>
        <v>#REF!</v>
      </c>
      <c r="J183" s="16" t="e">
        <f>#REF!</f>
        <v>#REF!</v>
      </c>
      <c r="K183" s="16" t="s">
        <v>744</v>
      </c>
      <c r="L183" s="16"/>
      <c r="M183" s="16"/>
      <c r="N183" s="16"/>
      <c r="O183" s="16"/>
      <c r="P183" s="23">
        <v>14</v>
      </c>
      <c r="Q183" s="23"/>
    </row>
    <row r="184" spans="1:17" ht="22.5" customHeight="1" thickTop="1" thickBot="1" x14ac:dyDescent="0.25">
      <c r="A184" s="16" t="e">
        <f>#REF!</f>
        <v>#REF!</v>
      </c>
      <c r="B184" s="16" t="e">
        <f>#REF!</f>
        <v>#REF!</v>
      </c>
      <c r="C184" s="16" t="e">
        <f>#REF!</f>
        <v>#REF!</v>
      </c>
      <c r="D184" s="16" t="e">
        <f>#REF!</f>
        <v>#REF!</v>
      </c>
      <c r="E184" s="16" t="e">
        <f>#REF!</f>
        <v>#REF!</v>
      </c>
      <c r="F184" s="16" t="e">
        <f>#REF!</f>
        <v>#REF!</v>
      </c>
      <c r="G184" s="16" t="e">
        <f>#REF!</f>
        <v>#REF!</v>
      </c>
      <c r="H184" s="16" t="e">
        <f>#REF!</f>
        <v>#REF!</v>
      </c>
      <c r="I184" s="16" t="e">
        <f>#REF!</f>
        <v>#REF!</v>
      </c>
      <c r="J184" s="16" t="e">
        <f>#REF!</f>
        <v>#REF!</v>
      </c>
      <c r="K184" s="16" t="s">
        <v>744</v>
      </c>
      <c r="L184" s="16"/>
      <c r="M184" s="16"/>
      <c r="N184" s="16"/>
      <c r="O184" s="16"/>
      <c r="P184" s="23">
        <v>15</v>
      </c>
      <c r="Q184" s="23"/>
    </row>
    <row r="185" spans="1:17" ht="22.5" customHeight="1" thickTop="1" thickBot="1" x14ac:dyDescent="0.25">
      <c r="A185" s="16" t="e">
        <f>#REF!</f>
        <v>#REF!</v>
      </c>
      <c r="B185" s="16" t="e">
        <f>#REF!</f>
        <v>#REF!</v>
      </c>
      <c r="C185" s="16" t="e">
        <f>#REF!</f>
        <v>#REF!</v>
      </c>
      <c r="D185" s="16" t="e">
        <f>#REF!</f>
        <v>#REF!</v>
      </c>
      <c r="E185" s="16" t="e">
        <f>#REF!</f>
        <v>#REF!</v>
      </c>
      <c r="F185" s="16" t="e">
        <f>#REF!</f>
        <v>#REF!</v>
      </c>
      <c r="G185" s="16" t="e">
        <f>#REF!</f>
        <v>#REF!</v>
      </c>
      <c r="H185" s="16" t="e">
        <f>#REF!</f>
        <v>#REF!</v>
      </c>
      <c r="I185" s="16" t="e">
        <f>#REF!</f>
        <v>#REF!</v>
      </c>
      <c r="J185" s="16" t="e">
        <f>#REF!</f>
        <v>#REF!</v>
      </c>
      <c r="K185" s="16"/>
      <c r="L185" s="16"/>
      <c r="M185" s="16"/>
      <c r="N185" s="16"/>
      <c r="O185" s="16"/>
      <c r="P185" s="24"/>
      <c r="Q185" s="24"/>
    </row>
    <row r="186" spans="1:17" ht="22.5" customHeight="1" thickTop="1" thickBot="1" x14ac:dyDescent="0.25">
      <c r="A186" s="16" t="e">
        <f>#REF!</f>
        <v>#REF!</v>
      </c>
      <c r="B186" s="16" t="e">
        <f>#REF!</f>
        <v>#REF!</v>
      </c>
      <c r="C186" s="16" t="e">
        <f>#REF!</f>
        <v>#REF!</v>
      </c>
      <c r="D186" s="16" t="e">
        <f>#REF!</f>
        <v>#REF!</v>
      </c>
      <c r="E186" s="16" t="e">
        <f>#REF!</f>
        <v>#REF!</v>
      </c>
      <c r="F186" s="16" t="e">
        <f>#REF!</f>
        <v>#REF!</v>
      </c>
      <c r="G186" s="16" t="e">
        <f>#REF!</f>
        <v>#REF!</v>
      </c>
      <c r="H186" s="16" t="e">
        <f>#REF!</f>
        <v>#REF!</v>
      </c>
      <c r="I186" s="16" t="e">
        <f>#REF!</f>
        <v>#REF!</v>
      </c>
      <c r="J186" s="16" t="e">
        <f>#REF!</f>
        <v>#REF!</v>
      </c>
      <c r="K186" s="16" t="s">
        <v>744</v>
      </c>
      <c r="L186" s="16"/>
      <c r="M186" s="16"/>
      <c r="N186" s="16"/>
      <c r="O186" s="16"/>
      <c r="P186" s="24"/>
      <c r="Q186" s="24"/>
    </row>
    <row r="187" spans="1:17" ht="22.5" customHeight="1" thickTop="1" thickBot="1" x14ac:dyDescent="0.25">
      <c r="A187" s="16" t="e">
        <f>#REF!</f>
        <v>#REF!</v>
      </c>
      <c r="B187" s="16" t="e">
        <f>#REF!</f>
        <v>#REF!</v>
      </c>
      <c r="C187" s="16" t="e">
        <f>#REF!</f>
        <v>#REF!</v>
      </c>
      <c r="D187" s="16" t="e">
        <f>#REF!</f>
        <v>#REF!</v>
      </c>
      <c r="E187" s="16" t="e">
        <f>#REF!</f>
        <v>#REF!</v>
      </c>
      <c r="F187" s="16" t="e">
        <f>#REF!</f>
        <v>#REF!</v>
      </c>
      <c r="G187" s="16" t="e">
        <f>#REF!</f>
        <v>#REF!</v>
      </c>
      <c r="H187" s="16" t="e">
        <f>#REF!</f>
        <v>#REF!</v>
      </c>
      <c r="I187" s="16" t="e">
        <f>#REF!</f>
        <v>#REF!</v>
      </c>
      <c r="J187" s="16" t="e">
        <f>#REF!</f>
        <v>#REF!</v>
      </c>
      <c r="K187" s="16" t="s">
        <v>744</v>
      </c>
      <c r="L187" s="16"/>
      <c r="M187" s="16"/>
      <c r="N187" s="16"/>
      <c r="O187" s="16"/>
      <c r="P187" s="24">
        <v>17</v>
      </c>
      <c r="Q187" s="24"/>
    </row>
    <row r="188" spans="1:17" ht="22.5" customHeight="1" thickTop="1" thickBot="1" x14ac:dyDescent="0.25">
      <c r="A188" s="16" t="e">
        <f>#REF!</f>
        <v>#REF!</v>
      </c>
      <c r="B188" s="16" t="e">
        <f>#REF!</f>
        <v>#REF!</v>
      </c>
      <c r="C188" s="16" t="e">
        <f>#REF!</f>
        <v>#REF!</v>
      </c>
      <c r="D188" s="16" t="e">
        <f>#REF!</f>
        <v>#REF!</v>
      </c>
      <c r="E188" s="16" t="e">
        <f>#REF!</f>
        <v>#REF!</v>
      </c>
      <c r="F188" s="16" t="e">
        <f>#REF!</f>
        <v>#REF!</v>
      </c>
      <c r="G188" s="16" t="e">
        <f>#REF!</f>
        <v>#REF!</v>
      </c>
      <c r="H188" s="16" t="e">
        <f>#REF!</f>
        <v>#REF!</v>
      </c>
      <c r="I188" s="16" t="e">
        <f>#REF!</f>
        <v>#REF!</v>
      </c>
      <c r="J188" s="16" t="e">
        <f>#REF!</f>
        <v>#REF!</v>
      </c>
      <c r="K188" s="16" t="s">
        <v>744</v>
      </c>
      <c r="L188" s="16"/>
      <c r="M188" s="16"/>
      <c r="N188" s="16"/>
      <c r="O188" s="16"/>
      <c r="P188" s="24">
        <v>17</v>
      </c>
      <c r="Q188" s="24"/>
    </row>
    <row r="189" spans="1:17" ht="22.5" customHeight="1" thickTop="1" thickBot="1" x14ac:dyDescent="0.25">
      <c r="A189" s="16" t="e">
        <f>#REF!</f>
        <v>#REF!</v>
      </c>
      <c r="B189" s="16" t="e">
        <f>#REF!</f>
        <v>#REF!</v>
      </c>
      <c r="C189" s="16" t="e">
        <f>#REF!</f>
        <v>#REF!</v>
      </c>
      <c r="D189" s="16" t="e">
        <f>#REF!</f>
        <v>#REF!</v>
      </c>
      <c r="E189" s="16" t="e">
        <f>#REF!</f>
        <v>#REF!</v>
      </c>
      <c r="F189" s="16" t="e">
        <f>#REF!</f>
        <v>#REF!</v>
      </c>
      <c r="G189" s="16" t="e">
        <f>#REF!</f>
        <v>#REF!</v>
      </c>
      <c r="H189" s="16" t="e">
        <f>#REF!</f>
        <v>#REF!</v>
      </c>
      <c r="I189" s="16" t="e">
        <f>#REF!</f>
        <v>#REF!</v>
      </c>
      <c r="J189" s="16" t="e">
        <f>#REF!</f>
        <v>#REF!</v>
      </c>
      <c r="K189" s="16" t="s">
        <v>744</v>
      </c>
      <c r="L189" s="16"/>
      <c r="M189" s="16"/>
      <c r="N189" s="16"/>
      <c r="O189" s="16"/>
      <c r="P189" s="24">
        <v>18</v>
      </c>
      <c r="Q189" s="24"/>
    </row>
    <row r="190" spans="1:17" ht="22.5" customHeight="1" thickTop="1" thickBot="1" x14ac:dyDescent="0.25">
      <c r="A190" s="16" t="e">
        <f>#REF!</f>
        <v>#REF!</v>
      </c>
      <c r="B190" s="16" t="e">
        <f>#REF!</f>
        <v>#REF!</v>
      </c>
      <c r="C190" s="16" t="e">
        <f>#REF!</f>
        <v>#REF!</v>
      </c>
      <c r="D190" s="16" t="e">
        <f>#REF!</f>
        <v>#REF!</v>
      </c>
      <c r="E190" s="16" t="e">
        <f>#REF!</f>
        <v>#REF!</v>
      </c>
      <c r="F190" s="16" t="e">
        <f>#REF!</f>
        <v>#REF!</v>
      </c>
      <c r="G190" s="16" t="e">
        <f>#REF!</f>
        <v>#REF!</v>
      </c>
      <c r="H190" s="16" t="e">
        <f>#REF!</f>
        <v>#REF!</v>
      </c>
      <c r="I190" s="16" t="e">
        <f>#REF!</f>
        <v>#REF!</v>
      </c>
      <c r="J190" s="16" t="e">
        <f>#REF!</f>
        <v>#REF!</v>
      </c>
      <c r="K190" s="16" t="s">
        <v>744</v>
      </c>
      <c r="L190" s="16"/>
      <c r="M190" s="16"/>
      <c r="N190" s="16"/>
      <c r="O190" s="16"/>
      <c r="P190" s="24">
        <v>19</v>
      </c>
      <c r="Q190" s="24"/>
    </row>
    <row r="191" spans="1:17" ht="22.5" customHeight="1" thickTop="1" thickBot="1" x14ac:dyDescent="0.25">
      <c r="A191" s="16" t="e">
        <f>#REF!</f>
        <v>#REF!</v>
      </c>
      <c r="B191" s="16" t="e">
        <f>#REF!</f>
        <v>#REF!</v>
      </c>
      <c r="C191" s="16" t="e">
        <f>#REF!</f>
        <v>#REF!</v>
      </c>
      <c r="D191" s="16" t="e">
        <f>#REF!</f>
        <v>#REF!</v>
      </c>
      <c r="E191" s="16" t="e">
        <f>#REF!</f>
        <v>#REF!</v>
      </c>
      <c r="F191" s="16" t="e">
        <f>#REF!</f>
        <v>#REF!</v>
      </c>
      <c r="G191" s="16" t="e">
        <f>#REF!</f>
        <v>#REF!</v>
      </c>
      <c r="H191" s="16" t="e">
        <f>#REF!</f>
        <v>#REF!</v>
      </c>
      <c r="I191" s="16" t="e">
        <f>#REF!</f>
        <v>#REF!</v>
      </c>
      <c r="J191" s="16" t="e">
        <f>#REF!</f>
        <v>#REF!</v>
      </c>
      <c r="K191" s="16" t="s">
        <v>744</v>
      </c>
      <c r="L191" s="16"/>
      <c r="M191" s="16"/>
      <c r="N191" s="16"/>
      <c r="O191" s="16"/>
      <c r="P191" s="24">
        <v>19</v>
      </c>
      <c r="Q191" s="24"/>
    </row>
    <row r="192" spans="1:17" ht="22.5" customHeight="1" thickTop="1" thickBot="1" x14ac:dyDescent="0.25">
      <c r="A192" s="16" t="e">
        <f>#REF!</f>
        <v>#REF!</v>
      </c>
      <c r="B192" s="16" t="e">
        <f>#REF!</f>
        <v>#REF!</v>
      </c>
      <c r="C192" s="16" t="e">
        <f>#REF!</f>
        <v>#REF!</v>
      </c>
      <c r="D192" s="16" t="e">
        <f>#REF!</f>
        <v>#REF!</v>
      </c>
      <c r="E192" s="16" t="e">
        <f>#REF!</f>
        <v>#REF!</v>
      </c>
      <c r="F192" s="16" t="e">
        <f>#REF!</f>
        <v>#REF!</v>
      </c>
      <c r="G192" s="16" t="e">
        <f>#REF!</f>
        <v>#REF!</v>
      </c>
      <c r="H192" s="16" t="e">
        <f>#REF!</f>
        <v>#REF!</v>
      </c>
      <c r="I192" s="16" t="e">
        <f>#REF!</f>
        <v>#REF!</v>
      </c>
      <c r="J192" s="16" t="e">
        <f>#REF!</f>
        <v>#REF!</v>
      </c>
      <c r="K192" s="16" t="s">
        <v>744</v>
      </c>
      <c r="L192" s="16"/>
      <c r="M192" s="16"/>
      <c r="N192" s="16"/>
      <c r="O192" s="16"/>
      <c r="P192" s="24">
        <v>21</v>
      </c>
      <c r="Q192" s="24"/>
    </row>
    <row r="193" spans="1:17" ht="22.5" customHeight="1" thickTop="1" thickBot="1" x14ac:dyDescent="0.25">
      <c r="A193" s="16" t="e">
        <f>#REF!</f>
        <v>#REF!</v>
      </c>
      <c r="B193" s="16" t="e">
        <f>#REF!</f>
        <v>#REF!</v>
      </c>
      <c r="C193" s="16" t="e">
        <f>#REF!</f>
        <v>#REF!</v>
      </c>
      <c r="D193" s="16" t="e">
        <f>#REF!</f>
        <v>#REF!</v>
      </c>
      <c r="E193" s="16" t="e">
        <f>#REF!</f>
        <v>#REF!</v>
      </c>
      <c r="F193" s="16" t="e">
        <f>#REF!</f>
        <v>#REF!</v>
      </c>
      <c r="G193" s="16" t="e">
        <f>#REF!</f>
        <v>#REF!</v>
      </c>
      <c r="H193" s="16" t="e">
        <f>#REF!</f>
        <v>#REF!</v>
      </c>
      <c r="I193" s="16" t="e">
        <f>#REF!</f>
        <v>#REF!</v>
      </c>
      <c r="J193" s="16" t="e">
        <f>#REF!</f>
        <v>#REF!</v>
      </c>
      <c r="K193" s="16"/>
      <c r="L193" s="16"/>
      <c r="M193" s="16"/>
      <c r="N193" s="16"/>
      <c r="O193" s="16"/>
      <c r="P193" s="24">
        <v>22</v>
      </c>
      <c r="Q193" s="24"/>
    </row>
    <row r="194" spans="1:17" ht="22.5" customHeight="1" thickTop="1" thickBot="1" x14ac:dyDescent="0.25">
      <c r="A194" s="16" t="e">
        <f>#REF!</f>
        <v>#REF!</v>
      </c>
      <c r="B194" s="16" t="e">
        <f>#REF!</f>
        <v>#REF!</v>
      </c>
      <c r="C194" s="16" t="e">
        <f>#REF!</f>
        <v>#REF!</v>
      </c>
      <c r="D194" s="16" t="e">
        <f>#REF!</f>
        <v>#REF!</v>
      </c>
      <c r="E194" s="16" t="e">
        <f>#REF!</f>
        <v>#REF!</v>
      </c>
      <c r="F194" s="16" t="e">
        <f>#REF!</f>
        <v>#REF!</v>
      </c>
      <c r="G194" s="16" t="e">
        <f>#REF!</f>
        <v>#REF!</v>
      </c>
      <c r="H194" s="16" t="e">
        <f>#REF!</f>
        <v>#REF!</v>
      </c>
      <c r="I194" s="16" t="e">
        <f>#REF!</f>
        <v>#REF!</v>
      </c>
      <c r="J194" s="16" t="e">
        <f>#REF!</f>
        <v>#REF!</v>
      </c>
      <c r="K194" s="16" t="s">
        <v>744</v>
      </c>
      <c r="L194" s="16"/>
      <c r="M194" s="16"/>
      <c r="N194" s="16"/>
      <c r="O194" s="16"/>
      <c r="P194" s="24">
        <v>23</v>
      </c>
      <c r="Q194" s="24"/>
    </row>
    <row r="195" spans="1:17" ht="22.5" customHeight="1" thickTop="1" thickBot="1" x14ac:dyDescent="0.25">
      <c r="A195" s="16" t="e">
        <f>#REF!</f>
        <v>#REF!</v>
      </c>
      <c r="B195" s="16" t="e">
        <f>#REF!</f>
        <v>#REF!</v>
      </c>
      <c r="C195" s="16" t="e">
        <f>#REF!</f>
        <v>#REF!</v>
      </c>
      <c r="D195" s="16" t="e">
        <f>#REF!</f>
        <v>#REF!</v>
      </c>
      <c r="E195" s="16" t="e">
        <f>#REF!</f>
        <v>#REF!</v>
      </c>
      <c r="F195" s="16" t="e">
        <f>#REF!</f>
        <v>#REF!</v>
      </c>
      <c r="G195" s="16" t="e">
        <f>#REF!</f>
        <v>#REF!</v>
      </c>
      <c r="H195" s="16" t="e">
        <f>#REF!</f>
        <v>#REF!</v>
      </c>
      <c r="I195" s="16" t="e">
        <f>#REF!</f>
        <v>#REF!</v>
      </c>
      <c r="J195" s="16" t="e">
        <f>#REF!</f>
        <v>#REF!</v>
      </c>
      <c r="K195" s="16" t="s">
        <v>744</v>
      </c>
      <c r="L195" s="16"/>
      <c r="M195" s="16"/>
      <c r="N195" s="16"/>
      <c r="O195" s="16"/>
      <c r="P195" s="24">
        <v>25</v>
      </c>
      <c r="Q195" s="24"/>
    </row>
    <row r="196" spans="1:17" ht="22.5" customHeight="1" thickTop="1" thickBot="1" x14ac:dyDescent="0.25">
      <c r="A196" s="16" t="e">
        <f>#REF!</f>
        <v>#REF!</v>
      </c>
      <c r="B196" s="16" t="e">
        <f>#REF!</f>
        <v>#REF!</v>
      </c>
      <c r="C196" s="16" t="e">
        <f>#REF!</f>
        <v>#REF!</v>
      </c>
      <c r="D196" s="16" t="e">
        <f>#REF!</f>
        <v>#REF!</v>
      </c>
      <c r="E196" s="16" t="e">
        <f>#REF!</f>
        <v>#REF!</v>
      </c>
      <c r="F196" s="16" t="e">
        <f>#REF!</f>
        <v>#REF!</v>
      </c>
      <c r="G196" s="16" t="e">
        <f>#REF!</f>
        <v>#REF!</v>
      </c>
      <c r="H196" s="16" t="e">
        <f>#REF!</f>
        <v>#REF!</v>
      </c>
      <c r="I196" s="16" t="e">
        <f>#REF!</f>
        <v>#REF!</v>
      </c>
      <c r="J196" s="16" t="e">
        <f>#REF!</f>
        <v>#REF!</v>
      </c>
      <c r="K196" s="16" t="s">
        <v>744</v>
      </c>
      <c r="L196" s="16"/>
      <c r="M196" s="16"/>
      <c r="N196" s="16"/>
      <c r="O196" s="16"/>
      <c r="P196" s="24">
        <v>26</v>
      </c>
      <c r="Q196" s="24"/>
    </row>
    <row r="197" spans="1:17" ht="22.5" customHeight="1" thickTop="1" thickBot="1" x14ac:dyDescent="0.25">
      <c r="A197" s="16" t="e">
        <f>#REF!</f>
        <v>#REF!</v>
      </c>
      <c r="B197" s="16" t="e">
        <f>#REF!</f>
        <v>#REF!</v>
      </c>
      <c r="C197" s="16" t="e">
        <f>#REF!</f>
        <v>#REF!</v>
      </c>
      <c r="D197" s="16" t="e">
        <f>#REF!</f>
        <v>#REF!</v>
      </c>
      <c r="E197" s="16" t="e">
        <f>#REF!</f>
        <v>#REF!</v>
      </c>
      <c r="F197" s="16" t="e">
        <f>#REF!</f>
        <v>#REF!</v>
      </c>
      <c r="G197" s="16" t="e">
        <f>#REF!</f>
        <v>#REF!</v>
      </c>
      <c r="H197" s="16" t="e">
        <f>#REF!</f>
        <v>#REF!</v>
      </c>
      <c r="I197" s="16" t="e">
        <f>#REF!</f>
        <v>#REF!</v>
      </c>
      <c r="J197" s="16" t="e">
        <f>#REF!</f>
        <v>#REF!</v>
      </c>
      <c r="K197" s="16" t="s">
        <v>744</v>
      </c>
      <c r="L197" s="16"/>
      <c r="M197" s="16"/>
      <c r="N197" s="16"/>
      <c r="O197" s="16"/>
      <c r="P197" s="24">
        <v>26</v>
      </c>
      <c r="Q197" s="24"/>
    </row>
    <row r="198" spans="1:17" ht="22.5" customHeight="1" thickTop="1" thickBot="1" x14ac:dyDescent="0.25">
      <c r="A198" s="16" t="e">
        <f>#REF!</f>
        <v>#REF!</v>
      </c>
      <c r="B198" s="16" t="e">
        <f>#REF!</f>
        <v>#REF!</v>
      </c>
      <c r="C198" s="16" t="e">
        <f>#REF!</f>
        <v>#REF!</v>
      </c>
      <c r="D198" s="16" t="e">
        <f>#REF!</f>
        <v>#REF!</v>
      </c>
      <c r="E198" s="16" t="e">
        <f>#REF!</f>
        <v>#REF!</v>
      </c>
      <c r="F198" s="16" t="e">
        <f>#REF!</f>
        <v>#REF!</v>
      </c>
      <c r="G198" s="16" t="e">
        <f>#REF!</f>
        <v>#REF!</v>
      </c>
      <c r="H198" s="16" t="e">
        <f>#REF!</f>
        <v>#REF!</v>
      </c>
      <c r="I198" s="16" t="e">
        <f>#REF!</f>
        <v>#REF!</v>
      </c>
      <c r="J198" s="16" t="e">
        <f>#REF!</f>
        <v>#REF!</v>
      </c>
      <c r="K198" s="16"/>
      <c r="L198" s="16"/>
      <c r="M198" s="16"/>
      <c r="N198" s="16"/>
      <c r="O198" s="16"/>
      <c r="P198" s="24">
        <v>28</v>
      </c>
      <c r="Q198" s="24"/>
    </row>
    <row r="199" spans="1:17" ht="22.5" customHeight="1" thickTop="1" thickBot="1" x14ac:dyDescent="0.25">
      <c r="A199" s="16" t="e">
        <f>#REF!</f>
        <v>#REF!</v>
      </c>
      <c r="B199" s="16" t="e">
        <f>#REF!</f>
        <v>#REF!</v>
      </c>
      <c r="C199" s="16" t="e">
        <f>#REF!</f>
        <v>#REF!</v>
      </c>
      <c r="D199" s="16" t="e">
        <f>#REF!</f>
        <v>#REF!</v>
      </c>
      <c r="E199" s="16" t="e">
        <f>#REF!</f>
        <v>#REF!</v>
      </c>
      <c r="F199" s="16" t="e">
        <f>#REF!</f>
        <v>#REF!</v>
      </c>
      <c r="G199" s="16" t="e">
        <f>#REF!</f>
        <v>#REF!</v>
      </c>
      <c r="H199" s="16" t="e">
        <f>#REF!</f>
        <v>#REF!</v>
      </c>
      <c r="I199" s="16" t="e">
        <f>#REF!</f>
        <v>#REF!</v>
      </c>
      <c r="J199" s="16" t="e">
        <f>#REF!</f>
        <v>#REF!</v>
      </c>
      <c r="K199" s="16"/>
      <c r="L199" s="16"/>
      <c r="M199" s="16"/>
      <c r="N199" s="16"/>
      <c r="O199" s="16"/>
      <c r="P199" s="24">
        <v>28</v>
      </c>
      <c r="Q199" s="24"/>
    </row>
    <row r="200" spans="1:17" ht="22.5" customHeight="1" thickTop="1" thickBot="1" x14ac:dyDescent="0.25">
      <c r="A200" s="16" t="e">
        <f>#REF!</f>
        <v>#REF!</v>
      </c>
      <c r="B200" s="16" t="e">
        <f>#REF!</f>
        <v>#REF!</v>
      </c>
      <c r="C200" s="16" t="e">
        <f>#REF!</f>
        <v>#REF!</v>
      </c>
      <c r="D200" s="16" t="e">
        <f>#REF!</f>
        <v>#REF!</v>
      </c>
      <c r="E200" s="16" t="e">
        <f>#REF!</f>
        <v>#REF!</v>
      </c>
      <c r="F200" s="16" t="e">
        <f>#REF!</f>
        <v>#REF!</v>
      </c>
      <c r="G200" s="16" t="e">
        <f>#REF!</f>
        <v>#REF!</v>
      </c>
      <c r="H200" s="16" t="e">
        <f>#REF!</f>
        <v>#REF!</v>
      </c>
      <c r="I200" s="16" t="e">
        <f>#REF!</f>
        <v>#REF!</v>
      </c>
      <c r="J200" s="16" t="e">
        <f>#REF!</f>
        <v>#REF!</v>
      </c>
      <c r="K200" s="16"/>
      <c r="L200" s="16"/>
      <c r="M200" s="16"/>
      <c r="N200" s="16"/>
      <c r="O200" s="16"/>
      <c r="P200" s="24">
        <v>27</v>
      </c>
      <c r="Q200" s="24"/>
    </row>
    <row r="201" spans="1:17" ht="22.5" customHeight="1" thickTop="1" thickBot="1" x14ac:dyDescent="0.25">
      <c r="A201" s="16" t="e">
        <f>#REF!</f>
        <v>#REF!</v>
      </c>
      <c r="B201" s="16" t="e">
        <f>#REF!</f>
        <v>#REF!</v>
      </c>
      <c r="C201" s="16" t="e">
        <f>#REF!</f>
        <v>#REF!</v>
      </c>
      <c r="D201" s="16" t="e">
        <f>#REF!</f>
        <v>#REF!</v>
      </c>
      <c r="E201" s="16" t="e">
        <f>#REF!</f>
        <v>#REF!</v>
      </c>
      <c r="F201" s="16" t="e">
        <f>#REF!</f>
        <v>#REF!</v>
      </c>
      <c r="G201" s="16" t="e">
        <f>#REF!</f>
        <v>#REF!</v>
      </c>
      <c r="H201" s="16" t="e">
        <f>#REF!</f>
        <v>#REF!</v>
      </c>
      <c r="I201" s="16" t="e">
        <f>#REF!</f>
        <v>#REF!</v>
      </c>
      <c r="J201" s="16" t="e">
        <f>#REF!</f>
        <v>#REF!</v>
      </c>
      <c r="K201" s="16"/>
      <c r="L201" s="16"/>
      <c r="M201" s="16"/>
      <c r="N201" s="16"/>
      <c r="O201" s="16"/>
      <c r="P201" s="24">
        <v>29</v>
      </c>
      <c r="Q201" s="24"/>
    </row>
    <row r="202" spans="1:17" ht="22.5" customHeight="1" thickTop="1" thickBot="1" x14ac:dyDescent="0.25">
      <c r="A202" s="16" t="e">
        <f>#REF!</f>
        <v>#REF!</v>
      </c>
      <c r="B202" s="16" t="e">
        <f>#REF!</f>
        <v>#REF!</v>
      </c>
      <c r="C202" s="16" t="e">
        <f>#REF!</f>
        <v>#REF!</v>
      </c>
      <c r="D202" s="16" t="e">
        <f>#REF!</f>
        <v>#REF!</v>
      </c>
      <c r="E202" s="16" t="e">
        <f>#REF!</f>
        <v>#REF!</v>
      </c>
      <c r="F202" s="16" t="e">
        <f>#REF!</f>
        <v>#REF!</v>
      </c>
      <c r="G202" s="16" t="e">
        <f>#REF!</f>
        <v>#REF!</v>
      </c>
      <c r="H202" s="16" t="e">
        <f>#REF!</f>
        <v>#REF!</v>
      </c>
      <c r="I202" s="16" t="e">
        <f>#REF!</f>
        <v>#REF!</v>
      </c>
      <c r="J202" s="16" t="e">
        <f>#REF!</f>
        <v>#REF!</v>
      </c>
      <c r="K202" s="16"/>
      <c r="L202" s="16"/>
      <c r="M202" s="16"/>
      <c r="N202" s="16"/>
      <c r="O202" s="16"/>
      <c r="P202" s="24">
        <v>29</v>
      </c>
      <c r="Q202" s="24"/>
    </row>
    <row r="203" spans="1:17" ht="22.5" customHeight="1" thickTop="1" thickBot="1" x14ac:dyDescent="0.25">
      <c r="A203" s="16" t="e">
        <f>#REF!</f>
        <v>#REF!</v>
      </c>
      <c r="B203" s="16" t="e">
        <f>#REF!</f>
        <v>#REF!</v>
      </c>
      <c r="C203" s="16" t="e">
        <f>#REF!</f>
        <v>#REF!</v>
      </c>
      <c r="D203" s="16" t="e">
        <f>#REF!</f>
        <v>#REF!</v>
      </c>
      <c r="E203" s="16" t="e">
        <f>#REF!</f>
        <v>#REF!</v>
      </c>
      <c r="F203" s="16" t="e">
        <f>#REF!</f>
        <v>#REF!</v>
      </c>
      <c r="G203" s="16" t="e">
        <f>#REF!</f>
        <v>#REF!</v>
      </c>
      <c r="H203" s="16" t="e">
        <f>#REF!</f>
        <v>#REF!</v>
      </c>
      <c r="I203" s="16" t="e">
        <f>#REF!</f>
        <v>#REF!</v>
      </c>
      <c r="J203" s="16" t="e">
        <f>#REF!</f>
        <v>#REF!</v>
      </c>
      <c r="K203" s="16"/>
      <c r="L203" s="16"/>
      <c r="M203" s="16"/>
      <c r="N203" s="16"/>
      <c r="O203" s="16"/>
      <c r="P203" s="24">
        <v>30</v>
      </c>
      <c r="Q203" s="24"/>
    </row>
    <row r="204" spans="1:17" ht="22.5" customHeight="1" thickTop="1" thickBot="1" x14ac:dyDescent="0.25">
      <c r="A204" s="16" t="e">
        <f>#REF!</f>
        <v>#REF!</v>
      </c>
      <c r="B204" s="16" t="e">
        <f>#REF!</f>
        <v>#REF!</v>
      </c>
      <c r="C204" s="16" t="e">
        <f>#REF!</f>
        <v>#REF!</v>
      </c>
      <c r="D204" s="16" t="e">
        <f>#REF!</f>
        <v>#REF!</v>
      </c>
      <c r="E204" s="16" t="e">
        <f>#REF!</f>
        <v>#REF!</v>
      </c>
      <c r="F204" s="16" t="e">
        <f>#REF!</f>
        <v>#REF!</v>
      </c>
      <c r="G204" s="16" t="e">
        <f>#REF!</f>
        <v>#REF!</v>
      </c>
      <c r="H204" s="16" t="e">
        <f>#REF!</f>
        <v>#REF!</v>
      </c>
      <c r="I204" s="16" t="e">
        <f>#REF!</f>
        <v>#REF!</v>
      </c>
      <c r="J204" s="16" t="e">
        <f>#REF!</f>
        <v>#REF!</v>
      </c>
      <c r="K204" s="16" t="s">
        <v>744</v>
      </c>
      <c r="L204" s="16"/>
      <c r="M204" s="16"/>
      <c r="N204" s="16"/>
      <c r="O204" s="16"/>
      <c r="P204" s="24">
        <v>30</v>
      </c>
      <c r="Q204" s="24"/>
    </row>
    <row r="205" spans="1:17" ht="22.5" customHeight="1" thickTop="1" thickBot="1" x14ac:dyDescent="0.25">
      <c r="A205" s="16" t="e">
        <f>#REF!</f>
        <v>#REF!</v>
      </c>
      <c r="B205" s="16" t="e">
        <f>#REF!</f>
        <v>#REF!</v>
      </c>
      <c r="C205" s="16" t="e">
        <f>#REF!</f>
        <v>#REF!</v>
      </c>
      <c r="D205" s="16" t="e">
        <f>#REF!</f>
        <v>#REF!</v>
      </c>
      <c r="E205" s="16" t="e">
        <f>#REF!</f>
        <v>#REF!</v>
      </c>
      <c r="F205" s="16" t="e">
        <f>#REF!</f>
        <v>#REF!</v>
      </c>
      <c r="G205" s="16" t="e">
        <f>#REF!</f>
        <v>#REF!</v>
      </c>
      <c r="H205" s="16" t="e">
        <f>#REF!</f>
        <v>#REF!</v>
      </c>
      <c r="I205" s="16" t="e">
        <f>#REF!</f>
        <v>#REF!</v>
      </c>
      <c r="J205" s="16" t="e">
        <f>#REF!</f>
        <v>#REF!</v>
      </c>
      <c r="K205" s="16" t="s">
        <v>744</v>
      </c>
      <c r="L205" s="16"/>
      <c r="M205" s="16"/>
      <c r="N205" s="16"/>
      <c r="O205" s="16"/>
      <c r="P205" s="24">
        <v>30</v>
      </c>
      <c r="Q205" s="24"/>
    </row>
    <row r="206" spans="1:17" ht="22.5" customHeight="1" thickTop="1" thickBot="1" x14ac:dyDescent="0.25">
      <c r="A206" s="16" t="e">
        <f>#REF!</f>
        <v>#REF!</v>
      </c>
      <c r="B206" s="16" t="e">
        <f>#REF!</f>
        <v>#REF!</v>
      </c>
      <c r="C206" s="16" t="e">
        <f>#REF!</f>
        <v>#REF!</v>
      </c>
      <c r="D206" s="16" t="e">
        <f>#REF!</f>
        <v>#REF!</v>
      </c>
      <c r="E206" s="16" t="e">
        <f>#REF!</f>
        <v>#REF!</v>
      </c>
      <c r="F206" s="16" t="e">
        <f>#REF!</f>
        <v>#REF!</v>
      </c>
      <c r="G206" s="16" t="e">
        <f>#REF!</f>
        <v>#REF!</v>
      </c>
      <c r="H206" s="16" t="e">
        <f>#REF!</f>
        <v>#REF!</v>
      </c>
      <c r="I206" s="16" t="e">
        <f>#REF!</f>
        <v>#REF!</v>
      </c>
      <c r="J206" s="16" t="e">
        <f>#REF!</f>
        <v>#REF!</v>
      </c>
      <c r="K206" s="16" t="s">
        <v>744</v>
      </c>
      <c r="L206" s="16"/>
      <c r="M206" s="16"/>
      <c r="N206" s="16"/>
      <c r="O206" s="16"/>
      <c r="P206" s="24"/>
      <c r="Q206" s="24"/>
    </row>
    <row r="207" spans="1:17" ht="22.5" customHeight="1" thickTop="1" thickBot="1" x14ac:dyDescent="0.25">
      <c r="A207" s="16" t="e">
        <f>#REF!</f>
        <v>#REF!</v>
      </c>
      <c r="B207" s="16" t="e">
        <f>#REF!</f>
        <v>#REF!</v>
      </c>
      <c r="C207" s="16" t="e">
        <f>#REF!</f>
        <v>#REF!</v>
      </c>
      <c r="D207" s="16" t="e">
        <f>#REF!</f>
        <v>#REF!</v>
      </c>
      <c r="E207" s="16" t="e">
        <f>#REF!</f>
        <v>#REF!</v>
      </c>
      <c r="F207" s="16" t="e">
        <f>#REF!</f>
        <v>#REF!</v>
      </c>
      <c r="G207" s="16" t="e">
        <f>#REF!</f>
        <v>#REF!</v>
      </c>
      <c r="H207" s="16" t="e">
        <f>#REF!</f>
        <v>#REF!</v>
      </c>
      <c r="I207" s="16" t="e">
        <f>#REF!</f>
        <v>#REF!</v>
      </c>
      <c r="J207" s="16" t="e">
        <f>#REF!</f>
        <v>#REF!</v>
      </c>
      <c r="K207" s="16"/>
      <c r="L207" s="16"/>
      <c r="M207" s="16"/>
      <c r="N207" s="16"/>
      <c r="O207" s="16"/>
      <c r="P207" s="24"/>
      <c r="Q207" s="24"/>
    </row>
    <row r="208" spans="1:17" ht="22.5" customHeight="1" thickTop="1" thickBot="1" x14ac:dyDescent="0.25">
      <c r="A208" s="16" t="e">
        <f>#REF!</f>
        <v>#REF!</v>
      </c>
      <c r="B208" s="16" t="e">
        <f>#REF!</f>
        <v>#REF!</v>
      </c>
      <c r="C208" s="16" t="e">
        <f>#REF!</f>
        <v>#REF!</v>
      </c>
      <c r="D208" s="16" t="e">
        <f>#REF!</f>
        <v>#REF!</v>
      </c>
      <c r="E208" s="16" t="e">
        <f>#REF!</f>
        <v>#REF!</v>
      </c>
      <c r="F208" s="16" t="e">
        <f>#REF!</f>
        <v>#REF!</v>
      </c>
      <c r="G208" s="16" t="e">
        <f>#REF!</f>
        <v>#REF!</v>
      </c>
      <c r="H208" s="16" t="e">
        <f>#REF!</f>
        <v>#REF!</v>
      </c>
      <c r="I208" s="16" t="e">
        <f>#REF!</f>
        <v>#REF!</v>
      </c>
      <c r="J208" s="16" t="e">
        <f>#REF!</f>
        <v>#REF!</v>
      </c>
      <c r="K208" s="16"/>
      <c r="L208" s="16"/>
      <c r="M208" s="16"/>
      <c r="N208" s="16"/>
      <c r="O208" s="16"/>
      <c r="P208" s="24">
        <v>32</v>
      </c>
      <c r="Q208" s="24"/>
    </row>
    <row r="209" spans="1:17" ht="22.5" customHeight="1" thickTop="1" thickBot="1" x14ac:dyDescent="0.25">
      <c r="A209" s="16" t="e">
        <f>#REF!</f>
        <v>#REF!</v>
      </c>
      <c r="B209" s="16" t="e">
        <f>#REF!</f>
        <v>#REF!</v>
      </c>
      <c r="C209" s="16" t="e">
        <f>#REF!</f>
        <v>#REF!</v>
      </c>
      <c r="D209" s="16" t="e">
        <f>#REF!</f>
        <v>#REF!</v>
      </c>
      <c r="E209" s="16" t="e">
        <f>#REF!</f>
        <v>#REF!</v>
      </c>
      <c r="F209" s="16" t="e">
        <f>#REF!</f>
        <v>#REF!</v>
      </c>
      <c r="G209" s="16" t="e">
        <f>#REF!</f>
        <v>#REF!</v>
      </c>
      <c r="H209" s="16" t="e">
        <f>#REF!</f>
        <v>#REF!</v>
      </c>
      <c r="I209" s="16" t="e">
        <f>#REF!</f>
        <v>#REF!</v>
      </c>
      <c r="J209" s="16" t="e">
        <f>#REF!</f>
        <v>#REF!</v>
      </c>
      <c r="K209" s="16"/>
      <c r="L209" s="16"/>
      <c r="M209" s="16"/>
      <c r="N209" s="16"/>
      <c r="O209" s="16"/>
      <c r="P209" s="24">
        <v>32</v>
      </c>
      <c r="Q209" s="24"/>
    </row>
    <row r="210" spans="1:17" ht="22.5" customHeight="1" thickTop="1" thickBot="1" x14ac:dyDescent="0.25">
      <c r="A210" s="16" t="e">
        <f>#REF!</f>
        <v>#REF!</v>
      </c>
      <c r="B210" s="16" t="e">
        <f>#REF!</f>
        <v>#REF!</v>
      </c>
      <c r="C210" s="16" t="e">
        <f>#REF!</f>
        <v>#REF!</v>
      </c>
      <c r="D210" s="16" t="e">
        <f>#REF!</f>
        <v>#REF!</v>
      </c>
      <c r="E210" s="16" t="e">
        <f>#REF!</f>
        <v>#REF!</v>
      </c>
      <c r="F210" s="16" t="e">
        <f>#REF!</f>
        <v>#REF!</v>
      </c>
      <c r="G210" s="16" t="e">
        <f>#REF!</f>
        <v>#REF!</v>
      </c>
      <c r="H210" s="16" t="e">
        <f>#REF!</f>
        <v>#REF!</v>
      </c>
      <c r="I210" s="16" t="e">
        <f>#REF!</f>
        <v>#REF!</v>
      </c>
      <c r="J210" s="16" t="e">
        <f>#REF!</f>
        <v>#REF!</v>
      </c>
      <c r="K210" s="16" t="s">
        <v>744</v>
      </c>
      <c r="L210" s="16"/>
      <c r="M210" s="16"/>
      <c r="N210" s="16"/>
      <c r="O210" s="16"/>
      <c r="P210" s="24">
        <v>32</v>
      </c>
      <c r="Q210" s="24"/>
    </row>
    <row r="211" spans="1:17" ht="22.5" customHeight="1" thickTop="1" thickBot="1" x14ac:dyDescent="0.25">
      <c r="A211" s="16" t="e">
        <f>#REF!</f>
        <v>#REF!</v>
      </c>
      <c r="B211" s="16" t="e">
        <f>#REF!</f>
        <v>#REF!</v>
      </c>
      <c r="C211" s="16" t="e">
        <f>#REF!</f>
        <v>#REF!</v>
      </c>
      <c r="D211" s="16" t="e">
        <f>#REF!</f>
        <v>#REF!</v>
      </c>
      <c r="E211" s="16" t="e">
        <f>#REF!</f>
        <v>#REF!</v>
      </c>
      <c r="F211" s="16" t="e">
        <f>#REF!</f>
        <v>#REF!</v>
      </c>
      <c r="G211" s="16" t="e">
        <f>#REF!</f>
        <v>#REF!</v>
      </c>
      <c r="H211" s="16" t="e">
        <f>#REF!</f>
        <v>#REF!</v>
      </c>
      <c r="I211" s="16" t="e">
        <f>#REF!</f>
        <v>#REF!</v>
      </c>
      <c r="J211" s="16" t="e">
        <f>#REF!</f>
        <v>#REF!</v>
      </c>
      <c r="K211" s="16"/>
      <c r="L211" s="16"/>
      <c r="M211" s="16"/>
      <c r="N211" s="16"/>
      <c r="O211" s="16"/>
      <c r="P211" s="24">
        <v>32</v>
      </c>
      <c r="Q211" s="24"/>
    </row>
    <row r="212" spans="1:17" ht="22.5" customHeight="1" thickTop="1" thickBot="1" x14ac:dyDescent="0.25">
      <c r="A212" s="16" t="e">
        <f>#REF!</f>
        <v>#REF!</v>
      </c>
      <c r="B212" s="16" t="e">
        <f>#REF!</f>
        <v>#REF!</v>
      </c>
      <c r="C212" s="16" t="e">
        <f>#REF!</f>
        <v>#REF!</v>
      </c>
      <c r="D212" s="16" t="e">
        <f>#REF!</f>
        <v>#REF!</v>
      </c>
      <c r="E212" s="16" t="e">
        <f>#REF!</f>
        <v>#REF!</v>
      </c>
      <c r="F212" s="16" t="e">
        <f>#REF!</f>
        <v>#REF!</v>
      </c>
      <c r="G212" s="16" t="e">
        <f>#REF!</f>
        <v>#REF!</v>
      </c>
      <c r="H212" s="16" t="e">
        <f>#REF!</f>
        <v>#REF!</v>
      </c>
      <c r="I212" s="16" t="e">
        <f>#REF!</f>
        <v>#REF!</v>
      </c>
      <c r="J212" s="16" t="e">
        <f>#REF!</f>
        <v>#REF!</v>
      </c>
      <c r="K212" s="16" t="s">
        <v>744</v>
      </c>
      <c r="L212" s="16"/>
      <c r="M212" s="16"/>
      <c r="N212" s="16"/>
      <c r="O212" s="16"/>
      <c r="P212" s="24">
        <v>32</v>
      </c>
      <c r="Q212" s="24"/>
    </row>
    <row r="213" spans="1:17" ht="22.5" customHeight="1" thickTop="1" thickBot="1" x14ac:dyDescent="0.25">
      <c r="A213" s="16" t="e">
        <f>#REF!</f>
        <v>#REF!</v>
      </c>
      <c r="B213" s="16" t="e">
        <f>#REF!</f>
        <v>#REF!</v>
      </c>
      <c r="C213" s="16" t="e">
        <f>#REF!</f>
        <v>#REF!</v>
      </c>
      <c r="D213" s="16" t="e">
        <f>#REF!</f>
        <v>#REF!</v>
      </c>
      <c r="E213" s="16" t="e">
        <f>#REF!</f>
        <v>#REF!</v>
      </c>
      <c r="F213" s="16" t="e">
        <f>#REF!</f>
        <v>#REF!</v>
      </c>
      <c r="G213" s="16" t="e">
        <f>#REF!</f>
        <v>#REF!</v>
      </c>
      <c r="H213" s="16" t="e">
        <f>#REF!</f>
        <v>#REF!</v>
      </c>
      <c r="I213" s="16" t="e">
        <f>#REF!</f>
        <v>#REF!</v>
      </c>
      <c r="J213" s="16" t="e">
        <f>#REF!</f>
        <v>#REF!</v>
      </c>
      <c r="K213" s="16" t="s">
        <v>744</v>
      </c>
      <c r="L213" s="16"/>
      <c r="M213" s="16"/>
      <c r="N213" s="16"/>
      <c r="O213" s="16"/>
      <c r="P213" s="24">
        <v>33</v>
      </c>
      <c r="Q213" s="24"/>
    </row>
    <row r="214" spans="1:17" ht="22.5" customHeight="1" thickTop="1" thickBot="1" x14ac:dyDescent="0.25">
      <c r="A214" s="16" t="e">
        <f>#REF!</f>
        <v>#REF!</v>
      </c>
      <c r="B214" s="16" t="e">
        <f>#REF!</f>
        <v>#REF!</v>
      </c>
      <c r="C214" s="16" t="e">
        <f>#REF!</f>
        <v>#REF!</v>
      </c>
      <c r="D214" s="16" t="e">
        <f>#REF!</f>
        <v>#REF!</v>
      </c>
      <c r="E214" s="16" t="e">
        <f>#REF!</f>
        <v>#REF!</v>
      </c>
      <c r="F214" s="16" t="e">
        <f>#REF!</f>
        <v>#REF!</v>
      </c>
      <c r="G214" s="16" t="e">
        <f>#REF!</f>
        <v>#REF!</v>
      </c>
      <c r="H214" s="16" t="e">
        <f>#REF!</f>
        <v>#REF!</v>
      </c>
      <c r="I214" s="16" t="e">
        <f>#REF!</f>
        <v>#REF!</v>
      </c>
      <c r="J214" s="16" t="e">
        <f>#REF!</f>
        <v>#REF!</v>
      </c>
      <c r="K214" s="16" t="s">
        <v>744</v>
      </c>
      <c r="L214" s="16"/>
      <c r="M214" s="16"/>
      <c r="N214" s="16"/>
      <c r="O214" s="16"/>
      <c r="P214" s="24">
        <v>34</v>
      </c>
      <c r="Q214" s="17" t="s">
        <v>789</v>
      </c>
    </row>
    <row r="215" spans="1:17" ht="22.5" customHeight="1" thickTop="1" thickBot="1" x14ac:dyDescent="0.25">
      <c r="A215" s="16" t="e">
        <f>#REF!</f>
        <v>#REF!</v>
      </c>
      <c r="B215" s="16" t="e">
        <f>#REF!</f>
        <v>#REF!</v>
      </c>
      <c r="C215" s="16" t="e">
        <f>#REF!</f>
        <v>#REF!</v>
      </c>
      <c r="D215" s="16" t="e">
        <f>#REF!</f>
        <v>#REF!</v>
      </c>
      <c r="E215" s="16" t="e">
        <f>#REF!</f>
        <v>#REF!</v>
      </c>
      <c r="F215" s="16" t="e">
        <f>#REF!</f>
        <v>#REF!</v>
      </c>
      <c r="G215" s="16" t="e">
        <f>#REF!</f>
        <v>#REF!</v>
      </c>
      <c r="H215" s="16" t="e">
        <f>#REF!</f>
        <v>#REF!</v>
      </c>
      <c r="I215" s="16" t="e">
        <f>#REF!</f>
        <v>#REF!</v>
      </c>
      <c r="J215" s="16" t="e">
        <f>#REF!</f>
        <v>#REF!</v>
      </c>
      <c r="K215" s="16"/>
      <c r="L215" s="16"/>
      <c r="M215" s="16"/>
      <c r="N215" s="16"/>
      <c r="O215" s="16"/>
      <c r="P215" s="24">
        <v>34</v>
      </c>
      <c r="Q215" s="17" t="s">
        <v>789</v>
      </c>
    </row>
    <row r="216" spans="1:17" ht="22.5" customHeight="1" thickTop="1" thickBot="1" x14ac:dyDescent="0.25">
      <c r="A216" s="16" t="e">
        <f>#REF!</f>
        <v>#REF!</v>
      </c>
      <c r="B216" s="16" t="e">
        <f>#REF!</f>
        <v>#REF!</v>
      </c>
      <c r="C216" s="16" t="e">
        <f>#REF!</f>
        <v>#REF!</v>
      </c>
      <c r="D216" s="16" t="e">
        <f>#REF!</f>
        <v>#REF!</v>
      </c>
      <c r="E216" s="16" t="e">
        <f>#REF!</f>
        <v>#REF!</v>
      </c>
      <c r="F216" s="16" t="e">
        <f>#REF!</f>
        <v>#REF!</v>
      </c>
      <c r="G216" s="16" t="e">
        <f>#REF!</f>
        <v>#REF!</v>
      </c>
      <c r="H216" s="16" t="e">
        <f>#REF!</f>
        <v>#REF!</v>
      </c>
      <c r="I216" s="16" t="e">
        <f>#REF!</f>
        <v>#REF!</v>
      </c>
      <c r="J216" s="16" t="e">
        <f>#REF!</f>
        <v>#REF!</v>
      </c>
      <c r="K216" s="16"/>
      <c r="L216" s="16"/>
      <c r="M216" s="16"/>
      <c r="N216" s="16"/>
      <c r="O216" s="16"/>
      <c r="P216" s="24">
        <v>34</v>
      </c>
      <c r="Q216" s="17" t="s">
        <v>789</v>
      </c>
    </row>
    <row r="217" spans="1:17" ht="22.5" customHeight="1" thickTop="1" thickBot="1" x14ac:dyDescent="0.25">
      <c r="A217" s="16" t="e">
        <f>#REF!</f>
        <v>#REF!</v>
      </c>
      <c r="B217" s="16" t="e">
        <f>#REF!</f>
        <v>#REF!</v>
      </c>
      <c r="C217" s="16" t="e">
        <f>#REF!</f>
        <v>#REF!</v>
      </c>
      <c r="D217" s="16" t="e">
        <f>#REF!</f>
        <v>#REF!</v>
      </c>
      <c r="E217" s="16" t="e">
        <f>#REF!</f>
        <v>#REF!</v>
      </c>
      <c r="F217" s="16" t="e">
        <f>#REF!</f>
        <v>#REF!</v>
      </c>
      <c r="G217" s="16" t="e">
        <f>#REF!</f>
        <v>#REF!</v>
      </c>
      <c r="H217" s="16" t="e">
        <f>#REF!</f>
        <v>#REF!</v>
      </c>
      <c r="I217" s="16" t="e">
        <f>#REF!</f>
        <v>#REF!</v>
      </c>
      <c r="J217" s="16" t="e">
        <f>#REF!</f>
        <v>#REF!</v>
      </c>
      <c r="K217" s="16"/>
      <c r="L217" s="16"/>
      <c r="M217" s="16"/>
      <c r="N217" s="16"/>
      <c r="O217" s="16"/>
      <c r="P217" s="24">
        <v>34</v>
      </c>
      <c r="Q217" s="17" t="s">
        <v>789</v>
      </c>
    </row>
    <row r="218" spans="1:17" ht="22.5" customHeight="1" thickTop="1" thickBot="1" x14ac:dyDescent="0.25">
      <c r="A218" s="16" t="e">
        <f>#REF!</f>
        <v>#REF!</v>
      </c>
      <c r="B218" s="16" t="e">
        <f>#REF!</f>
        <v>#REF!</v>
      </c>
      <c r="C218" s="16" t="e">
        <f>#REF!</f>
        <v>#REF!</v>
      </c>
      <c r="D218" s="16" t="e">
        <f>#REF!</f>
        <v>#REF!</v>
      </c>
      <c r="E218" s="16" t="e">
        <f>#REF!</f>
        <v>#REF!</v>
      </c>
      <c r="F218" s="16" t="e">
        <f>#REF!</f>
        <v>#REF!</v>
      </c>
      <c r="G218" s="16" t="e">
        <f>#REF!</f>
        <v>#REF!</v>
      </c>
      <c r="H218" s="16" t="e">
        <f>#REF!</f>
        <v>#REF!</v>
      </c>
      <c r="I218" s="16" t="e">
        <f>#REF!</f>
        <v>#REF!</v>
      </c>
      <c r="J218" s="16" t="e">
        <f>#REF!</f>
        <v>#REF!</v>
      </c>
      <c r="K218" s="16"/>
      <c r="L218" s="16"/>
      <c r="M218" s="16"/>
      <c r="N218" s="16"/>
      <c r="O218" s="16"/>
      <c r="P218" s="24">
        <v>34</v>
      </c>
      <c r="Q218" s="17" t="s">
        <v>789</v>
      </c>
    </row>
    <row r="219" spans="1:17" ht="22.5" customHeight="1" thickTop="1" thickBot="1" x14ac:dyDescent="0.25">
      <c r="A219" s="16" t="e">
        <f>#REF!</f>
        <v>#REF!</v>
      </c>
      <c r="B219" s="16" t="e">
        <f>#REF!</f>
        <v>#REF!</v>
      </c>
      <c r="C219" s="16" t="e">
        <f>#REF!</f>
        <v>#REF!</v>
      </c>
      <c r="D219" s="16" t="e">
        <f>#REF!</f>
        <v>#REF!</v>
      </c>
      <c r="E219" s="16" t="e">
        <f>#REF!</f>
        <v>#REF!</v>
      </c>
      <c r="F219" s="16" t="e">
        <f>#REF!</f>
        <v>#REF!</v>
      </c>
      <c r="G219" s="16" t="e">
        <f>#REF!</f>
        <v>#REF!</v>
      </c>
      <c r="H219" s="16" t="e">
        <f>#REF!</f>
        <v>#REF!</v>
      </c>
      <c r="I219" s="16" t="e">
        <f>#REF!</f>
        <v>#REF!</v>
      </c>
      <c r="J219" s="16" t="e">
        <f>#REF!</f>
        <v>#REF!</v>
      </c>
      <c r="K219" s="16"/>
      <c r="L219" s="16"/>
      <c r="M219" s="16"/>
      <c r="N219" s="16"/>
      <c r="O219" s="16"/>
      <c r="P219" s="24">
        <v>34</v>
      </c>
      <c r="Q219" s="17" t="s">
        <v>789</v>
      </c>
    </row>
    <row r="220" spans="1:17" ht="22.5" customHeight="1" thickTop="1" thickBot="1" x14ac:dyDescent="0.25">
      <c r="A220" s="16" t="e">
        <f>#REF!</f>
        <v>#REF!</v>
      </c>
      <c r="B220" s="16" t="e">
        <f>#REF!</f>
        <v>#REF!</v>
      </c>
      <c r="C220" s="16" t="e">
        <f>#REF!</f>
        <v>#REF!</v>
      </c>
      <c r="D220" s="16" t="e">
        <f>#REF!</f>
        <v>#REF!</v>
      </c>
      <c r="E220" s="16" t="e">
        <f>#REF!</f>
        <v>#REF!</v>
      </c>
      <c r="F220" s="16" t="e">
        <f>#REF!</f>
        <v>#REF!</v>
      </c>
      <c r="G220" s="16" t="e">
        <f>#REF!</f>
        <v>#REF!</v>
      </c>
      <c r="H220" s="16" t="e">
        <f>#REF!</f>
        <v>#REF!</v>
      </c>
      <c r="I220" s="16" t="e">
        <f>#REF!</f>
        <v>#REF!</v>
      </c>
      <c r="J220" s="16" t="e">
        <f>#REF!</f>
        <v>#REF!</v>
      </c>
      <c r="K220" s="16"/>
      <c r="L220" s="16"/>
      <c r="M220" s="16"/>
      <c r="N220" s="16"/>
      <c r="O220" s="16"/>
      <c r="P220" s="24">
        <v>34</v>
      </c>
      <c r="Q220" s="17" t="s">
        <v>789</v>
      </c>
    </row>
    <row r="221" spans="1:17" ht="22.5" customHeight="1" thickTop="1" thickBot="1" x14ac:dyDescent="0.25">
      <c r="A221" s="16" t="e">
        <f>#REF!</f>
        <v>#REF!</v>
      </c>
      <c r="B221" s="16" t="e">
        <f>#REF!</f>
        <v>#REF!</v>
      </c>
      <c r="C221" s="16" t="e">
        <f>#REF!</f>
        <v>#REF!</v>
      </c>
      <c r="D221" s="16" t="e">
        <f>#REF!</f>
        <v>#REF!</v>
      </c>
      <c r="E221" s="16" t="e">
        <f>#REF!</f>
        <v>#REF!</v>
      </c>
      <c r="F221" s="16" t="e">
        <f>#REF!</f>
        <v>#REF!</v>
      </c>
      <c r="G221" s="16" t="e">
        <f>#REF!</f>
        <v>#REF!</v>
      </c>
      <c r="H221" s="16" t="e">
        <f>#REF!</f>
        <v>#REF!</v>
      </c>
      <c r="I221" s="16" t="e">
        <f>#REF!</f>
        <v>#REF!</v>
      </c>
      <c r="J221" s="16" t="e">
        <f>#REF!</f>
        <v>#REF!</v>
      </c>
      <c r="K221" s="16" t="s">
        <v>744</v>
      </c>
      <c r="L221" s="16"/>
      <c r="M221" s="16"/>
      <c r="N221" s="16"/>
      <c r="O221" s="16"/>
      <c r="P221" s="24">
        <v>34</v>
      </c>
      <c r="Q221" s="17" t="s">
        <v>789</v>
      </c>
    </row>
    <row r="222" spans="1:17" ht="22.5" customHeight="1" thickTop="1" thickBot="1" x14ac:dyDescent="0.25">
      <c r="A222" s="16" t="e">
        <f>#REF!</f>
        <v>#REF!</v>
      </c>
      <c r="B222" s="16" t="e">
        <f>#REF!</f>
        <v>#REF!</v>
      </c>
      <c r="C222" s="16" t="e">
        <f>#REF!</f>
        <v>#REF!</v>
      </c>
      <c r="D222" s="16" t="e">
        <f>#REF!</f>
        <v>#REF!</v>
      </c>
      <c r="E222" s="16" t="e">
        <f>#REF!</f>
        <v>#REF!</v>
      </c>
      <c r="F222" s="16" t="e">
        <f>#REF!</f>
        <v>#REF!</v>
      </c>
      <c r="G222" s="16" t="e">
        <f>#REF!</f>
        <v>#REF!</v>
      </c>
      <c r="H222" s="16" t="e">
        <f>#REF!</f>
        <v>#REF!</v>
      </c>
      <c r="I222" s="16" t="e">
        <f>#REF!</f>
        <v>#REF!</v>
      </c>
      <c r="J222" s="16" t="e">
        <f>#REF!</f>
        <v>#REF!</v>
      </c>
      <c r="K222" s="16" t="s">
        <v>744</v>
      </c>
      <c r="L222" s="16"/>
      <c r="M222" s="16"/>
      <c r="N222" s="16"/>
      <c r="O222" s="16"/>
      <c r="P222" s="24">
        <v>34</v>
      </c>
      <c r="Q222" s="17" t="s">
        <v>789</v>
      </c>
    </row>
    <row r="223" spans="1:17" ht="22.5" customHeight="1" thickTop="1" thickBot="1" x14ac:dyDescent="0.25">
      <c r="A223" s="16" t="e">
        <f>#REF!</f>
        <v>#REF!</v>
      </c>
      <c r="B223" s="16" t="e">
        <f>#REF!</f>
        <v>#REF!</v>
      </c>
      <c r="C223" s="16" t="e">
        <f>#REF!</f>
        <v>#REF!</v>
      </c>
      <c r="D223" s="16" t="e">
        <f>#REF!</f>
        <v>#REF!</v>
      </c>
      <c r="E223" s="16" t="e">
        <f>#REF!</f>
        <v>#REF!</v>
      </c>
      <c r="F223" s="16" t="e">
        <f>#REF!</f>
        <v>#REF!</v>
      </c>
      <c r="G223" s="16" t="e">
        <f>#REF!</f>
        <v>#REF!</v>
      </c>
      <c r="H223" s="16" t="e">
        <f>#REF!</f>
        <v>#REF!</v>
      </c>
      <c r="I223" s="16" t="e">
        <f>#REF!</f>
        <v>#REF!</v>
      </c>
      <c r="J223" s="16" t="e">
        <f>#REF!</f>
        <v>#REF!</v>
      </c>
      <c r="K223" s="16" t="s">
        <v>744</v>
      </c>
      <c r="L223" s="16"/>
      <c r="M223" s="16"/>
      <c r="N223" s="16"/>
      <c r="O223" s="16"/>
      <c r="P223" s="24">
        <v>34</v>
      </c>
      <c r="Q223" s="17" t="s">
        <v>789</v>
      </c>
    </row>
    <row r="224" spans="1:17" ht="22.5" customHeight="1" thickTop="1" thickBot="1" x14ac:dyDescent="0.25">
      <c r="A224" s="16" t="e">
        <f>#REF!</f>
        <v>#REF!</v>
      </c>
      <c r="B224" s="16" t="e">
        <f>#REF!</f>
        <v>#REF!</v>
      </c>
      <c r="C224" s="16" t="e">
        <f>#REF!</f>
        <v>#REF!</v>
      </c>
      <c r="D224" s="16" t="e">
        <f>#REF!</f>
        <v>#REF!</v>
      </c>
      <c r="E224" s="16" t="e">
        <f>#REF!</f>
        <v>#REF!</v>
      </c>
      <c r="F224" s="16" t="e">
        <f>#REF!</f>
        <v>#REF!</v>
      </c>
      <c r="G224" s="16" t="e">
        <f>#REF!</f>
        <v>#REF!</v>
      </c>
      <c r="H224" s="16" t="e">
        <f>#REF!</f>
        <v>#REF!</v>
      </c>
      <c r="I224" s="16" t="e">
        <f>#REF!</f>
        <v>#REF!</v>
      </c>
      <c r="J224" s="16" t="e">
        <f>#REF!</f>
        <v>#REF!</v>
      </c>
      <c r="K224" s="16" t="s">
        <v>744</v>
      </c>
      <c r="L224" s="16"/>
      <c r="M224" s="16"/>
      <c r="N224" s="16"/>
      <c r="O224" s="16"/>
      <c r="P224" s="24">
        <v>34</v>
      </c>
      <c r="Q224" s="17" t="s">
        <v>789</v>
      </c>
    </row>
    <row r="225" spans="1:17" ht="22.5" customHeight="1" thickTop="1" thickBot="1" x14ac:dyDescent="0.25">
      <c r="A225" s="16" t="e">
        <f>#REF!</f>
        <v>#REF!</v>
      </c>
      <c r="B225" s="16" t="e">
        <f>#REF!</f>
        <v>#REF!</v>
      </c>
      <c r="C225" s="16" t="e">
        <f>#REF!</f>
        <v>#REF!</v>
      </c>
      <c r="D225" s="16" t="e">
        <f>#REF!</f>
        <v>#REF!</v>
      </c>
      <c r="E225" s="16" t="e">
        <f>#REF!</f>
        <v>#REF!</v>
      </c>
      <c r="F225" s="16" t="e">
        <f>#REF!</f>
        <v>#REF!</v>
      </c>
      <c r="G225" s="16" t="e">
        <f>#REF!</f>
        <v>#REF!</v>
      </c>
      <c r="H225" s="16" t="e">
        <f>#REF!</f>
        <v>#REF!</v>
      </c>
      <c r="I225" s="16" t="e">
        <f>#REF!</f>
        <v>#REF!</v>
      </c>
      <c r="J225" s="16" t="e">
        <f>#REF!</f>
        <v>#REF!</v>
      </c>
      <c r="K225" s="16" t="s">
        <v>744</v>
      </c>
      <c r="L225" s="16"/>
      <c r="M225" s="16"/>
      <c r="N225" s="16"/>
      <c r="O225" s="16"/>
      <c r="P225" s="24">
        <v>34</v>
      </c>
      <c r="Q225" s="17" t="s">
        <v>789</v>
      </c>
    </row>
    <row r="226" spans="1:17" ht="22.5" customHeight="1" thickTop="1" thickBot="1" x14ac:dyDescent="0.25">
      <c r="A226" s="16" t="e">
        <f>#REF!</f>
        <v>#REF!</v>
      </c>
      <c r="B226" s="16" t="e">
        <f>#REF!</f>
        <v>#REF!</v>
      </c>
      <c r="C226" s="16" t="e">
        <f>#REF!</f>
        <v>#REF!</v>
      </c>
      <c r="D226" s="16" t="e">
        <f>#REF!</f>
        <v>#REF!</v>
      </c>
      <c r="E226" s="16" t="e">
        <f>#REF!</f>
        <v>#REF!</v>
      </c>
      <c r="F226" s="16" t="e">
        <f>#REF!</f>
        <v>#REF!</v>
      </c>
      <c r="G226" s="16" t="e">
        <f>#REF!</f>
        <v>#REF!</v>
      </c>
      <c r="H226" s="16" t="e">
        <f>#REF!</f>
        <v>#REF!</v>
      </c>
      <c r="I226" s="16" t="e">
        <f>#REF!</f>
        <v>#REF!</v>
      </c>
      <c r="J226" s="16" t="e">
        <f>#REF!</f>
        <v>#REF!</v>
      </c>
      <c r="K226" s="16" t="s">
        <v>744</v>
      </c>
      <c r="L226" s="16"/>
      <c r="M226" s="16"/>
      <c r="N226" s="16"/>
      <c r="O226" s="16"/>
      <c r="P226" s="24">
        <v>36</v>
      </c>
      <c r="Q226" s="17" t="s">
        <v>789</v>
      </c>
    </row>
    <row r="227" spans="1:17" ht="22.5" customHeight="1" thickTop="1" thickBot="1" x14ac:dyDescent="0.25">
      <c r="A227" s="16" t="e">
        <f>#REF!</f>
        <v>#REF!</v>
      </c>
      <c r="B227" s="16" t="e">
        <f>#REF!</f>
        <v>#REF!</v>
      </c>
      <c r="C227" s="16" t="e">
        <f>#REF!</f>
        <v>#REF!</v>
      </c>
      <c r="D227" s="16" t="e">
        <f>#REF!</f>
        <v>#REF!</v>
      </c>
      <c r="E227" s="16" t="e">
        <f>#REF!</f>
        <v>#REF!</v>
      </c>
      <c r="F227" s="16" t="e">
        <f>#REF!</f>
        <v>#REF!</v>
      </c>
      <c r="G227" s="16" t="e">
        <f>#REF!</f>
        <v>#REF!</v>
      </c>
      <c r="H227" s="16" t="e">
        <f>#REF!</f>
        <v>#REF!</v>
      </c>
      <c r="I227" s="16" t="e">
        <f>#REF!</f>
        <v>#REF!</v>
      </c>
      <c r="J227" s="16" t="e">
        <f>#REF!</f>
        <v>#REF!</v>
      </c>
      <c r="K227" s="16"/>
      <c r="L227" s="16"/>
      <c r="M227" s="16"/>
      <c r="N227" s="16"/>
      <c r="O227" s="16"/>
      <c r="P227" s="24">
        <v>36</v>
      </c>
      <c r="Q227" s="17" t="s">
        <v>789</v>
      </c>
    </row>
    <row r="228" spans="1:17" ht="22.5" customHeight="1" thickTop="1" thickBot="1" x14ac:dyDescent="0.25">
      <c r="A228" s="16" t="e">
        <f>#REF!</f>
        <v>#REF!</v>
      </c>
      <c r="B228" s="16" t="e">
        <f>#REF!</f>
        <v>#REF!</v>
      </c>
      <c r="C228" s="16" t="e">
        <f>#REF!</f>
        <v>#REF!</v>
      </c>
      <c r="D228" s="16" t="e">
        <f>#REF!</f>
        <v>#REF!</v>
      </c>
      <c r="E228" s="16" t="e">
        <f>#REF!</f>
        <v>#REF!</v>
      </c>
      <c r="F228" s="16" t="e">
        <f>#REF!</f>
        <v>#REF!</v>
      </c>
      <c r="G228" s="16" t="e">
        <f>#REF!</f>
        <v>#REF!</v>
      </c>
      <c r="H228" s="16" t="e">
        <f>#REF!</f>
        <v>#REF!</v>
      </c>
      <c r="I228" s="16" t="e">
        <f>#REF!</f>
        <v>#REF!</v>
      </c>
      <c r="J228" s="16" t="e">
        <f>#REF!</f>
        <v>#REF!</v>
      </c>
      <c r="K228" s="16"/>
      <c r="L228" s="16"/>
      <c r="M228" s="16"/>
      <c r="N228" s="16"/>
      <c r="O228" s="16"/>
      <c r="P228" s="24">
        <v>36</v>
      </c>
      <c r="Q228" s="17" t="s">
        <v>789</v>
      </c>
    </row>
    <row r="229" spans="1:17" ht="22.5" customHeight="1" thickTop="1" thickBot="1" x14ac:dyDescent="0.25">
      <c r="A229" s="16" t="e">
        <f>#REF!</f>
        <v>#REF!</v>
      </c>
      <c r="B229" s="16" t="e">
        <f>#REF!</f>
        <v>#REF!</v>
      </c>
      <c r="C229" s="16" t="e">
        <f>#REF!</f>
        <v>#REF!</v>
      </c>
      <c r="D229" s="16" t="e">
        <f>#REF!</f>
        <v>#REF!</v>
      </c>
      <c r="E229" s="16" t="e">
        <f>#REF!</f>
        <v>#REF!</v>
      </c>
      <c r="F229" s="16" t="e">
        <f>#REF!</f>
        <v>#REF!</v>
      </c>
      <c r="G229" s="16" t="e">
        <f>#REF!</f>
        <v>#REF!</v>
      </c>
      <c r="H229" s="16" t="e">
        <f>#REF!</f>
        <v>#REF!</v>
      </c>
      <c r="I229" s="16" t="e">
        <f>#REF!</f>
        <v>#REF!</v>
      </c>
      <c r="J229" s="16" t="e">
        <f>#REF!</f>
        <v>#REF!</v>
      </c>
      <c r="K229" s="16"/>
      <c r="L229" s="16"/>
      <c r="M229" s="16"/>
      <c r="N229" s="16"/>
      <c r="O229" s="16"/>
      <c r="P229" s="24">
        <v>36</v>
      </c>
      <c r="Q229" s="17" t="s">
        <v>789</v>
      </c>
    </row>
    <row r="230" spans="1:17" ht="22.5" customHeight="1" thickTop="1" thickBot="1" x14ac:dyDescent="0.25">
      <c r="A230" s="16" t="e">
        <f>#REF!</f>
        <v>#REF!</v>
      </c>
      <c r="B230" s="16" t="e">
        <f>#REF!</f>
        <v>#REF!</v>
      </c>
      <c r="C230" s="16" t="e">
        <f>#REF!</f>
        <v>#REF!</v>
      </c>
      <c r="D230" s="16" t="e">
        <f>#REF!</f>
        <v>#REF!</v>
      </c>
      <c r="E230" s="16" t="e">
        <f>#REF!</f>
        <v>#REF!</v>
      </c>
      <c r="F230" s="16" t="e">
        <f>#REF!</f>
        <v>#REF!</v>
      </c>
      <c r="G230" s="16" t="e">
        <f>#REF!</f>
        <v>#REF!</v>
      </c>
      <c r="H230" s="16" t="e">
        <f>#REF!</f>
        <v>#REF!</v>
      </c>
      <c r="I230" s="16" t="e">
        <f>#REF!</f>
        <v>#REF!</v>
      </c>
      <c r="J230" s="16" t="e">
        <f>#REF!</f>
        <v>#REF!</v>
      </c>
      <c r="K230" s="16" t="s">
        <v>744</v>
      </c>
      <c r="L230" s="16"/>
      <c r="M230" s="16"/>
      <c r="N230" s="16"/>
      <c r="O230" s="16"/>
      <c r="P230" s="24"/>
      <c r="Q230" s="17" t="s">
        <v>789</v>
      </c>
    </row>
    <row r="231" spans="1:17" ht="22.5" customHeight="1" thickTop="1" thickBot="1" x14ac:dyDescent="0.25">
      <c r="A231" s="16" t="e">
        <f>#REF!</f>
        <v>#REF!</v>
      </c>
      <c r="B231" s="16" t="e">
        <f>#REF!</f>
        <v>#REF!</v>
      </c>
      <c r="C231" s="16" t="e">
        <f>#REF!</f>
        <v>#REF!</v>
      </c>
      <c r="D231" s="16" t="e">
        <f>#REF!</f>
        <v>#REF!</v>
      </c>
      <c r="E231" s="16" t="e">
        <f>#REF!</f>
        <v>#REF!</v>
      </c>
      <c r="F231" s="16" t="e">
        <f>#REF!</f>
        <v>#REF!</v>
      </c>
      <c r="G231" s="16" t="e">
        <f>#REF!</f>
        <v>#REF!</v>
      </c>
      <c r="H231" s="16" t="e">
        <f>#REF!</f>
        <v>#REF!</v>
      </c>
      <c r="I231" s="16" t="e">
        <f>#REF!</f>
        <v>#REF!</v>
      </c>
      <c r="J231" s="16" t="e">
        <f>#REF!</f>
        <v>#REF!</v>
      </c>
      <c r="K231" s="16"/>
      <c r="L231" s="16"/>
      <c r="M231" s="16"/>
      <c r="N231" s="16"/>
      <c r="O231" s="16"/>
      <c r="P231" s="24"/>
      <c r="Q231" s="17" t="s">
        <v>789</v>
      </c>
    </row>
    <row r="232" spans="1:17" ht="22.5" customHeight="1" thickTop="1" thickBot="1" x14ac:dyDescent="0.25">
      <c r="A232" s="16" t="e">
        <f>#REF!</f>
        <v>#REF!</v>
      </c>
      <c r="B232" s="16" t="e">
        <f>#REF!</f>
        <v>#REF!</v>
      </c>
      <c r="C232" s="16" t="e">
        <f>#REF!</f>
        <v>#REF!</v>
      </c>
      <c r="D232" s="16" t="e">
        <f>#REF!</f>
        <v>#REF!</v>
      </c>
      <c r="E232" s="16" t="e">
        <f>#REF!</f>
        <v>#REF!</v>
      </c>
      <c r="F232" s="16" t="e">
        <f>#REF!</f>
        <v>#REF!</v>
      </c>
      <c r="G232" s="16" t="e">
        <f>#REF!</f>
        <v>#REF!</v>
      </c>
      <c r="H232" s="16" t="e">
        <f>#REF!</f>
        <v>#REF!</v>
      </c>
      <c r="I232" s="16" t="e">
        <f>#REF!</f>
        <v>#REF!</v>
      </c>
      <c r="J232" s="16" t="e">
        <f>#REF!</f>
        <v>#REF!</v>
      </c>
      <c r="K232" s="16" t="s">
        <v>744</v>
      </c>
      <c r="L232" s="16"/>
      <c r="M232" s="16"/>
      <c r="N232" s="16"/>
      <c r="O232" s="16"/>
      <c r="P232" s="24"/>
      <c r="Q232" s="17" t="s">
        <v>789</v>
      </c>
    </row>
    <row r="233" spans="1:17" ht="22.5" customHeight="1" thickTop="1" thickBot="1" x14ac:dyDescent="0.25">
      <c r="A233" s="16" t="e">
        <f>#REF!</f>
        <v>#REF!</v>
      </c>
      <c r="B233" s="16" t="e">
        <f>#REF!</f>
        <v>#REF!</v>
      </c>
      <c r="C233" s="16" t="e">
        <f>#REF!</f>
        <v>#REF!</v>
      </c>
      <c r="D233" s="16" t="e">
        <f>#REF!</f>
        <v>#REF!</v>
      </c>
      <c r="E233" s="16" t="e">
        <f>#REF!</f>
        <v>#REF!</v>
      </c>
      <c r="F233" s="16" t="e">
        <f>#REF!</f>
        <v>#REF!</v>
      </c>
      <c r="G233" s="16" t="e">
        <f>#REF!</f>
        <v>#REF!</v>
      </c>
      <c r="H233" s="16" t="e">
        <f>#REF!</f>
        <v>#REF!</v>
      </c>
      <c r="I233" s="16" t="e">
        <f>#REF!</f>
        <v>#REF!</v>
      </c>
      <c r="J233" s="16" t="e">
        <f>#REF!</f>
        <v>#REF!</v>
      </c>
      <c r="K233" s="16" t="s">
        <v>744</v>
      </c>
      <c r="L233" s="16"/>
      <c r="M233" s="16"/>
      <c r="N233" s="16"/>
      <c r="O233" s="16"/>
      <c r="P233" s="24"/>
      <c r="Q233" s="17" t="s">
        <v>789</v>
      </c>
    </row>
    <row r="234" spans="1:17" ht="22.5" customHeight="1" thickTop="1" thickBot="1" x14ac:dyDescent="0.25">
      <c r="A234" s="16" t="e">
        <f>#REF!</f>
        <v>#REF!</v>
      </c>
      <c r="B234" s="16" t="e">
        <f>#REF!</f>
        <v>#REF!</v>
      </c>
      <c r="C234" s="16" t="e">
        <f>#REF!</f>
        <v>#REF!</v>
      </c>
      <c r="D234" s="16" t="e">
        <f>#REF!</f>
        <v>#REF!</v>
      </c>
      <c r="E234" s="16" t="e">
        <f>#REF!</f>
        <v>#REF!</v>
      </c>
      <c r="F234" s="16" t="e">
        <f>#REF!</f>
        <v>#REF!</v>
      </c>
      <c r="G234" s="16" t="e">
        <f>#REF!</f>
        <v>#REF!</v>
      </c>
      <c r="H234" s="16" t="e">
        <f>#REF!</f>
        <v>#REF!</v>
      </c>
      <c r="I234" s="16" t="e">
        <f>#REF!</f>
        <v>#REF!</v>
      </c>
      <c r="J234" s="16" t="e">
        <f>#REF!</f>
        <v>#REF!</v>
      </c>
      <c r="K234" s="16" t="s">
        <v>744</v>
      </c>
      <c r="L234" s="16"/>
      <c r="M234" s="16"/>
      <c r="N234" s="16"/>
      <c r="O234" s="16"/>
      <c r="P234" s="24"/>
      <c r="Q234" s="17" t="s">
        <v>789</v>
      </c>
    </row>
    <row r="235" spans="1:17" ht="22.5" customHeight="1" thickTop="1" thickBot="1" x14ac:dyDescent="0.25">
      <c r="A235" s="16" t="e">
        <f>#REF!</f>
        <v>#REF!</v>
      </c>
      <c r="B235" s="16" t="e">
        <f>#REF!</f>
        <v>#REF!</v>
      </c>
      <c r="C235" s="16" t="e">
        <f>#REF!</f>
        <v>#REF!</v>
      </c>
      <c r="D235" s="16" t="e">
        <f>#REF!</f>
        <v>#REF!</v>
      </c>
      <c r="E235" s="16" t="e">
        <f>#REF!</f>
        <v>#REF!</v>
      </c>
      <c r="F235" s="16" t="e">
        <f>#REF!</f>
        <v>#REF!</v>
      </c>
      <c r="G235" s="16" t="e">
        <f>#REF!</f>
        <v>#REF!</v>
      </c>
      <c r="H235" s="16" t="e">
        <f>#REF!</f>
        <v>#REF!</v>
      </c>
      <c r="I235" s="16" t="e">
        <f>#REF!</f>
        <v>#REF!</v>
      </c>
      <c r="J235" s="16" t="e">
        <f>#REF!</f>
        <v>#REF!</v>
      </c>
      <c r="K235" s="16" t="s">
        <v>744</v>
      </c>
      <c r="L235" s="16"/>
      <c r="M235" s="16"/>
      <c r="N235" s="16"/>
      <c r="O235" s="16"/>
      <c r="P235" s="24"/>
      <c r="Q235" s="17" t="s">
        <v>789</v>
      </c>
    </row>
    <row r="236" spans="1:17" ht="22.5" customHeight="1" thickTop="1" thickBot="1" x14ac:dyDescent="0.25">
      <c r="A236" s="16" t="e">
        <f>#REF!</f>
        <v>#REF!</v>
      </c>
      <c r="B236" s="16" t="e">
        <f>#REF!</f>
        <v>#REF!</v>
      </c>
      <c r="C236" s="16" t="e">
        <f>#REF!</f>
        <v>#REF!</v>
      </c>
      <c r="D236" s="16" t="e">
        <f>#REF!</f>
        <v>#REF!</v>
      </c>
      <c r="E236" s="16" t="e">
        <f>#REF!</f>
        <v>#REF!</v>
      </c>
      <c r="F236" s="16" t="e">
        <f>#REF!</f>
        <v>#REF!</v>
      </c>
      <c r="G236" s="16" t="e">
        <f>#REF!</f>
        <v>#REF!</v>
      </c>
      <c r="H236" s="16" t="e">
        <f>#REF!</f>
        <v>#REF!</v>
      </c>
      <c r="I236" s="16" t="e">
        <f>#REF!</f>
        <v>#REF!</v>
      </c>
      <c r="J236" s="16" t="e">
        <f>#REF!</f>
        <v>#REF!</v>
      </c>
      <c r="K236" s="16" t="s">
        <v>744</v>
      </c>
      <c r="L236" s="16"/>
      <c r="M236" s="16"/>
      <c r="N236" s="16"/>
      <c r="O236" s="16"/>
      <c r="P236" s="24">
        <v>35</v>
      </c>
      <c r="Q236" s="17" t="s">
        <v>789</v>
      </c>
    </row>
    <row r="237" spans="1:17" ht="22.5" customHeight="1" thickTop="1" thickBot="1" x14ac:dyDescent="0.25">
      <c r="A237" s="16" t="e">
        <f>#REF!</f>
        <v>#REF!</v>
      </c>
      <c r="B237" s="16" t="e">
        <f>#REF!</f>
        <v>#REF!</v>
      </c>
      <c r="C237" s="16" t="e">
        <f>#REF!</f>
        <v>#REF!</v>
      </c>
      <c r="D237" s="16" t="e">
        <f>#REF!</f>
        <v>#REF!</v>
      </c>
      <c r="E237" s="16" t="e">
        <f>#REF!</f>
        <v>#REF!</v>
      </c>
      <c r="F237" s="16" t="e">
        <f>#REF!</f>
        <v>#REF!</v>
      </c>
      <c r="G237" s="16" t="e">
        <f>#REF!</f>
        <v>#REF!</v>
      </c>
      <c r="H237" s="16" t="e">
        <f>#REF!</f>
        <v>#REF!</v>
      </c>
      <c r="I237" s="16" t="e">
        <f>#REF!</f>
        <v>#REF!</v>
      </c>
      <c r="J237" s="16" t="e">
        <f>#REF!</f>
        <v>#REF!</v>
      </c>
      <c r="K237" s="16" t="s">
        <v>744</v>
      </c>
      <c r="L237" s="16"/>
      <c r="M237" s="16"/>
      <c r="N237" s="16"/>
      <c r="O237" s="16"/>
      <c r="P237" s="24">
        <v>35</v>
      </c>
      <c r="Q237" s="17" t="s">
        <v>789</v>
      </c>
    </row>
    <row r="238" spans="1:17" ht="22.5" customHeight="1" thickTop="1" thickBot="1" x14ac:dyDescent="0.25">
      <c r="A238" s="16" t="e">
        <f>#REF!</f>
        <v>#REF!</v>
      </c>
      <c r="B238" s="16" t="e">
        <f>#REF!</f>
        <v>#REF!</v>
      </c>
      <c r="C238" s="16" t="e">
        <f>#REF!</f>
        <v>#REF!</v>
      </c>
      <c r="D238" s="16" t="e">
        <f>#REF!</f>
        <v>#REF!</v>
      </c>
      <c r="E238" s="16" t="e">
        <f>#REF!</f>
        <v>#REF!</v>
      </c>
      <c r="F238" s="16" t="e">
        <f>#REF!</f>
        <v>#REF!</v>
      </c>
      <c r="G238" s="16" t="e">
        <f>#REF!</f>
        <v>#REF!</v>
      </c>
      <c r="H238" s="16" t="e">
        <f>#REF!</f>
        <v>#REF!</v>
      </c>
      <c r="I238" s="16" t="e">
        <f>#REF!</f>
        <v>#REF!</v>
      </c>
      <c r="J238" s="16" t="e">
        <f>#REF!</f>
        <v>#REF!</v>
      </c>
      <c r="K238" s="16" t="s">
        <v>744</v>
      </c>
      <c r="L238" s="16"/>
      <c r="M238" s="16"/>
      <c r="N238" s="16"/>
      <c r="O238" s="16"/>
      <c r="P238" s="24">
        <v>35</v>
      </c>
      <c r="Q238" s="17" t="s">
        <v>789</v>
      </c>
    </row>
    <row r="239" spans="1:17" ht="22.5" customHeight="1" thickTop="1" thickBot="1" x14ac:dyDescent="0.25">
      <c r="A239" s="16" t="e">
        <f>#REF!</f>
        <v>#REF!</v>
      </c>
      <c r="B239" s="16" t="e">
        <f>#REF!</f>
        <v>#REF!</v>
      </c>
      <c r="C239" s="16" t="e">
        <f>#REF!</f>
        <v>#REF!</v>
      </c>
      <c r="D239" s="16" t="e">
        <f>#REF!</f>
        <v>#REF!</v>
      </c>
      <c r="E239" s="16" t="e">
        <f>#REF!</f>
        <v>#REF!</v>
      </c>
      <c r="F239" s="16" t="e">
        <f>#REF!</f>
        <v>#REF!</v>
      </c>
      <c r="G239" s="16" t="e">
        <f>#REF!</f>
        <v>#REF!</v>
      </c>
      <c r="H239" s="16" t="e">
        <f>#REF!</f>
        <v>#REF!</v>
      </c>
      <c r="I239" s="16" t="e">
        <f>#REF!</f>
        <v>#REF!</v>
      </c>
      <c r="J239" s="16" t="e">
        <f>#REF!</f>
        <v>#REF!</v>
      </c>
      <c r="K239" s="16" t="s">
        <v>744</v>
      </c>
      <c r="L239" s="16"/>
      <c r="M239" s="16"/>
      <c r="N239" s="16"/>
      <c r="O239" s="16"/>
      <c r="P239" s="24">
        <v>35</v>
      </c>
      <c r="Q239" s="17" t="s">
        <v>789</v>
      </c>
    </row>
    <row r="240" spans="1:17" ht="22.5" customHeight="1" thickTop="1" thickBot="1" x14ac:dyDescent="0.25">
      <c r="A240" s="16" t="e">
        <f>#REF!</f>
        <v>#REF!</v>
      </c>
      <c r="B240" s="16" t="e">
        <f>#REF!</f>
        <v>#REF!</v>
      </c>
      <c r="C240" s="16" t="e">
        <f>#REF!</f>
        <v>#REF!</v>
      </c>
      <c r="D240" s="16" t="e">
        <f>#REF!</f>
        <v>#REF!</v>
      </c>
      <c r="E240" s="16" t="e">
        <f>#REF!</f>
        <v>#REF!</v>
      </c>
      <c r="F240" s="16" t="e">
        <f>#REF!</f>
        <v>#REF!</v>
      </c>
      <c r="G240" s="16" t="e">
        <f>#REF!</f>
        <v>#REF!</v>
      </c>
      <c r="H240" s="16" t="e">
        <f>#REF!</f>
        <v>#REF!</v>
      </c>
      <c r="I240" s="16" t="e">
        <f>#REF!</f>
        <v>#REF!</v>
      </c>
      <c r="J240" s="16" t="e">
        <f>#REF!</f>
        <v>#REF!</v>
      </c>
      <c r="K240" s="16" t="s">
        <v>744</v>
      </c>
      <c r="L240" s="16"/>
      <c r="M240" s="16"/>
      <c r="N240" s="16"/>
      <c r="O240" s="16"/>
      <c r="P240" s="24">
        <v>35</v>
      </c>
      <c r="Q240" s="17" t="s">
        <v>789</v>
      </c>
    </row>
    <row r="241" spans="1:17" ht="22.5" customHeight="1" thickTop="1" thickBot="1" x14ac:dyDescent="0.25">
      <c r="A241" s="16" t="e">
        <f>#REF!</f>
        <v>#REF!</v>
      </c>
      <c r="B241" s="16" t="e">
        <f>#REF!</f>
        <v>#REF!</v>
      </c>
      <c r="C241" s="16" t="e">
        <f>#REF!</f>
        <v>#REF!</v>
      </c>
      <c r="D241" s="16" t="e">
        <f>#REF!</f>
        <v>#REF!</v>
      </c>
      <c r="E241" s="16" t="e">
        <f>#REF!</f>
        <v>#REF!</v>
      </c>
      <c r="F241" s="16" t="e">
        <f>#REF!</f>
        <v>#REF!</v>
      </c>
      <c r="G241" s="16" t="e">
        <f>#REF!</f>
        <v>#REF!</v>
      </c>
      <c r="H241" s="16" t="e">
        <f>#REF!</f>
        <v>#REF!</v>
      </c>
      <c r="I241" s="16" t="e">
        <f>#REF!</f>
        <v>#REF!</v>
      </c>
      <c r="J241" s="16" t="e">
        <f>#REF!</f>
        <v>#REF!</v>
      </c>
      <c r="K241" s="16" t="s">
        <v>744</v>
      </c>
      <c r="L241" s="16"/>
      <c r="M241" s="16"/>
      <c r="N241" s="16"/>
      <c r="O241" s="16"/>
      <c r="P241" s="24">
        <v>35</v>
      </c>
      <c r="Q241" s="17" t="s">
        <v>789</v>
      </c>
    </row>
    <row r="242" spans="1:17" ht="22.5" customHeight="1" thickTop="1" thickBot="1" x14ac:dyDescent="0.25">
      <c r="A242" s="16" t="e">
        <f>#REF!</f>
        <v>#REF!</v>
      </c>
      <c r="B242" s="16" t="e">
        <f>#REF!</f>
        <v>#REF!</v>
      </c>
      <c r="C242" s="16" t="e">
        <f>#REF!</f>
        <v>#REF!</v>
      </c>
      <c r="D242" s="16" t="e">
        <f>#REF!</f>
        <v>#REF!</v>
      </c>
      <c r="E242" s="16" t="e">
        <f>#REF!</f>
        <v>#REF!</v>
      </c>
      <c r="F242" s="16" t="e">
        <f>#REF!</f>
        <v>#REF!</v>
      </c>
      <c r="G242" s="16" t="e">
        <f>#REF!</f>
        <v>#REF!</v>
      </c>
      <c r="H242" s="16" t="e">
        <f>#REF!</f>
        <v>#REF!</v>
      </c>
      <c r="I242" s="16" t="e">
        <f>#REF!</f>
        <v>#REF!</v>
      </c>
      <c r="J242" s="16" t="e">
        <f>#REF!</f>
        <v>#REF!</v>
      </c>
      <c r="K242" s="16" t="s">
        <v>744</v>
      </c>
      <c r="L242" s="16"/>
      <c r="M242" s="16"/>
      <c r="N242" s="16"/>
      <c r="O242" s="16"/>
      <c r="P242" s="24">
        <v>35</v>
      </c>
      <c r="Q242" s="17" t="s">
        <v>789</v>
      </c>
    </row>
    <row r="243" spans="1:17" ht="22.5" customHeight="1" thickTop="1" thickBot="1" x14ac:dyDescent="0.25">
      <c r="A243" s="16" t="e">
        <f>#REF!</f>
        <v>#REF!</v>
      </c>
      <c r="B243" s="16" t="e">
        <f>#REF!</f>
        <v>#REF!</v>
      </c>
      <c r="C243" s="16" t="e">
        <f>#REF!</f>
        <v>#REF!</v>
      </c>
      <c r="D243" s="16" t="e">
        <f>#REF!</f>
        <v>#REF!</v>
      </c>
      <c r="E243" s="16" t="e">
        <f>#REF!</f>
        <v>#REF!</v>
      </c>
      <c r="F243" s="16" t="e">
        <f>#REF!</f>
        <v>#REF!</v>
      </c>
      <c r="G243" s="16" t="e">
        <f>#REF!</f>
        <v>#REF!</v>
      </c>
      <c r="H243" s="16" t="e">
        <f>#REF!</f>
        <v>#REF!</v>
      </c>
      <c r="I243" s="16" t="e">
        <f>#REF!</f>
        <v>#REF!</v>
      </c>
      <c r="J243" s="16" t="e">
        <f>#REF!</f>
        <v>#REF!</v>
      </c>
      <c r="K243" s="16" t="s">
        <v>744</v>
      </c>
      <c r="L243" s="16"/>
      <c r="M243" s="16"/>
      <c r="N243" s="16"/>
      <c r="O243" s="16"/>
      <c r="P243" s="24">
        <v>35</v>
      </c>
      <c r="Q243" s="17" t="s">
        <v>789</v>
      </c>
    </row>
    <row r="244" spans="1:17" ht="22.5" customHeight="1" thickTop="1" thickBot="1" x14ac:dyDescent="0.25">
      <c r="A244" s="16" t="e">
        <f>#REF!</f>
        <v>#REF!</v>
      </c>
      <c r="B244" s="16" t="e">
        <f>#REF!</f>
        <v>#REF!</v>
      </c>
      <c r="C244" s="16" t="e">
        <f>#REF!</f>
        <v>#REF!</v>
      </c>
      <c r="D244" s="16" t="e">
        <f>#REF!</f>
        <v>#REF!</v>
      </c>
      <c r="E244" s="16" t="e">
        <f>#REF!</f>
        <v>#REF!</v>
      </c>
      <c r="F244" s="16" t="e">
        <f>#REF!</f>
        <v>#REF!</v>
      </c>
      <c r="G244" s="16" t="e">
        <f>#REF!</f>
        <v>#REF!</v>
      </c>
      <c r="H244" s="16" t="e">
        <f>#REF!</f>
        <v>#REF!</v>
      </c>
      <c r="I244" s="16" t="e">
        <f>#REF!</f>
        <v>#REF!</v>
      </c>
      <c r="J244" s="16" t="e">
        <f>#REF!</f>
        <v>#REF!</v>
      </c>
      <c r="K244" s="16" t="s">
        <v>744</v>
      </c>
      <c r="L244" s="16"/>
      <c r="M244" s="16"/>
      <c r="N244" s="16"/>
      <c r="O244" s="16"/>
      <c r="P244" s="24">
        <v>35</v>
      </c>
      <c r="Q244" s="17" t="s">
        <v>789</v>
      </c>
    </row>
    <row r="245" spans="1:17" ht="22.5" customHeight="1" thickTop="1" thickBot="1" x14ac:dyDescent="0.25">
      <c r="A245" s="16" t="e">
        <f>#REF!</f>
        <v>#REF!</v>
      </c>
      <c r="B245" s="16" t="e">
        <f>#REF!</f>
        <v>#REF!</v>
      </c>
      <c r="C245" s="16" t="e">
        <f>#REF!</f>
        <v>#REF!</v>
      </c>
      <c r="D245" s="16" t="e">
        <f>#REF!</f>
        <v>#REF!</v>
      </c>
      <c r="E245" s="16" t="e">
        <f>#REF!</f>
        <v>#REF!</v>
      </c>
      <c r="F245" s="16" t="e">
        <f>#REF!</f>
        <v>#REF!</v>
      </c>
      <c r="G245" s="16" t="e">
        <f>#REF!</f>
        <v>#REF!</v>
      </c>
      <c r="H245" s="16" t="e">
        <f>#REF!</f>
        <v>#REF!</v>
      </c>
      <c r="I245" s="16" t="e">
        <f>#REF!</f>
        <v>#REF!</v>
      </c>
      <c r="J245" s="16" t="e">
        <f>#REF!</f>
        <v>#REF!</v>
      </c>
      <c r="K245" s="16" t="s">
        <v>744</v>
      </c>
      <c r="L245" s="16"/>
      <c r="M245" s="16"/>
      <c r="N245" s="16"/>
      <c r="O245" s="16"/>
      <c r="P245" s="24">
        <v>35</v>
      </c>
      <c r="Q245" s="17" t="s">
        <v>789</v>
      </c>
    </row>
    <row r="246" spans="1:17" ht="22.5" customHeight="1" thickTop="1" thickBot="1" x14ac:dyDescent="0.25">
      <c r="A246" s="16" t="e">
        <f>#REF!</f>
        <v>#REF!</v>
      </c>
      <c r="B246" s="16" t="e">
        <f>#REF!</f>
        <v>#REF!</v>
      </c>
      <c r="C246" s="16" t="e">
        <f>#REF!</f>
        <v>#REF!</v>
      </c>
      <c r="D246" s="16" t="e">
        <f>#REF!</f>
        <v>#REF!</v>
      </c>
      <c r="E246" s="16" t="e">
        <f>#REF!</f>
        <v>#REF!</v>
      </c>
      <c r="F246" s="16" t="e">
        <f>#REF!</f>
        <v>#REF!</v>
      </c>
      <c r="G246" s="16" t="e">
        <f>#REF!</f>
        <v>#REF!</v>
      </c>
      <c r="H246" s="16" t="e">
        <f>#REF!</f>
        <v>#REF!</v>
      </c>
      <c r="I246" s="16" t="e">
        <f>#REF!</f>
        <v>#REF!</v>
      </c>
      <c r="J246" s="16" t="e">
        <f>#REF!</f>
        <v>#REF!</v>
      </c>
      <c r="K246" s="16"/>
      <c r="L246" s="16"/>
      <c r="M246" s="16"/>
      <c r="N246" s="16"/>
      <c r="O246" s="16"/>
      <c r="P246" s="24">
        <v>35</v>
      </c>
      <c r="Q246" s="17" t="s">
        <v>789</v>
      </c>
    </row>
    <row r="247" spans="1:17" ht="22.5" customHeight="1" thickTop="1" thickBot="1" x14ac:dyDescent="0.25">
      <c r="A247" s="16" t="e">
        <f>#REF!</f>
        <v>#REF!</v>
      </c>
      <c r="B247" s="16" t="e">
        <f>#REF!</f>
        <v>#REF!</v>
      </c>
      <c r="C247" s="16" t="e">
        <f>#REF!</f>
        <v>#REF!</v>
      </c>
      <c r="D247" s="16" t="e">
        <f>#REF!</f>
        <v>#REF!</v>
      </c>
      <c r="E247" s="16" t="e">
        <f>#REF!</f>
        <v>#REF!</v>
      </c>
      <c r="F247" s="16" t="e">
        <f>#REF!</f>
        <v>#REF!</v>
      </c>
      <c r="G247" s="16" t="e">
        <f>#REF!</f>
        <v>#REF!</v>
      </c>
      <c r="H247" s="16" t="e">
        <f>#REF!</f>
        <v>#REF!</v>
      </c>
      <c r="I247" s="16" t="e">
        <f>#REF!</f>
        <v>#REF!</v>
      </c>
      <c r="J247" s="16" t="e">
        <f>#REF!</f>
        <v>#REF!</v>
      </c>
      <c r="K247" s="16"/>
      <c r="L247" s="16"/>
      <c r="M247" s="16"/>
      <c r="N247" s="16"/>
      <c r="O247" s="16"/>
      <c r="P247" s="24">
        <v>35</v>
      </c>
      <c r="Q247" s="17" t="s">
        <v>789</v>
      </c>
    </row>
    <row r="248" spans="1:17" ht="22.5" customHeight="1" thickTop="1" thickBot="1" x14ac:dyDescent="0.25">
      <c r="A248" s="16" t="e">
        <f>#REF!</f>
        <v>#REF!</v>
      </c>
      <c r="B248" s="16" t="e">
        <f>#REF!</f>
        <v>#REF!</v>
      </c>
      <c r="C248" s="16" t="e">
        <f>#REF!</f>
        <v>#REF!</v>
      </c>
      <c r="D248" s="16" t="e">
        <f>#REF!</f>
        <v>#REF!</v>
      </c>
      <c r="E248" s="16" t="e">
        <f>#REF!</f>
        <v>#REF!</v>
      </c>
      <c r="F248" s="16" t="e">
        <f>#REF!</f>
        <v>#REF!</v>
      </c>
      <c r="G248" s="16" t="e">
        <f>#REF!</f>
        <v>#REF!</v>
      </c>
      <c r="H248" s="16" t="e">
        <f>#REF!</f>
        <v>#REF!</v>
      </c>
      <c r="I248" s="16" t="e">
        <f>#REF!</f>
        <v>#REF!</v>
      </c>
      <c r="J248" s="16" t="e">
        <f>#REF!</f>
        <v>#REF!</v>
      </c>
      <c r="K248" s="16"/>
      <c r="L248" s="16"/>
      <c r="M248" s="16"/>
      <c r="N248" s="16"/>
      <c r="O248" s="16"/>
      <c r="P248" s="24">
        <v>37</v>
      </c>
      <c r="Q248" s="17" t="s">
        <v>789</v>
      </c>
    </row>
    <row r="249" spans="1:17" ht="22.5" customHeight="1" thickTop="1" thickBot="1" x14ac:dyDescent="0.25">
      <c r="A249" s="16" t="e">
        <f>#REF!</f>
        <v>#REF!</v>
      </c>
      <c r="B249" s="16" t="e">
        <f>#REF!</f>
        <v>#REF!</v>
      </c>
      <c r="C249" s="16" t="e">
        <f>#REF!</f>
        <v>#REF!</v>
      </c>
      <c r="D249" s="16" t="e">
        <f>#REF!</f>
        <v>#REF!</v>
      </c>
      <c r="E249" s="16" t="e">
        <f>#REF!</f>
        <v>#REF!</v>
      </c>
      <c r="F249" s="16" t="e">
        <f>#REF!</f>
        <v>#REF!</v>
      </c>
      <c r="G249" s="16" t="e">
        <f>#REF!</f>
        <v>#REF!</v>
      </c>
      <c r="H249" s="16" t="e">
        <f>#REF!</f>
        <v>#REF!</v>
      </c>
      <c r="I249" s="16" t="e">
        <f>#REF!</f>
        <v>#REF!</v>
      </c>
      <c r="J249" s="16" t="e">
        <f>#REF!</f>
        <v>#REF!</v>
      </c>
      <c r="K249" s="16" t="s">
        <v>744</v>
      </c>
      <c r="L249" s="16"/>
      <c r="M249" s="16"/>
      <c r="N249" s="16"/>
      <c r="O249" s="16"/>
      <c r="P249" s="24">
        <v>37</v>
      </c>
      <c r="Q249" s="17" t="s">
        <v>789</v>
      </c>
    </row>
    <row r="250" spans="1:17" ht="22.5" customHeight="1" thickTop="1" thickBot="1" x14ac:dyDescent="0.25">
      <c r="A250" s="16" t="e">
        <f>#REF!</f>
        <v>#REF!</v>
      </c>
      <c r="B250" s="16" t="e">
        <f>#REF!</f>
        <v>#REF!</v>
      </c>
      <c r="C250" s="16" t="e">
        <f>#REF!</f>
        <v>#REF!</v>
      </c>
      <c r="D250" s="16" t="e">
        <f>#REF!</f>
        <v>#REF!</v>
      </c>
      <c r="E250" s="16" t="e">
        <f>#REF!</f>
        <v>#REF!</v>
      </c>
      <c r="F250" s="16" t="e">
        <f>#REF!</f>
        <v>#REF!</v>
      </c>
      <c r="G250" s="16" t="e">
        <f>#REF!</f>
        <v>#REF!</v>
      </c>
      <c r="H250" s="16" t="e">
        <f>#REF!</f>
        <v>#REF!</v>
      </c>
      <c r="I250" s="16" t="e">
        <f>#REF!</f>
        <v>#REF!</v>
      </c>
      <c r="J250" s="16" t="e">
        <f>#REF!</f>
        <v>#REF!</v>
      </c>
      <c r="K250" s="16" t="s">
        <v>744</v>
      </c>
      <c r="L250" s="16"/>
      <c r="M250" s="16"/>
      <c r="N250" s="16"/>
      <c r="O250" s="16"/>
      <c r="P250" s="24">
        <v>37</v>
      </c>
      <c r="Q250" s="17" t="s">
        <v>789</v>
      </c>
    </row>
    <row r="251" spans="1:17" ht="22.5" customHeight="1" thickTop="1" thickBot="1" x14ac:dyDescent="0.25">
      <c r="A251" s="16" t="e">
        <f>#REF!</f>
        <v>#REF!</v>
      </c>
      <c r="B251" s="16" t="e">
        <f>#REF!</f>
        <v>#REF!</v>
      </c>
      <c r="C251" s="16" t="e">
        <f>#REF!</f>
        <v>#REF!</v>
      </c>
      <c r="D251" s="16" t="e">
        <f>#REF!</f>
        <v>#REF!</v>
      </c>
      <c r="E251" s="16" t="e">
        <f>#REF!</f>
        <v>#REF!</v>
      </c>
      <c r="F251" s="16" t="e">
        <f>#REF!</f>
        <v>#REF!</v>
      </c>
      <c r="G251" s="16" t="e">
        <f>#REF!</f>
        <v>#REF!</v>
      </c>
      <c r="H251" s="16" t="e">
        <f>#REF!</f>
        <v>#REF!</v>
      </c>
      <c r="I251" s="16" t="e">
        <f>#REF!</f>
        <v>#REF!</v>
      </c>
      <c r="J251" s="16" t="e">
        <f>#REF!</f>
        <v>#REF!</v>
      </c>
      <c r="K251" s="16" t="s">
        <v>744</v>
      </c>
      <c r="L251" s="16"/>
      <c r="M251" s="16"/>
      <c r="N251" s="16"/>
      <c r="O251" s="16"/>
      <c r="P251" s="24">
        <v>37</v>
      </c>
      <c r="Q251" s="17" t="s">
        <v>789</v>
      </c>
    </row>
    <row r="252" spans="1:17" ht="22.5" customHeight="1" thickTop="1" thickBot="1" x14ac:dyDescent="0.25">
      <c r="A252" s="16" t="e">
        <f>#REF!</f>
        <v>#REF!</v>
      </c>
      <c r="B252" s="16" t="e">
        <f>#REF!</f>
        <v>#REF!</v>
      </c>
      <c r="C252" s="16" t="e">
        <f>#REF!</f>
        <v>#REF!</v>
      </c>
      <c r="D252" s="16" t="e">
        <f>#REF!</f>
        <v>#REF!</v>
      </c>
      <c r="E252" s="16" t="e">
        <f>#REF!</f>
        <v>#REF!</v>
      </c>
      <c r="F252" s="16" t="e">
        <f>#REF!</f>
        <v>#REF!</v>
      </c>
      <c r="G252" s="16" t="e">
        <f>#REF!</f>
        <v>#REF!</v>
      </c>
      <c r="H252" s="16" t="e">
        <f>#REF!</f>
        <v>#REF!</v>
      </c>
      <c r="I252" s="16" t="e">
        <f>#REF!</f>
        <v>#REF!</v>
      </c>
      <c r="J252" s="16" t="e">
        <f>#REF!</f>
        <v>#REF!</v>
      </c>
      <c r="K252" s="16"/>
      <c r="L252" s="16"/>
      <c r="M252" s="16"/>
      <c r="N252" s="16"/>
      <c r="O252" s="16"/>
      <c r="P252" s="24">
        <v>38</v>
      </c>
      <c r="Q252" s="24"/>
    </row>
    <row r="253" spans="1:17" ht="22.5" customHeight="1" thickTop="1" thickBot="1" x14ac:dyDescent="0.25">
      <c r="A253" s="16" t="e">
        <f>#REF!</f>
        <v>#REF!</v>
      </c>
      <c r="B253" s="16" t="e">
        <f>#REF!</f>
        <v>#REF!</v>
      </c>
      <c r="C253" s="16" t="e">
        <f>#REF!</f>
        <v>#REF!</v>
      </c>
      <c r="D253" s="16" t="e">
        <f>#REF!</f>
        <v>#REF!</v>
      </c>
      <c r="E253" s="16" t="e">
        <f>#REF!</f>
        <v>#REF!</v>
      </c>
      <c r="F253" s="16" t="e">
        <f>#REF!</f>
        <v>#REF!</v>
      </c>
      <c r="G253" s="16" t="e">
        <f>#REF!</f>
        <v>#REF!</v>
      </c>
      <c r="H253" s="16" t="e">
        <f>#REF!</f>
        <v>#REF!</v>
      </c>
      <c r="I253" s="16" t="e">
        <f>#REF!</f>
        <v>#REF!</v>
      </c>
      <c r="J253" s="16" t="e">
        <f>#REF!</f>
        <v>#REF!</v>
      </c>
      <c r="K253" s="16"/>
      <c r="L253" s="16"/>
      <c r="M253" s="16"/>
      <c r="N253" s="16"/>
      <c r="O253" s="16"/>
      <c r="P253" s="24">
        <v>38</v>
      </c>
      <c r="Q253" s="24"/>
    </row>
    <row r="254" spans="1:17" ht="22.5" customHeight="1" thickTop="1" thickBot="1" x14ac:dyDescent="0.25">
      <c r="A254" s="16" t="e">
        <f>#REF!</f>
        <v>#REF!</v>
      </c>
      <c r="B254" s="16" t="e">
        <f>#REF!</f>
        <v>#REF!</v>
      </c>
      <c r="C254" s="16" t="e">
        <f>#REF!</f>
        <v>#REF!</v>
      </c>
      <c r="D254" s="16" t="e">
        <f>#REF!</f>
        <v>#REF!</v>
      </c>
      <c r="E254" s="16" t="e">
        <f>#REF!</f>
        <v>#REF!</v>
      </c>
      <c r="F254" s="16" t="e">
        <f>#REF!</f>
        <v>#REF!</v>
      </c>
      <c r="G254" s="16" t="e">
        <f>#REF!</f>
        <v>#REF!</v>
      </c>
      <c r="H254" s="16" t="e">
        <f>#REF!</f>
        <v>#REF!</v>
      </c>
      <c r="I254" s="16" t="e">
        <f>#REF!</f>
        <v>#REF!</v>
      </c>
      <c r="J254" s="16" t="e">
        <f>#REF!</f>
        <v>#REF!</v>
      </c>
      <c r="K254" s="16"/>
      <c r="L254" s="16"/>
      <c r="M254" s="16"/>
      <c r="N254" s="16"/>
      <c r="O254" s="16"/>
      <c r="P254" s="24">
        <v>59</v>
      </c>
      <c r="Q254" s="24"/>
    </row>
    <row r="255" spans="1:17" ht="22.5" customHeight="1" thickTop="1" thickBot="1" x14ac:dyDescent="0.25">
      <c r="A255" s="16" t="e">
        <f>#REF!</f>
        <v>#REF!</v>
      </c>
      <c r="B255" s="16" t="e">
        <f>#REF!</f>
        <v>#REF!</v>
      </c>
      <c r="C255" s="16" t="e">
        <f>#REF!</f>
        <v>#REF!</v>
      </c>
      <c r="D255" s="16" t="e">
        <f>#REF!</f>
        <v>#REF!</v>
      </c>
      <c r="E255" s="16" t="e">
        <f>#REF!</f>
        <v>#REF!</v>
      </c>
      <c r="F255" s="16" t="e">
        <f>#REF!</f>
        <v>#REF!</v>
      </c>
      <c r="G255" s="16" t="e">
        <f>#REF!</f>
        <v>#REF!</v>
      </c>
      <c r="H255" s="16" t="e">
        <f>#REF!</f>
        <v>#REF!</v>
      </c>
      <c r="I255" s="16" t="e">
        <f>#REF!</f>
        <v>#REF!</v>
      </c>
      <c r="J255" s="16" t="e">
        <f>#REF!</f>
        <v>#REF!</v>
      </c>
      <c r="K255" s="16"/>
      <c r="L255" s="16"/>
      <c r="M255" s="16"/>
      <c r="N255" s="16"/>
      <c r="O255" s="16"/>
      <c r="P255" s="24">
        <v>59</v>
      </c>
      <c r="Q255" s="24"/>
    </row>
    <row r="256" spans="1:17" ht="22.5" customHeight="1" thickTop="1" thickBot="1" x14ac:dyDescent="0.25">
      <c r="A256" s="16" t="e">
        <f>#REF!</f>
        <v>#REF!</v>
      </c>
      <c r="B256" s="16" t="e">
        <f>#REF!</f>
        <v>#REF!</v>
      </c>
      <c r="C256" s="16" t="e">
        <f>#REF!</f>
        <v>#REF!</v>
      </c>
      <c r="D256" s="16" t="e">
        <f>#REF!</f>
        <v>#REF!</v>
      </c>
      <c r="E256" s="16" t="e">
        <f>#REF!</f>
        <v>#REF!</v>
      </c>
      <c r="F256" s="16" t="e">
        <f>#REF!</f>
        <v>#REF!</v>
      </c>
      <c r="G256" s="16" t="e">
        <f>#REF!</f>
        <v>#REF!</v>
      </c>
      <c r="H256" s="16" t="e">
        <f>#REF!</f>
        <v>#REF!</v>
      </c>
      <c r="I256" s="16" t="e">
        <f>#REF!</f>
        <v>#REF!</v>
      </c>
      <c r="J256" s="16" t="e">
        <f>#REF!</f>
        <v>#REF!</v>
      </c>
      <c r="K256" s="16"/>
      <c r="L256" s="16"/>
      <c r="M256" s="16"/>
      <c r="N256" s="16"/>
      <c r="O256" s="16"/>
      <c r="P256" s="24">
        <v>59</v>
      </c>
      <c r="Q256" s="24"/>
    </row>
    <row r="257" spans="1:17" ht="22.5" customHeight="1" thickTop="1" thickBot="1" x14ac:dyDescent="0.25">
      <c r="A257" s="16" t="e">
        <f>#REF!</f>
        <v>#REF!</v>
      </c>
      <c r="B257" s="16" t="e">
        <f>#REF!</f>
        <v>#REF!</v>
      </c>
      <c r="C257" s="16" t="e">
        <f>#REF!</f>
        <v>#REF!</v>
      </c>
      <c r="D257" s="16" t="e">
        <f>#REF!</f>
        <v>#REF!</v>
      </c>
      <c r="E257" s="16" t="e">
        <f>#REF!</f>
        <v>#REF!</v>
      </c>
      <c r="F257" s="16" t="e">
        <f>#REF!</f>
        <v>#REF!</v>
      </c>
      <c r="G257" s="16" t="e">
        <f>#REF!</f>
        <v>#REF!</v>
      </c>
      <c r="H257" s="16" t="e">
        <f>#REF!</f>
        <v>#REF!</v>
      </c>
      <c r="I257" s="16" t="e">
        <f>#REF!</f>
        <v>#REF!</v>
      </c>
      <c r="J257" s="16" t="e">
        <f>#REF!</f>
        <v>#REF!</v>
      </c>
      <c r="K257" s="16" t="s">
        <v>744</v>
      </c>
      <c r="L257" s="16"/>
      <c r="M257" s="16"/>
      <c r="N257" s="16"/>
      <c r="O257" s="16"/>
      <c r="P257" s="24">
        <v>59</v>
      </c>
      <c r="Q257" s="24"/>
    </row>
    <row r="258" spans="1:17" ht="22.5" customHeight="1" thickTop="1" thickBot="1" x14ac:dyDescent="0.25">
      <c r="A258" s="16" t="e">
        <f>#REF!</f>
        <v>#REF!</v>
      </c>
      <c r="B258" s="16" t="e">
        <f>#REF!</f>
        <v>#REF!</v>
      </c>
      <c r="C258" s="16" t="e">
        <f>#REF!</f>
        <v>#REF!</v>
      </c>
      <c r="D258" s="16" t="e">
        <f>#REF!</f>
        <v>#REF!</v>
      </c>
      <c r="E258" s="16" t="e">
        <f>#REF!</f>
        <v>#REF!</v>
      </c>
      <c r="F258" s="16" t="e">
        <f>#REF!</f>
        <v>#REF!</v>
      </c>
      <c r="G258" s="16" t="e">
        <f>#REF!</f>
        <v>#REF!</v>
      </c>
      <c r="H258" s="16" t="e">
        <f>#REF!</f>
        <v>#REF!</v>
      </c>
      <c r="I258" s="16" t="e">
        <f>#REF!</f>
        <v>#REF!</v>
      </c>
      <c r="J258" s="16" t="e">
        <f>#REF!</f>
        <v>#REF!</v>
      </c>
      <c r="K258" s="16" t="s">
        <v>744</v>
      </c>
      <c r="L258" s="16"/>
      <c r="M258" s="16"/>
      <c r="N258" s="16"/>
      <c r="O258" s="16"/>
      <c r="P258" s="24">
        <v>39</v>
      </c>
      <c r="Q258" s="17" t="s">
        <v>789</v>
      </c>
    </row>
    <row r="259" spans="1:17" ht="22.5" customHeight="1" thickTop="1" thickBot="1" x14ac:dyDescent="0.25">
      <c r="A259" s="16" t="e">
        <f>#REF!</f>
        <v>#REF!</v>
      </c>
      <c r="B259" s="16" t="e">
        <f>#REF!</f>
        <v>#REF!</v>
      </c>
      <c r="C259" s="16" t="e">
        <f>#REF!</f>
        <v>#REF!</v>
      </c>
      <c r="D259" s="16" t="e">
        <f>#REF!</f>
        <v>#REF!</v>
      </c>
      <c r="E259" s="16" t="e">
        <f>#REF!</f>
        <v>#REF!</v>
      </c>
      <c r="F259" s="16" t="e">
        <f>#REF!</f>
        <v>#REF!</v>
      </c>
      <c r="G259" s="16" t="e">
        <f>#REF!</f>
        <v>#REF!</v>
      </c>
      <c r="H259" s="16" t="e">
        <f>#REF!</f>
        <v>#REF!</v>
      </c>
      <c r="I259" s="16" t="e">
        <f>#REF!</f>
        <v>#REF!</v>
      </c>
      <c r="J259" s="16" t="e">
        <f>#REF!</f>
        <v>#REF!</v>
      </c>
      <c r="K259" s="16" t="s">
        <v>744</v>
      </c>
      <c r="L259" s="16"/>
      <c r="M259" s="16"/>
      <c r="N259" s="16"/>
      <c r="O259" s="16"/>
      <c r="P259" s="24">
        <v>39</v>
      </c>
      <c r="Q259" s="17" t="s">
        <v>789</v>
      </c>
    </row>
    <row r="260" spans="1:17" ht="22.5" customHeight="1" thickTop="1" thickBot="1" x14ac:dyDescent="0.25">
      <c r="A260" s="16" t="e">
        <f>#REF!</f>
        <v>#REF!</v>
      </c>
      <c r="B260" s="16" t="e">
        <f>#REF!</f>
        <v>#REF!</v>
      </c>
      <c r="C260" s="16" t="e">
        <f>#REF!</f>
        <v>#REF!</v>
      </c>
      <c r="D260" s="16" t="e">
        <f>#REF!</f>
        <v>#REF!</v>
      </c>
      <c r="E260" s="16" t="e">
        <f>#REF!</f>
        <v>#REF!</v>
      </c>
      <c r="F260" s="16" t="e">
        <f>#REF!</f>
        <v>#REF!</v>
      </c>
      <c r="G260" s="16" t="e">
        <f>#REF!</f>
        <v>#REF!</v>
      </c>
      <c r="H260" s="16" t="e">
        <f>#REF!</f>
        <v>#REF!</v>
      </c>
      <c r="I260" s="16" t="e">
        <f>#REF!</f>
        <v>#REF!</v>
      </c>
      <c r="J260" s="16" t="e">
        <f>#REF!</f>
        <v>#REF!</v>
      </c>
      <c r="K260" s="16" t="s">
        <v>744</v>
      </c>
      <c r="L260" s="16"/>
      <c r="M260" s="16"/>
      <c r="N260" s="16"/>
      <c r="O260" s="16"/>
      <c r="P260" s="24">
        <v>58</v>
      </c>
      <c r="Q260" s="24"/>
    </row>
    <row r="261" spans="1:17" ht="22.5" customHeight="1" thickTop="1" thickBot="1" x14ac:dyDescent="0.25">
      <c r="A261" s="16" t="e">
        <f>#REF!</f>
        <v>#REF!</v>
      </c>
      <c r="B261" s="16" t="e">
        <f>#REF!</f>
        <v>#REF!</v>
      </c>
      <c r="C261" s="16" t="e">
        <f>#REF!</f>
        <v>#REF!</v>
      </c>
      <c r="D261" s="16" t="e">
        <f>#REF!</f>
        <v>#REF!</v>
      </c>
      <c r="E261" s="16" t="e">
        <f>#REF!</f>
        <v>#REF!</v>
      </c>
      <c r="F261" s="16" t="e">
        <f>#REF!</f>
        <v>#REF!</v>
      </c>
      <c r="G261" s="16" t="e">
        <f>#REF!</f>
        <v>#REF!</v>
      </c>
      <c r="H261" s="16" t="e">
        <f>#REF!</f>
        <v>#REF!</v>
      </c>
      <c r="I261" s="16" t="e">
        <f>#REF!</f>
        <v>#REF!</v>
      </c>
      <c r="J261" s="16" t="e">
        <f>#REF!</f>
        <v>#REF!</v>
      </c>
      <c r="K261" s="16" t="s">
        <v>744</v>
      </c>
      <c r="L261" s="16"/>
      <c r="M261" s="16"/>
      <c r="N261" s="16"/>
      <c r="O261" s="16"/>
      <c r="P261" s="24">
        <v>58</v>
      </c>
      <c r="Q261" s="24"/>
    </row>
    <row r="262" spans="1:17" ht="22.5" customHeight="1" thickTop="1" thickBot="1" x14ac:dyDescent="0.25">
      <c r="A262" s="16" t="e">
        <f>#REF!</f>
        <v>#REF!</v>
      </c>
      <c r="B262" s="16" t="e">
        <f>#REF!</f>
        <v>#REF!</v>
      </c>
      <c r="C262" s="16" t="e">
        <f>#REF!</f>
        <v>#REF!</v>
      </c>
      <c r="D262" s="16" t="e">
        <f>#REF!</f>
        <v>#REF!</v>
      </c>
      <c r="E262" s="16" t="e">
        <f>#REF!</f>
        <v>#REF!</v>
      </c>
      <c r="F262" s="16" t="e">
        <f>#REF!</f>
        <v>#REF!</v>
      </c>
      <c r="G262" s="16" t="e">
        <f>#REF!</f>
        <v>#REF!</v>
      </c>
      <c r="H262" s="16" t="e">
        <f>#REF!</f>
        <v>#REF!</v>
      </c>
      <c r="I262" s="16" t="e">
        <f>#REF!</f>
        <v>#REF!</v>
      </c>
      <c r="J262" s="16" t="e">
        <f>#REF!</f>
        <v>#REF!</v>
      </c>
      <c r="K262" s="16" t="s">
        <v>744</v>
      </c>
      <c r="L262" s="16"/>
      <c r="M262" s="16"/>
      <c r="N262" s="16"/>
      <c r="O262" s="16"/>
      <c r="P262" s="24"/>
      <c r="Q262" s="24"/>
    </row>
    <row r="263" spans="1:17" ht="22.5" customHeight="1" thickTop="1" thickBot="1" x14ac:dyDescent="0.25">
      <c r="A263" s="16" t="e">
        <f>#REF!</f>
        <v>#REF!</v>
      </c>
      <c r="B263" s="16" t="e">
        <f>#REF!</f>
        <v>#REF!</v>
      </c>
      <c r="C263" s="16" t="e">
        <f>#REF!</f>
        <v>#REF!</v>
      </c>
      <c r="D263" s="16" t="e">
        <f>#REF!</f>
        <v>#REF!</v>
      </c>
      <c r="E263" s="16" t="e">
        <f>#REF!</f>
        <v>#REF!</v>
      </c>
      <c r="F263" s="16" t="e">
        <f>#REF!</f>
        <v>#REF!</v>
      </c>
      <c r="G263" s="16" t="e">
        <f>#REF!</f>
        <v>#REF!</v>
      </c>
      <c r="H263" s="16" t="e">
        <f>#REF!</f>
        <v>#REF!</v>
      </c>
      <c r="I263" s="16" t="e">
        <f>#REF!</f>
        <v>#REF!</v>
      </c>
      <c r="J263" s="16" t="e">
        <f>#REF!</f>
        <v>#REF!</v>
      </c>
      <c r="K263" s="16" t="s">
        <v>739</v>
      </c>
      <c r="L263" s="16" t="s">
        <v>741</v>
      </c>
      <c r="M263" s="16" t="s">
        <v>791</v>
      </c>
      <c r="N263" s="16" t="s">
        <v>48</v>
      </c>
      <c r="O263" s="16" t="s">
        <v>792</v>
      </c>
      <c r="P263" s="24"/>
      <c r="Q263" s="24"/>
    </row>
    <row r="264" spans="1:17" ht="22.5" customHeight="1" thickTop="1" thickBot="1" x14ac:dyDescent="0.25">
      <c r="A264" s="16" t="e">
        <f>#REF!</f>
        <v>#REF!</v>
      </c>
      <c r="B264" s="16" t="e">
        <f>#REF!</f>
        <v>#REF!</v>
      </c>
      <c r="C264" s="16" t="e">
        <f>#REF!</f>
        <v>#REF!</v>
      </c>
      <c r="D264" s="16" t="e">
        <f>#REF!</f>
        <v>#REF!</v>
      </c>
      <c r="E264" s="16" t="e">
        <f>#REF!</f>
        <v>#REF!</v>
      </c>
      <c r="F264" s="16" t="e">
        <f>#REF!</f>
        <v>#REF!</v>
      </c>
      <c r="G264" s="16" t="e">
        <f>#REF!</f>
        <v>#REF!</v>
      </c>
      <c r="H264" s="16" t="e">
        <f>#REF!</f>
        <v>#REF!</v>
      </c>
      <c r="I264" s="16" t="e">
        <f>#REF!</f>
        <v>#REF!</v>
      </c>
      <c r="J264" s="16" t="e">
        <f>#REF!</f>
        <v>#REF!</v>
      </c>
      <c r="K264" s="16" t="s">
        <v>744</v>
      </c>
      <c r="L264" s="16"/>
      <c r="M264" s="16"/>
      <c r="N264" s="16"/>
      <c r="O264" s="16"/>
      <c r="P264" s="24"/>
      <c r="Q264" s="24"/>
    </row>
    <row r="265" spans="1:17" ht="22.5" customHeight="1" thickTop="1" thickBot="1" x14ac:dyDescent="0.25">
      <c r="A265" s="16" t="e">
        <f>#REF!</f>
        <v>#REF!</v>
      </c>
      <c r="B265" s="16" t="e">
        <f>#REF!</f>
        <v>#REF!</v>
      </c>
      <c r="C265" s="16" t="e">
        <f>#REF!</f>
        <v>#REF!</v>
      </c>
      <c r="D265" s="16" t="e">
        <f>#REF!</f>
        <v>#REF!</v>
      </c>
      <c r="E265" s="16" t="e">
        <f>#REF!</f>
        <v>#REF!</v>
      </c>
      <c r="F265" s="16" t="e">
        <f>#REF!</f>
        <v>#REF!</v>
      </c>
      <c r="G265" s="16" t="e">
        <f>#REF!</f>
        <v>#REF!</v>
      </c>
      <c r="H265" s="16" t="e">
        <f>#REF!</f>
        <v>#REF!</v>
      </c>
      <c r="I265" s="16" t="e">
        <f>#REF!</f>
        <v>#REF!</v>
      </c>
      <c r="J265" s="16" t="e">
        <f>#REF!</f>
        <v>#REF!</v>
      </c>
      <c r="K265" s="16" t="s">
        <v>744</v>
      </c>
      <c r="L265" s="16"/>
      <c r="M265" s="16"/>
      <c r="N265" s="16"/>
      <c r="O265" s="16"/>
      <c r="P265" s="24"/>
      <c r="Q265" s="24"/>
    </row>
    <row r="266" spans="1:17" ht="22.5" customHeight="1" thickTop="1" thickBot="1" x14ac:dyDescent="0.25">
      <c r="A266" s="16" t="e">
        <f>#REF!</f>
        <v>#REF!</v>
      </c>
      <c r="B266" s="16" t="e">
        <f>#REF!</f>
        <v>#REF!</v>
      </c>
      <c r="C266" s="16" t="e">
        <f>#REF!</f>
        <v>#REF!</v>
      </c>
      <c r="D266" s="16" t="e">
        <f>#REF!</f>
        <v>#REF!</v>
      </c>
      <c r="E266" s="16" t="e">
        <f>#REF!</f>
        <v>#REF!</v>
      </c>
      <c r="F266" s="16" t="e">
        <f>#REF!</f>
        <v>#REF!</v>
      </c>
      <c r="G266" s="16" t="e">
        <f>#REF!</f>
        <v>#REF!</v>
      </c>
      <c r="H266" s="16" t="e">
        <f>#REF!</f>
        <v>#REF!</v>
      </c>
      <c r="I266" s="16" t="e">
        <f>#REF!</f>
        <v>#REF!</v>
      </c>
      <c r="J266" s="16" t="e">
        <f>#REF!</f>
        <v>#REF!</v>
      </c>
      <c r="K266" s="16" t="s">
        <v>744</v>
      </c>
      <c r="L266" s="16"/>
      <c r="M266" s="16"/>
      <c r="N266" s="16"/>
      <c r="O266" s="16"/>
      <c r="P266" s="24"/>
      <c r="Q266" s="24"/>
    </row>
    <row r="267" spans="1:17" ht="22.5" customHeight="1" thickTop="1" thickBot="1" x14ac:dyDescent="0.25">
      <c r="A267" s="16" t="e">
        <f>#REF!</f>
        <v>#REF!</v>
      </c>
      <c r="B267" s="16" t="e">
        <f>#REF!</f>
        <v>#REF!</v>
      </c>
      <c r="C267" s="16" t="e">
        <f>#REF!</f>
        <v>#REF!</v>
      </c>
      <c r="D267" s="16" t="e">
        <f>#REF!</f>
        <v>#REF!</v>
      </c>
      <c r="E267" s="16" t="e">
        <f>#REF!</f>
        <v>#REF!</v>
      </c>
      <c r="F267" s="16" t="e">
        <f>#REF!</f>
        <v>#REF!</v>
      </c>
      <c r="G267" s="16" t="e">
        <f>#REF!</f>
        <v>#REF!</v>
      </c>
      <c r="H267" s="16" t="e">
        <f>#REF!</f>
        <v>#REF!</v>
      </c>
      <c r="I267" s="16" t="e">
        <f>#REF!</f>
        <v>#REF!</v>
      </c>
      <c r="J267" s="16" t="e">
        <f>#REF!</f>
        <v>#REF!</v>
      </c>
      <c r="K267" s="16" t="s">
        <v>744</v>
      </c>
      <c r="L267" s="16"/>
      <c r="M267" s="16"/>
      <c r="N267" s="16"/>
      <c r="O267" s="16"/>
      <c r="P267" s="24"/>
      <c r="Q267" s="24"/>
    </row>
    <row r="268" spans="1:17" ht="22.5" customHeight="1" thickTop="1" thickBot="1" x14ac:dyDescent="0.25">
      <c r="A268" s="16" t="e">
        <f>#REF!</f>
        <v>#REF!</v>
      </c>
      <c r="B268" s="16" t="e">
        <f>#REF!</f>
        <v>#REF!</v>
      </c>
      <c r="C268" s="16" t="e">
        <f>#REF!</f>
        <v>#REF!</v>
      </c>
      <c r="D268" s="16" t="e">
        <f>#REF!</f>
        <v>#REF!</v>
      </c>
      <c r="E268" s="16" t="e">
        <f>#REF!</f>
        <v>#REF!</v>
      </c>
      <c r="F268" s="16" t="e">
        <f>#REF!</f>
        <v>#REF!</v>
      </c>
      <c r="G268" s="16" t="e">
        <f>#REF!</f>
        <v>#REF!</v>
      </c>
      <c r="H268" s="16" t="e">
        <f>#REF!</f>
        <v>#REF!</v>
      </c>
      <c r="I268" s="16" t="e">
        <f>#REF!</f>
        <v>#REF!</v>
      </c>
      <c r="J268" s="16" t="e">
        <f>#REF!</f>
        <v>#REF!</v>
      </c>
      <c r="K268" s="16" t="s">
        <v>744</v>
      </c>
      <c r="L268" s="16"/>
      <c r="M268" s="16"/>
      <c r="N268" s="16"/>
      <c r="O268" s="16"/>
      <c r="P268" s="24"/>
      <c r="Q268" s="24"/>
    </row>
    <row r="269" spans="1:17" ht="22.5" customHeight="1" thickTop="1" thickBot="1" x14ac:dyDescent="0.25">
      <c r="A269" s="16" t="e">
        <f>#REF!</f>
        <v>#REF!</v>
      </c>
      <c r="B269" s="16" t="e">
        <f>#REF!</f>
        <v>#REF!</v>
      </c>
      <c r="C269" s="16" t="e">
        <f>#REF!</f>
        <v>#REF!</v>
      </c>
      <c r="D269" s="16" t="e">
        <f>#REF!</f>
        <v>#REF!</v>
      </c>
      <c r="E269" s="16" t="e">
        <f>#REF!</f>
        <v>#REF!</v>
      </c>
      <c r="F269" s="16" t="e">
        <f>#REF!</f>
        <v>#REF!</v>
      </c>
      <c r="G269" s="16" t="e">
        <f>#REF!</f>
        <v>#REF!</v>
      </c>
      <c r="H269" s="16" t="e">
        <f>#REF!</f>
        <v>#REF!</v>
      </c>
      <c r="I269" s="16" t="e">
        <f>#REF!</f>
        <v>#REF!</v>
      </c>
      <c r="J269" s="16" t="e">
        <f>#REF!</f>
        <v>#REF!</v>
      </c>
      <c r="K269" s="16" t="s">
        <v>744</v>
      </c>
      <c r="L269" s="16"/>
      <c r="M269" s="16"/>
      <c r="N269" s="16"/>
      <c r="O269" s="16"/>
      <c r="P269" s="24"/>
      <c r="Q269" s="24"/>
    </row>
    <row r="270" spans="1:17" ht="22.5" customHeight="1" thickTop="1" thickBot="1" x14ac:dyDescent="0.25">
      <c r="A270" s="16" t="e">
        <f>#REF!</f>
        <v>#REF!</v>
      </c>
      <c r="B270" s="16" t="e">
        <f>#REF!</f>
        <v>#REF!</v>
      </c>
      <c r="C270" s="16" t="e">
        <f>#REF!</f>
        <v>#REF!</v>
      </c>
      <c r="D270" s="16" t="e">
        <f>#REF!</f>
        <v>#REF!</v>
      </c>
      <c r="E270" s="16" t="e">
        <f>#REF!</f>
        <v>#REF!</v>
      </c>
      <c r="F270" s="16" t="e">
        <f>#REF!</f>
        <v>#REF!</v>
      </c>
      <c r="G270" s="16" t="e">
        <f>#REF!</f>
        <v>#REF!</v>
      </c>
      <c r="H270" s="16" t="e">
        <f>#REF!</f>
        <v>#REF!</v>
      </c>
      <c r="I270" s="16" t="e">
        <f>#REF!</f>
        <v>#REF!</v>
      </c>
      <c r="J270" s="16" t="e">
        <f>#REF!</f>
        <v>#REF!</v>
      </c>
      <c r="K270" s="16" t="s">
        <v>744</v>
      </c>
      <c r="L270" s="16"/>
      <c r="M270" s="16"/>
      <c r="N270" s="16"/>
      <c r="O270" s="16"/>
      <c r="P270" s="24"/>
      <c r="Q270" s="17" t="s">
        <v>789</v>
      </c>
    </row>
    <row r="271" spans="1:17" ht="22.5" customHeight="1" thickTop="1" thickBot="1" x14ac:dyDescent="0.25">
      <c r="A271" s="16" t="e">
        <f>#REF!</f>
        <v>#REF!</v>
      </c>
      <c r="B271" s="16" t="e">
        <f>#REF!</f>
        <v>#REF!</v>
      </c>
      <c r="C271" s="16" t="e">
        <f>#REF!</f>
        <v>#REF!</v>
      </c>
      <c r="D271" s="16" t="e">
        <f>#REF!</f>
        <v>#REF!</v>
      </c>
      <c r="E271" s="16" t="e">
        <f>#REF!</f>
        <v>#REF!</v>
      </c>
      <c r="F271" s="16" t="e">
        <f>#REF!</f>
        <v>#REF!</v>
      </c>
      <c r="G271" s="16" t="e">
        <f>#REF!</f>
        <v>#REF!</v>
      </c>
      <c r="H271" s="16" t="e">
        <f>#REF!</f>
        <v>#REF!</v>
      </c>
      <c r="I271" s="16" t="e">
        <f>#REF!</f>
        <v>#REF!</v>
      </c>
      <c r="J271" s="16" t="e">
        <f>#REF!</f>
        <v>#REF!</v>
      </c>
      <c r="K271" s="16" t="s">
        <v>744</v>
      </c>
      <c r="L271" s="16"/>
      <c r="M271" s="16"/>
      <c r="N271" s="16"/>
      <c r="O271" s="16"/>
      <c r="P271" s="24"/>
      <c r="Q271" s="17" t="s">
        <v>789</v>
      </c>
    </row>
    <row r="272" spans="1:17" ht="22.5" customHeight="1" thickTop="1" thickBot="1" x14ac:dyDescent="0.25">
      <c r="A272" s="16" t="e">
        <f>#REF!</f>
        <v>#REF!</v>
      </c>
      <c r="B272" s="16" t="e">
        <f>#REF!</f>
        <v>#REF!</v>
      </c>
      <c r="C272" s="16" t="e">
        <f>#REF!</f>
        <v>#REF!</v>
      </c>
      <c r="D272" s="16" t="e">
        <f>#REF!</f>
        <v>#REF!</v>
      </c>
      <c r="E272" s="16" t="e">
        <f>#REF!</f>
        <v>#REF!</v>
      </c>
      <c r="F272" s="16" t="e">
        <f>#REF!</f>
        <v>#REF!</v>
      </c>
      <c r="G272" s="16" t="e">
        <f>#REF!</f>
        <v>#REF!</v>
      </c>
      <c r="H272" s="16" t="e">
        <f>#REF!</f>
        <v>#REF!</v>
      </c>
      <c r="I272" s="16" t="e">
        <f>#REF!</f>
        <v>#REF!</v>
      </c>
      <c r="J272" s="16" t="e">
        <f>#REF!</f>
        <v>#REF!</v>
      </c>
      <c r="K272" s="16" t="s">
        <v>744</v>
      </c>
      <c r="L272" s="16"/>
      <c r="M272" s="16"/>
      <c r="N272" s="16"/>
      <c r="O272" s="16"/>
      <c r="P272" s="24"/>
      <c r="Q272" s="17" t="s">
        <v>789</v>
      </c>
    </row>
    <row r="273" spans="1:17" ht="22.5" customHeight="1" thickTop="1" thickBot="1" x14ac:dyDescent="0.25">
      <c r="A273" s="16" t="e">
        <f>#REF!</f>
        <v>#REF!</v>
      </c>
      <c r="B273" s="16" t="e">
        <f>#REF!</f>
        <v>#REF!</v>
      </c>
      <c r="C273" s="16" t="e">
        <f>#REF!</f>
        <v>#REF!</v>
      </c>
      <c r="D273" s="16" t="e">
        <f>#REF!</f>
        <v>#REF!</v>
      </c>
      <c r="E273" s="16" t="e">
        <f>#REF!</f>
        <v>#REF!</v>
      </c>
      <c r="F273" s="16" t="e">
        <f>#REF!</f>
        <v>#REF!</v>
      </c>
      <c r="G273" s="16" t="e">
        <f>#REF!</f>
        <v>#REF!</v>
      </c>
      <c r="H273" s="16" t="e">
        <f>#REF!</f>
        <v>#REF!</v>
      </c>
      <c r="I273" s="16" t="e">
        <f>#REF!</f>
        <v>#REF!</v>
      </c>
      <c r="J273" s="16" t="e">
        <f>#REF!</f>
        <v>#REF!</v>
      </c>
      <c r="K273" s="16" t="s">
        <v>744</v>
      </c>
      <c r="L273" s="16"/>
      <c r="M273" s="16"/>
      <c r="N273" s="16"/>
      <c r="O273" s="16"/>
      <c r="P273" s="24"/>
      <c r="Q273" s="17" t="s">
        <v>789</v>
      </c>
    </row>
    <row r="274" spans="1:17" ht="22.5" customHeight="1" thickTop="1" thickBot="1" x14ac:dyDescent="0.25">
      <c r="A274" s="16" t="e">
        <f>#REF!</f>
        <v>#REF!</v>
      </c>
      <c r="B274" s="16" t="e">
        <f>#REF!</f>
        <v>#REF!</v>
      </c>
      <c r="C274" s="16" t="e">
        <f>#REF!</f>
        <v>#REF!</v>
      </c>
      <c r="D274" s="16" t="e">
        <f>#REF!</f>
        <v>#REF!</v>
      </c>
      <c r="E274" s="16" t="e">
        <f>#REF!</f>
        <v>#REF!</v>
      </c>
      <c r="F274" s="16" t="e">
        <f>#REF!</f>
        <v>#REF!</v>
      </c>
      <c r="G274" s="16" t="e">
        <f>#REF!</f>
        <v>#REF!</v>
      </c>
      <c r="H274" s="16" t="e">
        <f>#REF!</f>
        <v>#REF!</v>
      </c>
      <c r="I274" s="16" t="e">
        <f>#REF!</f>
        <v>#REF!</v>
      </c>
      <c r="J274" s="16" t="e">
        <f>#REF!</f>
        <v>#REF!</v>
      </c>
      <c r="K274" s="16" t="s">
        <v>752</v>
      </c>
      <c r="L274" s="16"/>
      <c r="M274" s="16"/>
      <c r="N274" s="16"/>
      <c r="O274" s="16"/>
      <c r="P274" s="24"/>
      <c r="Q274" s="17" t="s">
        <v>789</v>
      </c>
    </row>
    <row r="275" spans="1:17" ht="22.5" customHeight="1" thickTop="1" thickBot="1" x14ac:dyDescent="0.25">
      <c r="A275" s="16" t="e">
        <f>#REF!</f>
        <v>#REF!</v>
      </c>
      <c r="B275" s="16" t="e">
        <f>#REF!</f>
        <v>#REF!</v>
      </c>
      <c r="C275" s="16" t="e">
        <f>#REF!</f>
        <v>#REF!</v>
      </c>
      <c r="D275" s="16" t="e">
        <f>#REF!</f>
        <v>#REF!</v>
      </c>
      <c r="E275" s="16" t="e">
        <f>#REF!</f>
        <v>#REF!</v>
      </c>
      <c r="F275" s="16" t="e">
        <f>#REF!</f>
        <v>#REF!</v>
      </c>
      <c r="G275" s="16" t="e">
        <f>#REF!</f>
        <v>#REF!</v>
      </c>
      <c r="H275" s="16" t="e">
        <f>#REF!</f>
        <v>#REF!</v>
      </c>
      <c r="I275" s="16" t="e">
        <f>#REF!</f>
        <v>#REF!</v>
      </c>
      <c r="J275" s="16" t="e">
        <f>#REF!</f>
        <v>#REF!</v>
      </c>
      <c r="K275" s="16" t="s">
        <v>752</v>
      </c>
      <c r="L275" s="16"/>
      <c r="M275" s="16"/>
      <c r="N275" s="16"/>
      <c r="O275" s="16"/>
      <c r="P275" s="24"/>
      <c r="Q275" s="17" t="s">
        <v>789</v>
      </c>
    </row>
    <row r="276" spans="1:17" ht="22.5" customHeight="1" thickTop="1" thickBot="1" x14ac:dyDescent="0.25">
      <c r="A276" s="16" t="e">
        <f>#REF!</f>
        <v>#REF!</v>
      </c>
      <c r="B276" s="16" t="e">
        <f>#REF!</f>
        <v>#REF!</v>
      </c>
      <c r="C276" s="16" t="e">
        <f>#REF!</f>
        <v>#REF!</v>
      </c>
      <c r="D276" s="16" t="e">
        <f>#REF!</f>
        <v>#REF!</v>
      </c>
      <c r="E276" s="16" t="e">
        <f>#REF!</f>
        <v>#REF!</v>
      </c>
      <c r="F276" s="16" t="e">
        <f>#REF!</f>
        <v>#REF!</v>
      </c>
      <c r="G276" s="16" t="e">
        <f>#REF!</f>
        <v>#REF!</v>
      </c>
      <c r="H276" s="16" t="e">
        <f>#REF!</f>
        <v>#REF!</v>
      </c>
      <c r="I276" s="16" t="e">
        <f>#REF!</f>
        <v>#REF!</v>
      </c>
      <c r="J276" s="16" t="e">
        <f>#REF!</f>
        <v>#REF!</v>
      </c>
      <c r="K276" s="16" t="s">
        <v>752</v>
      </c>
      <c r="L276" s="16"/>
      <c r="M276" s="16"/>
      <c r="N276" s="16"/>
      <c r="O276" s="16"/>
      <c r="P276" s="24"/>
      <c r="Q276" s="24"/>
    </row>
    <row r="277" spans="1:17" ht="22.5" customHeight="1" thickTop="1" thickBot="1" x14ac:dyDescent="0.25">
      <c r="A277" s="16" t="e">
        <f>#REF!</f>
        <v>#REF!</v>
      </c>
      <c r="B277" s="16" t="e">
        <f>#REF!</f>
        <v>#REF!</v>
      </c>
      <c r="C277" s="16" t="e">
        <f>#REF!</f>
        <v>#REF!</v>
      </c>
      <c r="D277" s="16" t="e">
        <f>#REF!</f>
        <v>#REF!</v>
      </c>
      <c r="E277" s="16" t="e">
        <f>#REF!</f>
        <v>#REF!</v>
      </c>
      <c r="F277" s="16" t="e">
        <f>#REF!</f>
        <v>#REF!</v>
      </c>
      <c r="G277" s="16" t="e">
        <f>#REF!</f>
        <v>#REF!</v>
      </c>
      <c r="H277" s="16" t="e">
        <f>#REF!</f>
        <v>#REF!</v>
      </c>
      <c r="I277" s="16" t="e">
        <f>#REF!</f>
        <v>#REF!</v>
      </c>
      <c r="J277" s="16" t="e">
        <f>#REF!</f>
        <v>#REF!</v>
      </c>
      <c r="K277" s="16" t="s">
        <v>752</v>
      </c>
      <c r="L277" s="16"/>
      <c r="M277" s="16"/>
      <c r="N277" s="16"/>
      <c r="O277" s="16"/>
      <c r="P277" s="24"/>
      <c r="Q277" s="24"/>
    </row>
    <row r="278" spans="1:17" ht="22.5" customHeight="1" thickTop="1" thickBot="1" x14ac:dyDescent="0.25">
      <c r="A278" s="16" t="e">
        <f>#REF!</f>
        <v>#REF!</v>
      </c>
      <c r="B278" s="16" t="e">
        <f>#REF!</f>
        <v>#REF!</v>
      </c>
      <c r="C278" s="16" t="e">
        <f>#REF!</f>
        <v>#REF!</v>
      </c>
      <c r="D278" s="16" t="e">
        <f>#REF!</f>
        <v>#REF!</v>
      </c>
      <c r="E278" s="16" t="e">
        <f>#REF!</f>
        <v>#REF!</v>
      </c>
      <c r="F278" s="16" t="e">
        <f>#REF!</f>
        <v>#REF!</v>
      </c>
      <c r="G278" s="16" t="e">
        <f>#REF!</f>
        <v>#REF!</v>
      </c>
      <c r="H278" s="16" t="e">
        <f>#REF!</f>
        <v>#REF!</v>
      </c>
      <c r="I278" s="16" t="e">
        <f>#REF!</f>
        <v>#REF!</v>
      </c>
      <c r="J278" s="16" t="e">
        <f>#REF!</f>
        <v>#REF!</v>
      </c>
      <c r="K278" s="16" t="s">
        <v>744</v>
      </c>
      <c r="L278" s="16"/>
      <c r="M278" s="16"/>
      <c r="N278" s="16"/>
      <c r="O278" s="16"/>
      <c r="P278" s="24"/>
      <c r="Q278" s="24"/>
    </row>
    <row r="279" spans="1:17" ht="22.5" customHeight="1" thickTop="1" thickBot="1" x14ac:dyDescent="0.25">
      <c r="A279" s="16" t="e">
        <f>#REF!</f>
        <v>#REF!</v>
      </c>
      <c r="B279" s="16" t="e">
        <f>#REF!</f>
        <v>#REF!</v>
      </c>
      <c r="C279" s="16" t="e">
        <f>#REF!</f>
        <v>#REF!</v>
      </c>
      <c r="D279" s="16" t="e">
        <f>#REF!</f>
        <v>#REF!</v>
      </c>
      <c r="E279" s="16" t="e">
        <f>#REF!</f>
        <v>#REF!</v>
      </c>
      <c r="F279" s="16" t="e">
        <f>#REF!</f>
        <v>#REF!</v>
      </c>
      <c r="G279" s="16" t="e">
        <f>#REF!</f>
        <v>#REF!</v>
      </c>
      <c r="H279" s="16" t="e">
        <f>#REF!</f>
        <v>#REF!</v>
      </c>
      <c r="I279" s="16" t="e">
        <f>#REF!</f>
        <v>#REF!</v>
      </c>
      <c r="J279" s="16" t="e">
        <f>#REF!</f>
        <v>#REF!</v>
      </c>
      <c r="K279" s="16" t="s">
        <v>744</v>
      </c>
      <c r="L279" s="16"/>
      <c r="M279" s="16"/>
      <c r="N279" s="16"/>
      <c r="O279" s="16"/>
      <c r="P279" s="24"/>
      <c r="Q279" s="24"/>
    </row>
    <row r="280" spans="1:17" ht="22.5" customHeight="1" thickTop="1" thickBot="1" x14ac:dyDescent="0.25">
      <c r="A280" s="16" t="e">
        <f>#REF!</f>
        <v>#REF!</v>
      </c>
      <c r="B280" s="16" t="e">
        <f>#REF!</f>
        <v>#REF!</v>
      </c>
      <c r="C280" s="16" t="e">
        <f>#REF!</f>
        <v>#REF!</v>
      </c>
      <c r="D280" s="16" t="e">
        <f>#REF!</f>
        <v>#REF!</v>
      </c>
      <c r="E280" s="16" t="e">
        <f>#REF!</f>
        <v>#REF!</v>
      </c>
      <c r="F280" s="16" t="e">
        <f>#REF!</f>
        <v>#REF!</v>
      </c>
      <c r="G280" s="16" t="e">
        <f>#REF!</f>
        <v>#REF!</v>
      </c>
      <c r="H280" s="16" t="e">
        <f>#REF!</f>
        <v>#REF!</v>
      </c>
      <c r="I280" s="16" t="e">
        <f>#REF!</f>
        <v>#REF!</v>
      </c>
      <c r="J280" s="16" t="e">
        <f>#REF!</f>
        <v>#REF!</v>
      </c>
      <c r="K280" s="16" t="s">
        <v>744</v>
      </c>
      <c r="L280" s="16"/>
      <c r="M280" s="16"/>
      <c r="N280" s="16"/>
      <c r="O280" s="16"/>
      <c r="P280" s="24"/>
      <c r="Q280" s="24"/>
    </row>
    <row r="281" spans="1:17" ht="22.5" customHeight="1" thickTop="1" thickBot="1" x14ac:dyDescent="0.25">
      <c r="A281" s="16" t="e">
        <f>#REF!</f>
        <v>#REF!</v>
      </c>
      <c r="B281" s="16" t="e">
        <f>#REF!</f>
        <v>#REF!</v>
      </c>
      <c r="C281" s="16" t="e">
        <f>#REF!</f>
        <v>#REF!</v>
      </c>
      <c r="D281" s="16" t="e">
        <f>#REF!</f>
        <v>#REF!</v>
      </c>
      <c r="E281" s="16" t="e">
        <f>#REF!</f>
        <v>#REF!</v>
      </c>
      <c r="F281" s="16" t="e">
        <f>#REF!</f>
        <v>#REF!</v>
      </c>
      <c r="G281" s="16" t="e">
        <f>#REF!</f>
        <v>#REF!</v>
      </c>
      <c r="H281" s="16" t="e">
        <f>#REF!</f>
        <v>#REF!</v>
      </c>
      <c r="I281" s="16" t="e">
        <f>#REF!</f>
        <v>#REF!</v>
      </c>
      <c r="J281" s="16" t="e">
        <f>#REF!</f>
        <v>#REF!</v>
      </c>
      <c r="K281" s="16"/>
      <c r="L281" s="16"/>
      <c r="M281" s="16"/>
      <c r="N281" s="16"/>
      <c r="O281" s="16"/>
      <c r="P281" s="25"/>
      <c r="Q281" s="26" t="s">
        <v>793</v>
      </c>
    </row>
    <row r="282" spans="1:17" ht="22.5" customHeight="1" thickTop="1" thickBot="1" x14ac:dyDescent="0.25">
      <c r="A282" s="16" t="e">
        <f>#REF!</f>
        <v>#REF!</v>
      </c>
      <c r="B282" s="16" t="e">
        <f>#REF!</f>
        <v>#REF!</v>
      </c>
      <c r="C282" s="16" t="e">
        <f>#REF!</f>
        <v>#REF!</v>
      </c>
      <c r="D282" s="16" t="e">
        <f>#REF!</f>
        <v>#REF!</v>
      </c>
      <c r="E282" s="16" t="e">
        <f>#REF!</f>
        <v>#REF!</v>
      </c>
      <c r="F282" s="16" t="e">
        <f>#REF!</f>
        <v>#REF!</v>
      </c>
      <c r="G282" s="16" t="e">
        <f>#REF!</f>
        <v>#REF!</v>
      </c>
      <c r="H282" s="16" t="e">
        <f>#REF!</f>
        <v>#REF!</v>
      </c>
      <c r="I282" s="16" t="e">
        <f>#REF!</f>
        <v>#REF!</v>
      </c>
      <c r="J282" s="16" t="e">
        <f>#REF!</f>
        <v>#REF!</v>
      </c>
      <c r="K282" s="16" t="s">
        <v>744</v>
      </c>
      <c r="L282" s="16"/>
      <c r="M282" s="16"/>
      <c r="N282" s="16"/>
      <c r="O282" s="16"/>
      <c r="P282" s="25"/>
      <c r="Q282" s="26" t="s">
        <v>793</v>
      </c>
    </row>
    <row r="283" spans="1:17" ht="22.5" customHeight="1" thickTop="1" thickBot="1" x14ac:dyDescent="0.25">
      <c r="A283" s="16" t="e">
        <f>#REF!</f>
        <v>#REF!</v>
      </c>
      <c r="B283" s="16" t="e">
        <f>#REF!</f>
        <v>#REF!</v>
      </c>
      <c r="C283" s="16" t="e">
        <f>#REF!</f>
        <v>#REF!</v>
      </c>
      <c r="D283" s="16" t="e">
        <f>#REF!</f>
        <v>#REF!</v>
      </c>
      <c r="E283" s="16" t="e">
        <f>#REF!</f>
        <v>#REF!</v>
      </c>
      <c r="F283" s="16" t="e">
        <f>#REF!</f>
        <v>#REF!</v>
      </c>
      <c r="G283" s="16" t="e">
        <f>#REF!</f>
        <v>#REF!</v>
      </c>
      <c r="H283" s="16" t="e">
        <f>#REF!</f>
        <v>#REF!</v>
      </c>
      <c r="I283" s="16" t="e">
        <f>#REF!</f>
        <v>#REF!</v>
      </c>
      <c r="J283" s="16" t="e">
        <f>#REF!</f>
        <v>#REF!</v>
      </c>
      <c r="K283" s="16" t="s">
        <v>744</v>
      </c>
      <c r="L283" s="16"/>
      <c r="M283" s="16"/>
      <c r="N283" s="16"/>
      <c r="O283" s="16"/>
      <c r="P283" s="24"/>
      <c r="Q283" s="17" t="s">
        <v>789</v>
      </c>
    </row>
    <row r="284" spans="1:17" ht="22.5" customHeight="1" thickTop="1" thickBot="1" x14ac:dyDescent="0.25">
      <c r="A284" s="16" t="e">
        <f>#REF!</f>
        <v>#REF!</v>
      </c>
      <c r="B284" s="16" t="e">
        <f>#REF!</f>
        <v>#REF!</v>
      </c>
      <c r="C284" s="16" t="e">
        <f>#REF!</f>
        <v>#REF!</v>
      </c>
      <c r="D284" s="16" t="e">
        <f>#REF!</f>
        <v>#REF!</v>
      </c>
      <c r="E284" s="16" t="e">
        <f>#REF!</f>
        <v>#REF!</v>
      </c>
      <c r="F284" s="16" t="e">
        <f>#REF!</f>
        <v>#REF!</v>
      </c>
      <c r="G284" s="16" t="e">
        <f>#REF!</f>
        <v>#REF!</v>
      </c>
      <c r="H284" s="16" t="e">
        <f>#REF!</f>
        <v>#REF!</v>
      </c>
      <c r="I284" s="16" t="e">
        <f>#REF!</f>
        <v>#REF!</v>
      </c>
      <c r="J284" s="16" t="e">
        <f>#REF!</f>
        <v>#REF!</v>
      </c>
      <c r="K284" s="16" t="s">
        <v>744</v>
      </c>
      <c r="L284" s="16"/>
      <c r="M284" s="16"/>
      <c r="N284" s="16"/>
      <c r="O284" s="16"/>
      <c r="P284" s="24"/>
      <c r="Q284" s="17" t="s">
        <v>789</v>
      </c>
    </row>
    <row r="285" spans="1:17" ht="22.5" customHeight="1" thickTop="1" thickBot="1" x14ac:dyDescent="0.25">
      <c r="A285" s="16" t="e">
        <f>#REF!</f>
        <v>#REF!</v>
      </c>
      <c r="B285" s="16" t="e">
        <f>#REF!</f>
        <v>#REF!</v>
      </c>
      <c r="C285" s="16" t="e">
        <f>#REF!</f>
        <v>#REF!</v>
      </c>
      <c r="D285" s="16" t="e">
        <f>#REF!</f>
        <v>#REF!</v>
      </c>
      <c r="E285" s="16" t="e">
        <f>#REF!</f>
        <v>#REF!</v>
      </c>
      <c r="F285" s="16" t="e">
        <f>#REF!</f>
        <v>#REF!</v>
      </c>
      <c r="G285" s="16" t="e">
        <f>#REF!</f>
        <v>#REF!</v>
      </c>
      <c r="H285" s="16" t="e">
        <f>#REF!</f>
        <v>#REF!</v>
      </c>
      <c r="I285" s="16" t="e">
        <f>#REF!</f>
        <v>#REF!</v>
      </c>
      <c r="J285" s="16" t="e">
        <f>#REF!</f>
        <v>#REF!</v>
      </c>
      <c r="K285" s="16" t="s">
        <v>744</v>
      </c>
      <c r="L285" s="16"/>
      <c r="M285" s="16"/>
      <c r="N285" s="16"/>
      <c r="O285" s="16"/>
      <c r="P285" s="24"/>
      <c r="Q285" s="17" t="s">
        <v>789</v>
      </c>
    </row>
    <row r="286" spans="1:17" ht="22.5" customHeight="1" thickTop="1" thickBot="1" x14ac:dyDescent="0.25">
      <c r="A286" s="16" t="e">
        <f>#REF!</f>
        <v>#REF!</v>
      </c>
      <c r="B286" s="16" t="e">
        <f>#REF!</f>
        <v>#REF!</v>
      </c>
      <c r="C286" s="16" t="e">
        <f>#REF!</f>
        <v>#REF!</v>
      </c>
      <c r="D286" s="16" t="e">
        <f>#REF!</f>
        <v>#REF!</v>
      </c>
      <c r="E286" s="16" t="e">
        <f>#REF!</f>
        <v>#REF!</v>
      </c>
      <c r="F286" s="16" t="e">
        <f>#REF!</f>
        <v>#REF!</v>
      </c>
      <c r="G286" s="16" t="e">
        <f>#REF!</f>
        <v>#REF!</v>
      </c>
      <c r="H286" s="16" t="e">
        <f>#REF!</f>
        <v>#REF!</v>
      </c>
      <c r="I286" s="16" t="e">
        <f>#REF!</f>
        <v>#REF!</v>
      </c>
      <c r="J286" s="16" t="e">
        <f>#REF!</f>
        <v>#REF!</v>
      </c>
      <c r="K286" s="16" t="s">
        <v>744</v>
      </c>
      <c r="L286" s="16"/>
      <c r="M286" s="16"/>
      <c r="N286" s="16"/>
      <c r="O286" s="16"/>
      <c r="P286" s="24"/>
      <c r="Q286" s="17" t="s">
        <v>789</v>
      </c>
    </row>
    <row r="287" spans="1:17" ht="22.5" customHeight="1" thickTop="1" thickBot="1" x14ac:dyDescent="0.25">
      <c r="A287" s="16" t="e">
        <f>#REF!</f>
        <v>#REF!</v>
      </c>
      <c r="B287" s="16" t="e">
        <f>#REF!</f>
        <v>#REF!</v>
      </c>
      <c r="C287" s="16" t="e">
        <f>#REF!</f>
        <v>#REF!</v>
      </c>
      <c r="D287" s="16" t="e">
        <f>#REF!</f>
        <v>#REF!</v>
      </c>
      <c r="E287" s="16" t="e">
        <f>#REF!</f>
        <v>#REF!</v>
      </c>
      <c r="F287" s="16" t="e">
        <f>#REF!</f>
        <v>#REF!</v>
      </c>
      <c r="G287" s="16" t="e">
        <f>#REF!</f>
        <v>#REF!</v>
      </c>
      <c r="H287" s="16" t="e">
        <f>#REF!</f>
        <v>#REF!</v>
      </c>
      <c r="I287" s="16" t="e">
        <f>#REF!</f>
        <v>#REF!</v>
      </c>
      <c r="J287" s="16" t="e">
        <f>#REF!</f>
        <v>#REF!</v>
      </c>
      <c r="K287" s="16" t="s">
        <v>744</v>
      </c>
      <c r="L287" s="16"/>
      <c r="M287" s="16"/>
      <c r="N287" s="16"/>
      <c r="O287" s="16"/>
      <c r="P287" s="24"/>
      <c r="Q287" s="17" t="s">
        <v>789</v>
      </c>
    </row>
    <row r="288" spans="1:17" ht="22.5" customHeight="1" thickTop="1" thickBot="1" x14ac:dyDescent="0.25">
      <c r="A288" s="16" t="e">
        <f>#REF!</f>
        <v>#REF!</v>
      </c>
      <c r="B288" s="16" t="e">
        <f>#REF!</f>
        <v>#REF!</v>
      </c>
      <c r="C288" s="16" t="e">
        <f>#REF!</f>
        <v>#REF!</v>
      </c>
      <c r="D288" s="16" t="e">
        <f>#REF!</f>
        <v>#REF!</v>
      </c>
      <c r="E288" s="16" t="e">
        <f>#REF!</f>
        <v>#REF!</v>
      </c>
      <c r="F288" s="16" t="e">
        <f>#REF!</f>
        <v>#REF!</v>
      </c>
      <c r="G288" s="16" t="e">
        <f>#REF!</f>
        <v>#REF!</v>
      </c>
      <c r="H288" s="16" t="e">
        <f>#REF!</f>
        <v>#REF!</v>
      </c>
      <c r="I288" s="16" t="e">
        <f>#REF!</f>
        <v>#REF!</v>
      </c>
      <c r="J288" s="16" t="e">
        <f>#REF!</f>
        <v>#REF!</v>
      </c>
      <c r="K288" s="16" t="s">
        <v>744</v>
      </c>
      <c r="L288" s="16"/>
      <c r="M288" s="16"/>
      <c r="N288" s="16"/>
      <c r="O288" s="16"/>
      <c r="P288" s="24"/>
      <c r="Q288" s="17" t="s">
        <v>789</v>
      </c>
    </row>
    <row r="289" spans="1:17" ht="22.5" customHeight="1" thickTop="1" thickBot="1" x14ac:dyDescent="0.25">
      <c r="A289" s="16" t="e">
        <f>#REF!</f>
        <v>#REF!</v>
      </c>
      <c r="B289" s="16" t="e">
        <f>#REF!</f>
        <v>#REF!</v>
      </c>
      <c r="C289" s="16" t="e">
        <f>#REF!</f>
        <v>#REF!</v>
      </c>
      <c r="D289" s="16" t="e">
        <f>#REF!</f>
        <v>#REF!</v>
      </c>
      <c r="E289" s="16" t="e">
        <f>#REF!</f>
        <v>#REF!</v>
      </c>
      <c r="F289" s="16" t="e">
        <f>#REF!</f>
        <v>#REF!</v>
      </c>
      <c r="G289" s="16" t="e">
        <f>#REF!</f>
        <v>#REF!</v>
      </c>
      <c r="H289" s="16" t="e">
        <f>#REF!</f>
        <v>#REF!</v>
      </c>
      <c r="I289" s="16" t="e">
        <f>#REF!</f>
        <v>#REF!</v>
      </c>
      <c r="J289" s="16" t="e">
        <f>#REF!</f>
        <v>#REF!</v>
      </c>
      <c r="K289" s="16" t="s">
        <v>744</v>
      </c>
      <c r="L289" s="16"/>
      <c r="M289" s="16"/>
      <c r="N289" s="16"/>
      <c r="O289" s="16"/>
      <c r="P289" s="24"/>
      <c r="Q289" s="24"/>
    </row>
    <row r="290" spans="1:17" ht="22.5" customHeight="1" thickTop="1" thickBot="1" x14ac:dyDescent="0.25">
      <c r="A290" s="16" t="e">
        <f>#REF!</f>
        <v>#REF!</v>
      </c>
      <c r="B290" s="16" t="e">
        <f>#REF!</f>
        <v>#REF!</v>
      </c>
      <c r="C290" s="16" t="e">
        <f>#REF!</f>
        <v>#REF!</v>
      </c>
      <c r="D290" s="16" t="e">
        <f>#REF!</f>
        <v>#REF!</v>
      </c>
      <c r="E290" s="16" t="e">
        <f>#REF!</f>
        <v>#REF!</v>
      </c>
      <c r="F290" s="16" t="e">
        <f>#REF!</f>
        <v>#REF!</v>
      </c>
      <c r="G290" s="16" t="e">
        <f>#REF!</f>
        <v>#REF!</v>
      </c>
      <c r="H290" s="16" t="e">
        <f>#REF!</f>
        <v>#REF!</v>
      </c>
      <c r="I290" s="16" t="e">
        <f>#REF!</f>
        <v>#REF!</v>
      </c>
      <c r="J290" s="16" t="e">
        <f>#REF!</f>
        <v>#REF!</v>
      </c>
      <c r="K290" s="16" t="s">
        <v>744</v>
      </c>
      <c r="L290" s="16"/>
      <c r="M290" s="16"/>
      <c r="N290" s="16"/>
      <c r="O290" s="16"/>
      <c r="P290" s="24"/>
      <c r="Q290" s="24"/>
    </row>
    <row r="291" spans="1:17" ht="22.5" customHeight="1" thickTop="1" thickBot="1" x14ac:dyDescent="0.25">
      <c r="A291" s="16" t="e">
        <f>#REF!</f>
        <v>#REF!</v>
      </c>
      <c r="B291" s="16" t="e">
        <f>#REF!</f>
        <v>#REF!</v>
      </c>
      <c r="C291" s="16" t="e">
        <f>#REF!</f>
        <v>#REF!</v>
      </c>
      <c r="D291" s="16" t="e">
        <f>#REF!</f>
        <v>#REF!</v>
      </c>
      <c r="E291" s="16" t="e">
        <f>#REF!</f>
        <v>#REF!</v>
      </c>
      <c r="F291" s="16" t="e">
        <f>#REF!</f>
        <v>#REF!</v>
      </c>
      <c r="G291" s="16" t="e">
        <f>#REF!</f>
        <v>#REF!</v>
      </c>
      <c r="H291" s="16" t="e">
        <f>#REF!</f>
        <v>#REF!</v>
      </c>
      <c r="I291" s="16" t="e">
        <f>#REF!</f>
        <v>#REF!</v>
      </c>
      <c r="J291" s="16" t="e">
        <f>#REF!</f>
        <v>#REF!</v>
      </c>
      <c r="K291" s="16"/>
      <c r="L291" s="16"/>
      <c r="M291" s="16"/>
      <c r="N291" s="16"/>
      <c r="O291" s="16"/>
      <c r="P291" s="25"/>
      <c r="Q291" s="26" t="s">
        <v>793</v>
      </c>
    </row>
    <row r="292" spans="1:17" ht="22.5" customHeight="1" thickTop="1" thickBot="1" x14ac:dyDescent="0.25">
      <c r="A292" s="16" t="e">
        <f>#REF!</f>
        <v>#REF!</v>
      </c>
      <c r="B292" s="16" t="e">
        <f>#REF!</f>
        <v>#REF!</v>
      </c>
      <c r="C292" s="16" t="e">
        <f>#REF!</f>
        <v>#REF!</v>
      </c>
      <c r="D292" s="16" t="e">
        <f>#REF!</f>
        <v>#REF!</v>
      </c>
      <c r="E292" s="16" t="e">
        <f>#REF!</f>
        <v>#REF!</v>
      </c>
      <c r="F292" s="16" t="e">
        <f>#REF!</f>
        <v>#REF!</v>
      </c>
      <c r="G292" s="16" t="e">
        <f>#REF!</f>
        <v>#REF!</v>
      </c>
      <c r="H292" s="16" t="e">
        <f>#REF!</f>
        <v>#REF!</v>
      </c>
      <c r="I292" s="16" t="e">
        <f>#REF!</f>
        <v>#REF!</v>
      </c>
      <c r="J292" s="16" t="e">
        <f>#REF!</f>
        <v>#REF!</v>
      </c>
      <c r="K292" s="16" t="s">
        <v>752</v>
      </c>
      <c r="L292" s="16"/>
      <c r="M292" s="16"/>
      <c r="N292" s="16"/>
      <c r="O292" s="16"/>
      <c r="P292" s="25"/>
      <c r="Q292" s="26" t="s">
        <v>793</v>
      </c>
    </row>
    <row r="293" spans="1:17" ht="22.5" customHeight="1" thickTop="1" thickBot="1" x14ac:dyDescent="0.25">
      <c r="A293" s="16" t="e">
        <f>#REF!</f>
        <v>#REF!</v>
      </c>
      <c r="B293" s="16" t="e">
        <f>#REF!</f>
        <v>#REF!</v>
      </c>
      <c r="C293" s="16" t="e">
        <f>#REF!</f>
        <v>#REF!</v>
      </c>
      <c r="D293" s="16" t="e">
        <f>#REF!</f>
        <v>#REF!</v>
      </c>
      <c r="E293" s="16" t="e">
        <f>#REF!</f>
        <v>#REF!</v>
      </c>
      <c r="F293" s="16" t="e">
        <f>#REF!</f>
        <v>#REF!</v>
      </c>
      <c r="G293" s="16" t="e">
        <f>#REF!</f>
        <v>#REF!</v>
      </c>
      <c r="H293" s="16" t="e">
        <f>#REF!</f>
        <v>#REF!</v>
      </c>
      <c r="I293" s="16" t="e">
        <f>#REF!</f>
        <v>#REF!</v>
      </c>
      <c r="J293" s="16" t="e">
        <f>#REF!</f>
        <v>#REF!</v>
      </c>
      <c r="K293" s="16" t="s">
        <v>744</v>
      </c>
      <c r="L293" s="16"/>
      <c r="M293" s="16"/>
      <c r="N293" s="16"/>
      <c r="O293" s="16"/>
      <c r="P293" s="25"/>
      <c r="Q293" s="26" t="s">
        <v>793</v>
      </c>
    </row>
    <row r="294" spans="1:17" ht="22.5" customHeight="1" thickTop="1" thickBot="1" x14ac:dyDescent="0.25">
      <c r="A294" s="16" t="e">
        <f>#REF!</f>
        <v>#REF!</v>
      </c>
      <c r="B294" s="16" t="e">
        <f>#REF!</f>
        <v>#REF!</v>
      </c>
      <c r="C294" s="16" t="e">
        <f>#REF!</f>
        <v>#REF!</v>
      </c>
      <c r="D294" s="16" t="e">
        <f>#REF!</f>
        <v>#REF!</v>
      </c>
      <c r="E294" s="16" t="e">
        <f>#REF!</f>
        <v>#REF!</v>
      </c>
      <c r="F294" s="16" t="e">
        <f>#REF!</f>
        <v>#REF!</v>
      </c>
      <c r="G294" s="16" t="e">
        <f>#REF!</f>
        <v>#REF!</v>
      </c>
      <c r="H294" s="16" t="e">
        <f>#REF!</f>
        <v>#REF!</v>
      </c>
      <c r="I294" s="16" t="e">
        <f>#REF!</f>
        <v>#REF!</v>
      </c>
      <c r="J294" s="16" t="e">
        <f>#REF!</f>
        <v>#REF!</v>
      </c>
      <c r="K294" s="16" t="s">
        <v>744</v>
      </c>
      <c r="L294" s="16"/>
      <c r="M294" s="16"/>
      <c r="N294" s="16"/>
      <c r="O294" s="16"/>
      <c r="P294" s="25"/>
      <c r="Q294" s="26" t="s">
        <v>793</v>
      </c>
    </row>
    <row r="295" spans="1:17" ht="22.5" customHeight="1" thickTop="1" thickBot="1" x14ac:dyDescent="0.25">
      <c r="A295" s="16" t="e">
        <f>#REF!</f>
        <v>#REF!</v>
      </c>
      <c r="B295" s="16" t="e">
        <f>#REF!</f>
        <v>#REF!</v>
      </c>
      <c r="C295" s="16" t="e">
        <f>#REF!</f>
        <v>#REF!</v>
      </c>
      <c r="D295" s="16" t="e">
        <f>#REF!</f>
        <v>#REF!</v>
      </c>
      <c r="E295" s="16" t="e">
        <f>#REF!</f>
        <v>#REF!</v>
      </c>
      <c r="F295" s="16" t="e">
        <f>#REF!</f>
        <v>#REF!</v>
      </c>
      <c r="G295" s="16" t="e">
        <f>#REF!</f>
        <v>#REF!</v>
      </c>
      <c r="H295" s="16" t="e">
        <f>#REF!</f>
        <v>#REF!</v>
      </c>
      <c r="I295" s="16" t="e">
        <f>#REF!</f>
        <v>#REF!</v>
      </c>
      <c r="J295" s="16" t="e">
        <f>#REF!</f>
        <v>#REF!</v>
      </c>
      <c r="K295" s="16" t="s">
        <v>744</v>
      </c>
      <c r="L295" s="16"/>
      <c r="M295" s="16"/>
      <c r="N295" s="16"/>
      <c r="O295" s="16"/>
      <c r="P295" s="25"/>
      <c r="Q295" s="26" t="s">
        <v>793</v>
      </c>
    </row>
    <row r="296" spans="1:17" ht="22.5" customHeight="1" thickTop="1" thickBot="1" x14ac:dyDescent="0.25">
      <c r="A296" s="16" t="e">
        <f>#REF!</f>
        <v>#REF!</v>
      </c>
      <c r="B296" s="16" t="e">
        <f>#REF!</f>
        <v>#REF!</v>
      </c>
      <c r="C296" s="16" t="e">
        <f>#REF!</f>
        <v>#REF!</v>
      </c>
      <c r="D296" s="16" t="e">
        <f>#REF!</f>
        <v>#REF!</v>
      </c>
      <c r="E296" s="16" t="e">
        <f>#REF!</f>
        <v>#REF!</v>
      </c>
      <c r="F296" s="16" t="e">
        <f>#REF!</f>
        <v>#REF!</v>
      </c>
      <c r="G296" s="16" t="e">
        <f>#REF!</f>
        <v>#REF!</v>
      </c>
      <c r="H296" s="16" t="e">
        <f>#REF!</f>
        <v>#REF!</v>
      </c>
      <c r="I296" s="16" t="e">
        <f>#REF!</f>
        <v>#REF!</v>
      </c>
      <c r="J296" s="16" t="e">
        <f>#REF!</f>
        <v>#REF!</v>
      </c>
      <c r="K296" s="16" t="s">
        <v>744</v>
      </c>
      <c r="L296" s="16"/>
      <c r="M296" s="16"/>
      <c r="N296" s="16"/>
      <c r="O296" s="16"/>
      <c r="P296" s="25"/>
      <c r="Q296" s="26" t="s">
        <v>793</v>
      </c>
    </row>
    <row r="297" spans="1:17" ht="22.5" customHeight="1" thickTop="1" thickBot="1" x14ac:dyDescent="0.25">
      <c r="A297" s="16" t="e">
        <f>#REF!</f>
        <v>#REF!</v>
      </c>
      <c r="B297" s="16" t="e">
        <f>#REF!</f>
        <v>#REF!</v>
      </c>
      <c r="C297" s="16" t="e">
        <f>#REF!</f>
        <v>#REF!</v>
      </c>
      <c r="D297" s="16" t="e">
        <f>#REF!</f>
        <v>#REF!</v>
      </c>
      <c r="E297" s="16" t="e">
        <f>#REF!</f>
        <v>#REF!</v>
      </c>
      <c r="F297" s="16" t="e">
        <f>#REF!</f>
        <v>#REF!</v>
      </c>
      <c r="G297" s="16" t="e">
        <f>#REF!</f>
        <v>#REF!</v>
      </c>
      <c r="H297" s="16" t="e">
        <f>#REF!</f>
        <v>#REF!</v>
      </c>
      <c r="I297" s="16" t="e">
        <f>#REF!</f>
        <v>#REF!</v>
      </c>
      <c r="J297" s="16" t="e">
        <f>#REF!</f>
        <v>#REF!</v>
      </c>
      <c r="K297" s="16" t="s">
        <v>744</v>
      </c>
      <c r="L297" s="16"/>
      <c r="M297" s="16"/>
      <c r="N297" s="16"/>
      <c r="O297" s="16"/>
      <c r="P297" s="25"/>
      <c r="Q297" s="26" t="s">
        <v>793</v>
      </c>
    </row>
    <row r="298" spans="1:17" ht="22.5" customHeight="1" thickTop="1" thickBot="1" x14ac:dyDescent="0.25">
      <c r="A298" s="16" t="e">
        <f>#REF!</f>
        <v>#REF!</v>
      </c>
      <c r="B298" s="16" t="e">
        <f>#REF!</f>
        <v>#REF!</v>
      </c>
      <c r="C298" s="16" t="e">
        <f>#REF!</f>
        <v>#REF!</v>
      </c>
      <c r="D298" s="16" t="e">
        <f>#REF!</f>
        <v>#REF!</v>
      </c>
      <c r="E298" s="16" t="e">
        <f>#REF!</f>
        <v>#REF!</v>
      </c>
      <c r="F298" s="16" t="e">
        <f>#REF!</f>
        <v>#REF!</v>
      </c>
      <c r="G298" s="16" t="e">
        <f>#REF!</f>
        <v>#REF!</v>
      </c>
      <c r="H298" s="16" t="e">
        <f>#REF!</f>
        <v>#REF!</v>
      </c>
      <c r="I298" s="16" t="e">
        <f>#REF!</f>
        <v>#REF!</v>
      </c>
      <c r="J298" s="16" t="e">
        <f>#REF!</f>
        <v>#REF!</v>
      </c>
      <c r="K298" s="16" t="s">
        <v>744</v>
      </c>
      <c r="L298" s="16"/>
      <c r="M298" s="16"/>
      <c r="N298" s="16"/>
      <c r="O298" s="16"/>
      <c r="P298" s="25"/>
      <c r="Q298" s="26" t="s">
        <v>793</v>
      </c>
    </row>
    <row r="299" spans="1:17" ht="22.5" customHeight="1" thickTop="1" thickBot="1" x14ac:dyDescent="0.25">
      <c r="A299" s="16" t="e">
        <f>#REF!</f>
        <v>#REF!</v>
      </c>
      <c r="B299" s="16" t="e">
        <f>#REF!</f>
        <v>#REF!</v>
      </c>
      <c r="C299" s="16" t="e">
        <f>#REF!</f>
        <v>#REF!</v>
      </c>
      <c r="D299" s="16" t="e">
        <f>#REF!</f>
        <v>#REF!</v>
      </c>
      <c r="E299" s="16" t="e">
        <f>#REF!</f>
        <v>#REF!</v>
      </c>
      <c r="F299" s="16" t="e">
        <f>#REF!</f>
        <v>#REF!</v>
      </c>
      <c r="G299" s="16" t="e">
        <f>#REF!</f>
        <v>#REF!</v>
      </c>
      <c r="H299" s="16" t="e">
        <f>#REF!</f>
        <v>#REF!</v>
      </c>
      <c r="I299" s="16" t="e">
        <f>#REF!</f>
        <v>#REF!</v>
      </c>
      <c r="J299" s="16" t="e">
        <f>#REF!</f>
        <v>#REF!</v>
      </c>
      <c r="K299" s="16" t="s">
        <v>744</v>
      </c>
      <c r="L299" s="16"/>
      <c r="M299" s="16"/>
      <c r="N299" s="16"/>
      <c r="O299" s="16"/>
      <c r="P299" s="25"/>
      <c r="Q299" s="26" t="s">
        <v>793</v>
      </c>
    </row>
    <row r="300" spans="1:17" ht="22.5" customHeight="1" thickTop="1" thickBot="1" x14ac:dyDescent="0.25">
      <c r="A300" s="16" t="e">
        <f>#REF!</f>
        <v>#REF!</v>
      </c>
      <c r="B300" s="16" t="e">
        <f>#REF!</f>
        <v>#REF!</v>
      </c>
      <c r="C300" s="16" t="e">
        <f>#REF!</f>
        <v>#REF!</v>
      </c>
      <c r="D300" s="16" t="e">
        <f>#REF!</f>
        <v>#REF!</v>
      </c>
      <c r="E300" s="16" t="e">
        <f>#REF!</f>
        <v>#REF!</v>
      </c>
      <c r="F300" s="16" t="e">
        <f>#REF!</f>
        <v>#REF!</v>
      </c>
      <c r="G300" s="16" t="e">
        <f>#REF!</f>
        <v>#REF!</v>
      </c>
      <c r="H300" s="16" t="e">
        <f>#REF!</f>
        <v>#REF!</v>
      </c>
      <c r="I300" s="16" t="e">
        <f>#REF!</f>
        <v>#REF!</v>
      </c>
      <c r="J300" s="16" t="e">
        <f>#REF!</f>
        <v>#REF!</v>
      </c>
      <c r="K300" s="16" t="s">
        <v>744</v>
      </c>
      <c r="L300" s="16"/>
      <c r="M300" s="16"/>
      <c r="N300" s="16"/>
      <c r="O300" s="16"/>
      <c r="P300" s="25"/>
      <c r="Q300" s="26" t="s">
        <v>793</v>
      </c>
    </row>
    <row r="301" spans="1:17" ht="22.5" customHeight="1" thickTop="1" thickBot="1" x14ac:dyDescent="0.25">
      <c r="A301" s="16" t="e">
        <f>#REF!</f>
        <v>#REF!</v>
      </c>
      <c r="B301" s="16" t="e">
        <f>#REF!</f>
        <v>#REF!</v>
      </c>
      <c r="C301" s="16" t="e">
        <f>#REF!</f>
        <v>#REF!</v>
      </c>
      <c r="D301" s="16" t="e">
        <f>#REF!</f>
        <v>#REF!</v>
      </c>
      <c r="E301" s="16" t="e">
        <f>#REF!</f>
        <v>#REF!</v>
      </c>
      <c r="F301" s="16" t="e">
        <f>#REF!</f>
        <v>#REF!</v>
      </c>
      <c r="G301" s="16" t="e">
        <f>#REF!</f>
        <v>#REF!</v>
      </c>
      <c r="H301" s="16" t="e">
        <f>#REF!</f>
        <v>#REF!</v>
      </c>
      <c r="I301" s="16" t="e">
        <f>#REF!</f>
        <v>#REF!</v>
      </c>
      <c r="J301" s="16" t="e">
        <f>#REF!</f>
        <v>#REF!</v>
      </c>
      <c r="K301" s="16"/>
      <c r="L301" s="16"/>
      <c r="M301" s="16"/>
      <c r="N301" s="16"/>
      <c r="O301" s="16"/>
      <c r="P301" s="25"/>
      <c r="Q301" s="26" t="s">
        <v>793</v>
      </c>
    </row>
    <row r="302" spans="1:17" ht="22.5" customHeight="1" thickTop="1" thickBot="1" x14ac:dyDescent="0.25">
      <c r="A302" s="16" t="e">
        <f>#REF!</f>
        <v>#REF!</v>
      </c>
      <c r="B302" s="16" t="e">
        <f>#REF!</f>
        <v>#REF!</v>
      </c>
      <c r="C302" s="16" t="e">
        <f>#REF!</f>
        <v>#REF!</v>
      </c>
      <c r="D302" s="16" t="e">
        <f>#REF!</f>
        <v>#REF!</v>
      </c>
      <c r="E302" s="16" t="e">
        <f>#REF!</f>
        <v>#REF!</v>
      </c>
      <c r="F302" s="16" t="e">
        <f>#REF!</f>
        <v>#REF!</v>
      </c>
      <c r="G302" s="16" t="e">
        <f>#REF!</f>
        <v>#REF!</v>
      </c>
      <c r="H302" s="16" t="e">
        <f>#REF!</f>
        <v>#REF!</v>
      </c>
      <c r="I302" s="16" t="e">
        <f>#REF!</f>
        <v>#REF!</v>
      </c>
      <c r="J302" s="16" t="e">
        <f>#REF!</f>
        <v>#REF!</v>
      </c>
      <c r="K302" s="16" t="s">
        <v>744</v>
      </c>
      <c r="L302" s="16"/>
      <c r="M302" s="16"/>
      <c r="N302" s="16"/>
      <c r="O302" s="16"/>
      <c r="P302" s="25"/>
      <c r="Q302" s="26" t="s">
        <v>793</v>
      </c>
    </row>
    <row r="303" spans="1:17" ht="22.5" customHeight="1" thickTop="1" thickBot="1" x14ac:dyDescent="0.25">
      <c r="A303" s="16" t="e">
        <f>#REF!</f>
        <v>#REF!</v>
      </c>
      <c r="B303" s="16" t="e">
        <f>#REF!</f>
        <v>#REF!</v>
      </c>
      <c r="C303" s="16" t="e">
        <f>#REF!</f>
        <v>#REF!</v>
      </c>
      <c r="D303" s="16" t="e">
        <f>#REF!</f>
        <v>#REF!</v>
      </c>
      <c r="E303" s="16" t="e">
        <f>#REF!</f>
        <v>#REF!</v>
      </c>
      <c r="F303" s="16" t="e">
        <f>#REF!</f>
        <v>#REF!</v>
      </c>
      <c r="G303" s="16" t="e">
        <f>#REF!</f>
        <v>#REF!</v>
      </c>
      <c r="H303" s="16" t="e">
        <f>#REF!</f>
        <v>#REF!</v>
      </c>
      <c r="I303" s="16" t="e">
        <f>#REF!</f>
        <v>#REF!</v>
      </c>
      <c r="J303" s="16" t="e">
        <f>#REF!</f>
        <v>#REF!</v>
      </c>
      <c r="K303" s="16"/>
      <c r="L303" s="16"/>
      <c r="M303" s="16"/>
      <c r="N303" s="16"/>
      <c r="O303" s="16"/>
      <c r="P303" s="25"/>
      <c r="Q303" s="26" t="s">
        <v>793</v>
      </c>
    </row>
    <row r="304" spans="1:17" ht="22.5" customHeight="1" thickTop="1" thickBot="1" x14ac:dyDescent="0.25">
      <c r="A304" s="16" t="e">
        <f>#REF!</f>
        <v>#REF!</v>
      </c>
      <c r="B304" s="16" t="e">
        <f>#REF!</f>
        <v>#REF!</v>
      </c>
      <c r="C304" s="16" t="e">
        <f>#REF!</f>
        <v>#REF!</v>
      </c>
      <c r="D304" s="16" t="e">
        <f>#REF!</f>
        <v>#REF!</v>
      </c>
      <c r="E304" s="16" t="e">
        <f>#REF!</f>
        <v>#REF!</v>
      </c>
      <c r="F304" s="16" t="e">
        <f>#REF!</f>
        <v>#REF!</v>
      </c>
      <c r="G304" s="16" t="e">
        <f>#REF!</f>
        <v>#REF!</v>
      </c>
      <c r="H304" s="16" t="e">
        <f>#REF!</f>
        <v>#REF!</v>
      </c>
      <c r="I304" s="16" t="e">
        <f>#REF!</f>
        <v>#REF!</v>
      </c>
      <c r="J304" s="16" t="e">
        <f>#REF!</f>
        <v>#REF!</v>
      </c>
      <c r="K304" s="16" t="s">
        <v>744</v>
      </c>
      <c r="L304" s="16"/>
      <c r="M304" s="16"/>
      <c r="N304" s="16"/>
      <c r="O304" s="16"/>
      <c r="P304" s="25"/>
      <c r="Q304" s="26" t="s">
        <v>793</v>
      </c>
    </row>
    <row r="305" spans="1:17" ht="22.5" customHeight="1" thickTop="1" thickBot="1" x14ac:dyDescent="0.25">
      <c r="A305" s="16" t="e">
        <f>#REF!</f>
        <v>#REF!</v>
      </c>
      <c r="B305" s="16" t="e">
        <f>#REF!</f>
        <v>#REF!</v>
      </c>
      <c r="C305" s="16" t="e">
        <f>#REF!</f>
        <v>#REF!</v>
      </c>
      <c r="D305" s="16" t="e">
        <f>#REF!</f>
        <v>#REF!</v>
      </c>
      <c r="E305" s="16" t="e">
        <f>#REF!</f>
        <v>#REF!</v>
      </c>
      <c r="F305" s="16" t="e">
        <f>#REF!</f>
        <v>#REF!</v>
      </c>
      <c r="G305" s="16" t="e">
        <f>#REF!</f>
        <v>#REF!</v>
      </c>
      <c r="H305" s="16" t="e">
        <f>#REF!</f>
        <v>#REF!</v>
      </c>
      <c r="I305" s="16" t="e">
        <f>#REF!</f>
        <v>#REF!</v>
      </c>
      <c r="J305" s="16" t="e">
        <f>#REF!</f>
        <v>#REF!</v>
      </c>
      <c r="K305" s="16" t="s">
        <v>744</v>
      </c>
      <c r="L305" s="16"/>
      <c r="M305" s="16"/>
      <c r="N305" s="16"/>
      <c r="O305" s="16"/>
      <c r="P305" s="25"/>
      <c r="Q305" s="26" t="s">
        <v>793</v>
      </c>
    </row>
    <row r="306" spans="1:17" ht="22.5" customHeight="1" thickTop="1" thickBot="1" x14ac:dyDescent="0.25">
      <c r="A306" s="16" t="e">
        <f>#REF!</f>
        <v>#REF!</v>
      </c>
      <c r="B306" s="16" t="e">
        <f>#REF!</f>
        <v>#REF!</v>
      </c>
      <c r="C306" s="16" t="e">
        <f>#REF!</f>
        <v>#REF!</v>
      </c>
      <c r="D306" s="16" t="e">
        <f>#REF!</f>
        <v>#REF!</v>
      </c>
      <c r="E306" s="16" t="e">
        <f>#REF!</f>
        <v>#REF!</v>
      </c>
      <c r="F306" s="16" t="e">
        <f>#REF!</f>
        <v>#REF!</v>
      </c>
      <c r="G306" s="16" t="e">
        <f>#REF!</f>
        <v>#REF!</v>
      </c>
      <c r="H306" s="16" t="e">
        <f>#REF!</f>
        <v>#REF!</v>
      </c>
      <c r="I306" s="16" t="e">
        <f>#REF!</f>
        <v>#REF!</v>
      </c>
      <c r="J306" s="16" t="e">
        <f>#REF!</f>
        <v>#REF!</v>
      </c>
      <c r="K306" s="16" t="s">
        <v>744</v>
      </c>
      <c r="L306" s="16"/>
      <c r="M306" s="16"/>
      <c r="N306" s="16"/>
      <c r="O306" s="16"/>
      <c r="P306" s="25"/>
      <c r="Q306" s="26" t="s">
        <v>793</v>
      </c>
    </row>
    <row r="307" spans="1:17" ht="22.5" customHeight="1" thickTop="1" thickBot="1" x14ac:dyDescent="0.25">
      <c r="A307" s="16" t="e">
        <f>#REF!</f>
        <v>#REF!</v>
      </c>
      <c r="B307" s="16" t="e">
        <f>#REF!</f>
        <v>#REF!</v>
      </c>
      <c r="C307" s="16" t="e">
        <f>#REF!</f>
        <v>#REF!</v>
      </c>
      <c r="D307" s="16" t="e">
        <f>#REF!</f>
        <v>#REF!</v>
      </c>
      <c r="E307" s="16" t="e">
        <f>#REF!</f>
        <v>#REF!</v>
      </c>
      <c r="F307" s="16" t="e">
        <f>#REF!</f>
        <v>#REF!</v>
      </c>
      <c r="G307" s="16" t="e">
        <f>#REF!</f>
        <v>#REF!</v>
      </c>
      <c r="H307" s="16" t="e">
        <f>#REF!</f>
        <v>#REF!</v>
      </c>
      <c r="I307" s="16" t="e">
        <f>#REF!</f>
        <v>#REF!</v>
      </c>
      <c r="J307" s="16" t="e">
        <f>#REF!</f>
        <v>#REF!</v>
      </c>
      <c r="K307" s="16"/>
      <c r="L307" s="16"/>
      <c r="M307" s="16"/>
      <c r="N307" s="16"/>
      <c r="O307" s="16"/>
      <c r="P307" s="25"/>
      <c r="Q307" s="26" t="s">
        <v>793</v>
      </c>
    </row>
    <row r="308" spans="1:17" ht="22.5" customHeight="1" thickTop="1" thickBot="1" x14ac:dyDescent="0.25">
      <c r="A308" s="16" t="e">
        <f>#REF!</f>
        <v>#REF!</v>
      </c>
      <c r="B308" s="16" t="e">
        <f>#REF!</f>
        <v>#REF!</v>
      </c>
      <c r="C308" s="16" t="e">
        <f>#REF!</f>
        <v>#REF!</v>
      </c>
      <c r="D308" s="16" t="e">
        <f>#REF!</f>
        <v>#REF!</v>
      </c>
      <c r="E308" s="16" t="e">
        <f>#REF!</f>
        <v>#REF!</v>
      </c>
      <c r="F308" s="16" t="e">
        <f>#REF!</f>
        <v>#REF!</v>
      </c>
      <c r="G308" s="16" t="e">
        <f>#REF!</f>
        <v>#REF!</v>
      </c>
      <c r="H308" s="16" t="e">
        <f>#REF!</f>
        <v>#REF!</v>
      </c>
      <c r="I308" s="16" t="e">
        <f>#REF!</f>
        <v>#REF!</v>
      </c>
      <c r="J308" s="16" t="e">
        <f>#REF!</f>
        <v>#REF!</v>
      </c>
      <c r="K308" s="16" t="s">
        <v>744</v>
      </c>
      <c r="L308" s="16"/>
      <c r="M308" s="16"/>
      <c r="N308" s="16"/>
      <c r="O308" s="16"/>
      <c r="P308" s="27"/>
      <c r="Q308" s="28" t="s">
        <v>794</v>
      </c>
    </row>
    <row r="309" spans="1:17" ht="22.5" customHeight="1" thickTop="1" thickBot="1" x14ac:dyDescent="0.25">
      <c r="A309" s="16" t="e">
        <f>#REF!</f>
        <v>#REF!</v>
      </c>
      <c r="B309" s="16" t="e">
        <f>#REF!</f>
        <v>#REF!</v>
      </c>
      <c r="C309" s="16" t="e">
        <f>#REF!</f>
        <v>#REF!</v>
      </c>
      <c r="D309" s="16" t="e">
        <f>#REF!</f>
        <v>#REF!</v>
      </c>
      <c r="E309" s="16" t="e">
        <f>#REF!</f>
        <v>#REF!</v>
      </c>
      <c r="F309" s="16" t="e">
        <f>#REF!</f>
        <v>#REF!</v>
      </c>
      <c r="G309" s="16" t="e">
        <f>#REF!</f>
        <v>#REF!</v>
      </c>
      <c r="H309" s="16" t="e">
        <f>#REF!</f>
        <v>#REF!</v>
      </c>
      <c r="I309" s="16" t="e">
        <f>#REF!</f>
        <v>#REF!</v>
      </c>
      <c r="J309" s="16" t="e">
        <f>#REF!</f>
        <v>#REF!</v>
      </c>
      <c r="K309" s="16"/>
      <c r="L309" s="16"/>
      <c r="M309" s="16"/>
      <c r="N309" s="16"/>
      <c r="O309" s="16"/>
      <c r="P309" s="27"/>
      <c r="Q309" s="28" t="s">
        <v>794</v>
      </c>
    </row>
    <row r="310" spans="1:17" ht="22.5" customHeight="1" thickTop="1" thickBot="1" x14ac:dyDescent="0.25">
      <c r="A310" s="16" t="e">
        <f>#REF!</f>
        <v>#REF!</v>
      </c>
      <c r="B310" s="16" t="e">
        <f>#REF!</f>
        <v>#REF!</v>
      </c>
      <c r="C310" s="16" t="e">
        <f>#REF!</f>
        <v>#REF!</v>
      </c>
      <c r="D310" s="16" t="e">
        <f>#REF!</f>
        <v>#REF!</v>
      </c>
      <c r="E310" s="16" t="e">
        <f>#REF!</f>
        <v>#REF!</v>
      </c>
      <c r="F310" s="16" t="e">
        <f>#REF!</f>
        <v>#REF!</v>
      </c>
      <c r="G310" s="16" t="e">
        <f>#REF!</f>
        <v>#REF!</v>
      </c>
      <c r="H310" s="16" t="e">
        <f>#REF!</f>
        <v>#REF!</v>
      </c>
      <c r="I310" s="16" t="e">
        <f>#REF!</f>
        <v>#REF!</v>
      </c>
      <c r="J310" s="16" t="e">
        <f>#REF!</f>
        <v>#REF!</v>
      </c>
      <c r="K310" s="16" t="s">
        <v>744</v>
      </c>
      <c r="L310" s="16"/>
      <c r="M310" s="16"/>
      <c r="N310" s="16"/>
      <c r="O310" s="16"/>
      <c r="P310" s="27"/>
      <c r="Q310" s="28" t="s">
        <v>794</v>
      </c>
    </row>
    <row r="311" spans="1:17" ht="22.5" customHeight="1" thickTop="1" thickBot="1" x14ac:dyDescent="0.25">
      <c r="A311" s="16" t="e">
        <f>#REF!</f>
        <v>#REF!</v>
      </c>
      <c r="B311" s="16" t="e">
        <f>#REF!</f>
        <v>#REF!</v>
      </c>
      <c r="C311" s="16" t="e">
        <f>#REF!</f>
        <v>#REF!</v>
      </c>
      <c r="D311" s="16" t="e">
        <f>#REF!</f>
        <v>#REF!</v>
      </c>
      <c r="E311" s="16" t="e">
        <f>#REF!</f>
        <v>#REF!</v>
      </c>
      <c r="F311" s="16" t="e">
        <f>#REF!</f>
        <v>#REF!</v>
      </c>
      <c r="G311" s="16" t="e">
        <f>#REF!</f>
        <v>#REF!</v>
      </c>
      <c r="H311" s="16" t="e">
        <f>#REF!</f>
        <v>#REF!</v>
      </c>
      <c r="I311" s="16" t="e">
        <f>#REF!</f>
        <v>#REF!</v>
      </c>
      <c r="J311" s="16" t="e">
        <f>#REF!</f>
        <v>#REF!</v>
      </c>
      <c r="K311" s="16"/>
      <c r="L311" s="16"/>
      <c r="M311" s="16"/>
      <c r="N311" s="16"/>
      <c r="O311" s="16"/>
      <c r="P311" s="27"/>
      <c r="Q311" s="28" t="s">
        <v>794</v>
      </c>
    </row>
    <row r="312" spans="1:17" ht="22.5" customHeight="1" thickTop="1" thickBot="1" x14ac:dyDescent="0.25">
      <c r="A312" s="16" t="e">
        <f>#REF!</f>
        <v>#REF!</v>
      </c>
      <c r="B312" s="16" t="e">
        <f>#REF!</f>
        <v>#REF!</v>
      </c>
      <c r="C312" s="16" t="e">
        <f>#REF!</f>
        <v>#REF!</v>
      </c>
      <c r="D312" s="16" t="e">
        <f>#REF!</f>
        <v>#REF!</v>
      </c>
      <c r="E312" s="16" t="e">
        <f>#REF!</f>
        <v>#REF!</v>
      </c>
      <c r="F312" s="16" t="e">
        <f>#REF!</f>
        <v>#REF!</v>
      </c>
      <c r="G312" s="16" t="e">
        <f>#REF!</f>
        <v>#REF!</v>
      </c>
      <c r="H312" s="16" t="e">
        <f>#REF!</f>
        <v>#REF!</v>
      </c>
      <c r="I312" s="16" t="e">
        <f>#REF!</f>
        <v>#REF!</v>
      </c>
      <c r="J312" s="16" t="e">
        <f>#REF!</f>
        <v>#REF!</v>
      </c>
      <c r="K312" s="16" t="s">
        <v>744</v>
      </c>
      <c r="L312" s="16"/>
      <c r="M312" s="16"/>
      <c r="N312" s="16"/>
      <c r="O312" s="16"/>
      <c r="P312" s="27"/>
      <c r="Q312" s="28" t="s">
        <v>794</v>
      </c>
    </row>
    <row r="313" spans="1:17" ht="22.5" customHeight="1" thickTop="1" thickBot="1" x14ac:dyDescent="0.25">
      <c r="A313" s="16" t="e">
        <f>#REF!</f>
        <v>#REF!</v>
      </c>
      <c r="B313" s="16" t="e">
        <f>#REF!</f>
        <v>#REF!</v>
      </c>
      <c r="C313" s="16" t="e">
        <f>#REF!</f>
        <v>#REF!</v>
      </c>
      <c r="D313" s="16" t="e">
        <f>#REF!</f>
        <v>#REF!</v>
      </c>
      <c r="E313" s="16" t="e">
        <f>#REF!</f>
        <v>#REF!</v>
      </c>
      <c r="F313" s="16" t="e">
        <f>#REF!</f>
        <v>#REF!</v>
      </c>
      <c r="G313" s="16" t="e">
        <f>#REF!</f>
        <v>#REF!</v>
      </c>
      <c r="H313" s="16" t="e">
        <f>#REF!</f>
        <v>#REF!</v>
      </c>
      <c r="I313" s="16" t="e">
        <f>#REF!</f>
        <v>#REF!</v>
      </c>
      <c r="J313" s="16" t="e">
        <f>#REF!</f>
        <v>#REF!</v>
      </c>
      <c r="K313" s="16"/>
      <c r="L313" s="16"/>
      <c r="M313" s="16"/>
      <c r="N313" s="16"/>
      <c r="O313" s="16"/>
      <c r="P313" s="27"/>
      <c r="Q313" s="28" t="s">
        <v>794</v>
      </c>
    </row>
    <row r="314" spans="1:17" ht="22.5" customHeight="1" thickTop="1" thickBot="1" x14ac:dyDescent="0.25">
      <c r="A314" s="16" t="e">
        <f>#REF!</f>
        <v>#REF!</v>
      </c>
      <c r="B314" s="16" t="e">
        <f>#REF!</f>
        <v>#REF!</v>
      </c>
      <c r="C314" s="16" t="e">
        <f>#REF!</f>
        <v>#REF!</v>
      </c>
      <c r="D314" s="16" t="e">
        <f>#REF!</f>
        <v>#REF!</v>
      </c>
      <c r="E314" s="16" t="e">
        <f>#REF!</f>
        <v>#REF!</v>
      </c>
      <c r="F314" s="16" t="e">
        <f>#REF!</f>
        <v>#REF!</v>
      </c>
      <c r="G314" s="16" t="e">
        <f>#REF!</f>
        <v>#REF!</v>
      </c>
      <c r="H314" s="16" t="e">
        <f>#REF!</f>
        <v>#REF!</v>
      </c>
      <c r="I314" s="16" t="e">
        <f>#REF!</f>
        <v>#REF!</v>
      </c>
      <c r="J314" s="16" t="e">
        <f>#REF!</f>
        <v>#REF!</v>
      </c>
      <c r="K314" s="16" t="s">
        <v>744</v>
      </c>
      <c r="L314" s="16"/>
      <c r="M314" s="16"/>
      <c r="N314" s="16"/>
      <c r="O314" s="16"/>
      <c r="P314" s="27"/>
      <c r="Q314" s="28" t="s">
        <v>794</v>
      </c>
    </row>
    <row r="315" spans="1:17" ht="22.5" customHeight="1" thickTop="1" thickBot="1" x14ac:dyDescent="0.25">
      <c r="A315" s="16" t="e">
        <f>#REF!</f>
        <v>#REF!</v>
      </c>
      <c r="B315" s="16" t="e">
        <f>#REF!</f>
        <v>#REF!</v>
      </c>
      <c r="C315" s="16" t="e">
        <f>#REF!</f>
        <v>#REF!</v>
      </c>
      <c r="D315" s="16" t="e">
        <f>#REF!</f>
        <v>#REF!</v>
      </c>
      <c r="E315" s="16" t="e">
        <f>#REF!</f>
        <v>#REF!</v>
      </c>
      <c r="F315" s="16" t="e">
        <f>#REF!</f>
        <v>#REF!</v>
      </c>
      <c r="G315" s="16" t="e">
        <f>#REF!</f>
        <v>#REF!</v>
      </c>
      <c r="H315" s="16" t="e">
        <f>#REF!</f>
        <v>#REF!</v>
      </c>
      <c r="I315" s="16" t="e">
        <f>#REF!</f>
        <v>#REF!</v>
      </c>
      <c r="J315" s="16" t="e">
        <f>#REF!</f>
        <v>#REF!</v>
      </c>
      <c r="K315" s="16"/>
      <c r="L315" s="16"/>
      <c r="M315" s="16"/>
      <c r="N315" s="16"/>
      <c r="O315" s="16"/>
      <c r="P315" s="27"/>
      <c r="Q315" s="28" t="s">
        <v>794</v>
      </c>
    </row>
    <row r="316" spans="1:17" ht="22.5" customHeight="1" thickTop="1" thickBot="1" x14ac:dyDescent="0.25">
      <c r="A316" s="16" t="e">
        <f>#REF!</f>
        <v>#REF!</v>
      </c>
      <c r="B316" s="16" t="e">
        <f>#REF!</f>
        <v>#REF!</v>
      </c>
      <c r="C316" s="16" t="e">
        <f>#REF!</f>
        <v>#REF!</v>
      </c>
      <c r="D316" s="16" t="e">
        <f>#REF!</f>
        <v>#REF!</v>
      </c>
      <c r="E316" s="16" t="e">
        <f>#REF!</f>
        <v>#REF!</v>
      </c>
      <c r="F316" s="16" t="e">
        <f>#REF!</f>
        <v>#REF!</v>
      </c>
      <c r="G316" s="16" t="e">
        <f>#REF!</f>
        <v>#REF!</v>
      </c>
      <c r="H316" s="16" t="e">
        <f>#REF!</f>
        <v>#REF!</v>
      </c>
      <c r="I316" s="16" t="e">
        <f>#REF!</f>
        <v>#REF!</v>
      </c>
      <c r="J316" s="16" t="e">
        <f>#REF!</f>
        <v>#REF!</v>
      </c>
      <c r="K316" s="16" t="s">
        <v>744</v>
      </c>
      <c r="L316" s="16"/>
      <c r="M316" s="16"/>
      <c r="N316" s="16"/>
      <c r="O316" s="16"/>
      <c r="P316" s="25"/>
      <c r="Q316" s="26" t="s">
        <v>793</v>
      </c>
    </row>
    <row r="317" spans="1:17" ht="22.5" customHeight="1" thickTop="1" thickBot="1" x14ac:dyDescent="0.25">
      <c r="A317" s="16" t="e">
        <f>#REF!</f>
        <v>#REF!</v>
      </c>
      <c r="B317" s="16" t="e">
        <f>#REF!</f>
        <v>#REF!</v>
      </c>
      <c r="C317" s="16" t="e">
        <f>#REF!</f>
        <v>#REF!</v>
      </c>
      <c r="D317" s="16" t="e">
        <f>#REF!</f>
        <v>#REF!</v>
      </c>
      <c r="E317" s="16" t="e">
        <f>#REF!</f>
        <v>#REF!</v>
      </c>
      <c r="F317" s="16" t="e">
        <f>#REF!</f>
        <v>#REF!</v>
      </c>
      <c r="G317" s="16" t="e">
        <f>#REF!</f>
        <v>#REF!</v>
      </c>
      <c r="H317" s="16" t="e">
        <f>#REF!</f>
        <v>#REF!</v>
      </c>
      <c r="I317" s="16" t="e">
        <f>#REF!</f>
        <v>#REF!</v>
      </c>
      <c r="J317" s="16" t="e">
        <f>#REF!</f>
        <v>#REF!</v>
      </c>
      <c r="K317" s="16"/>
      <c r="L317" s="16"/>
      <c r="M317" s="16"/>
      <c r="N317" s="16"/>
      <c r="O317" s="16"/>
      <c r="P317" s="25"/>
      <c r="Q317" s="26" t="s">
        <v>793</v>
      </c>
    </row>
    <row r="318" spans="1:17" ht="22.5" customHeight="1" thickTop="1" thickBot="1" x14ac:dyDescent="0.25">
      <c r="A318" s="16" t="e">
        <f>#REF!</f>
        <v>#REF!</v>
      </c>
      <c r="B318" s="16" t="e">
        <f>#REF!</f>
        <v>#REF!</v>
      </c>
      <c r="C318" s="16" t="e">
        <f>#REF!</f>
        <v>#REF!</v>
      </c>
      <c r="D318" s="16" t="e">
        <f>#REF!</f>
        <v>#REF!</v>
      </c>
      <c r="E318" s="16" t="e">
        <f>#REF!</f>
        <v>#REF!</v>
      </c>
      <c r="F318" s="16" t="e">
        <f>#REF!</f>
        <v>#REF!</v>
      </c>
      <c r="G318" s="16" t="e">
        <f>#REF!</f>
        <v>#REF!</v>
      </c>
      <c r="H318" s="16" t="e">
        <f>#REF!</f>
        <v>#REF!</v>
      </c>
      <c r="I318" s="16" t="e">
        <f>#REF!</f>
        <v>#REF!</v>
      </c>
      <c r="J318" s="16" t="e">
        <f>#REF!</f>
        <v>#REF!</v>
      </c>
      <c r="K318" s="16" t="s">
        <v>744</v>
      </c>
      <c r="L318" s="16"/>
      <c r="M318" s="16"/>
      <c r="N318" s="16"/>
      <c r="O318" s="16"/>
      <c r="P318" s="25"/>
      <c r="Q318" s="26" t="s">
        <v>793</v>
      </c>
    </row>
    <row r="319" spans="1:17" ht="22.5" customHeight="1" thickTop="1" thickBot="1" x14ac:dyDescent="0.25">
      <c r="A319" s="16" t="e">
        <f>#REF!</f>
        <v>#REF!</v>
      </c>
      <c r="B319" s="16" t="e">
        <f>#REF!</f>
        <v>#REF!</v>
      </c>
      <c r="C319" s="16" t="e">
        <f>#REF!</f>
        <v>#REF!</v>
      </c>
      <c r="D319" s="16" t="e">
        <f>#REF!</f>
        <v>#REF!</v>
      </c>
      <c r="E319" s="16" t="e">
        <f>#REF!</f>
        <v>#REF!</v>
      </c>
      <c r="F319" s="16" t="e">
        <f>#REF!</f>
        <v>#REF!</v>
      </c>
      <c r="G319" s="16" t="e">
        <f>#REF!</f>
        <v>#REF!</v>
      </c>
      <c r="H319" s="16" t="e">
        <f>#REF!</f>
        <v>#REF!</v>
      </c>
      <c r="I319" s="16" t="e">
        <f>#REF!</f>
        <v>#REF!</v>
      </c>
      <c r="J319" s="16" t="e">
        <f>#REF!</f>
        <v>#REF!</v>
      </c>
      <c r="K319" s="16"/>
      <c r="L319" s="16"/>
      <c r="M319" s="16"/>
      <c r="N319" s="16"/>
      <c r="O319" s="16"/>
      <c r="P319" s="25"/>
      <c r="Q319" s="26" t="s">
        <v>793</v>
      </c>
    </row>
    <row r="320" spans="1:17" ht="22.5" customHeight="1" thickTop="1" thickBot="1" x14ac:dyDescent="0.25">
      <c r="A320" s="16" t="e">
        <f>#REF!</f>
        <v>#REF!</v>
      </c>
      <c r="B320" s="16" t="e">
        <f>#REF!</f>
        <v>#REF!</v>
      </c>
      <c r="C320" s="16" t="e">
        <f>#REF!</f>
        <v>#REF!</v>
      </c>
      <c r="D320" s="16" t="e">
        <f>#REF!</f>
        <v>#REF!</v>
      </c>
      <c r="E320" s="16" t="e">
        <f>#REF!</f>
        <v>#REF!</v>
      </c>
      <c r="F320" s="16" t="e">
        <f>#REF!</f>
        <v>#REF!</v>
      </c>
      <c r="G320" s="16" t="e">
        <f>#REF!</f>
        <v>#REF!</v>
      </c>
      <c r="H320" s="16" t="e">
        <f>#REF!</f>
        <v>#REF!</v>
      </c>
      <c r="I320" s="16" t="e">
        <f>#REF!</f>
        <v>#REF!</v>
      </c>
      <c r="J320" s="16" t="e">
        <f>#REF!</f>
        <v>#REF!</v>
      </c>
      <c r="K320" s="16" t="s">
        <v>744</v>
      </c>
      <c r="L320" s="16"/>
      <c r="M320" s="16"/>
      <c r="N320" s="16"/>
      <c r="O320" s="16"/>
      <c r="P320" s="25"/>
      <c r="Q320" s="26" t="s">
        <v>793</v>
      </c>
    </row>
    <row r="321" spans="1:17" ht="22.5" customHeight="1" thickTop="1" thickBot="1" x14ac:dyDescent="0.25">
      <c r="A321" s="16" t="e">
        <f>#REF!</f>
        <v>#REF!</v>
      </c>
      <c r="B321" s="16" t="e">
        <f>#REF!</f>
        <v>#REF!</v>
      </c>
      <c r="C321" s="16" t="e">
        <f>#REF!</f>
        <v>#REF!</v>
      </c>
      <c r="D321" s="16" t="e">
        <f>#REF!</f>
        <v>#REF!</v>
      </c>
      <c r="E321" s="16" t="e">
        <f>#REF!</f>
        <v>#REF!</v>
      </c>
      <c r="F321" s="16" t="e">
        <f>#REF!</f>
        <v>#REF!</v>
      </c>
      <c r="G321" s="16" t="e">
        <f>#REF!</f>
        <v>#REF!</v>
      </c>
      <c r="H321" s="16" t="e">
        <f>#REF!</f>
        <v>#REF!</v>
      </c>
      <c r="I321" s="16" t="e">
        <f>#REF!</f>
        <v>#REF!</v>
      </c>
      <c r="J321" s="16" t="e">
        <f>#REF!</f>
        <v>#REF!</v>
      </c>
      <c r="K321" s="16"/>
      <c r="L321" s="16"/>
      <c r="M321" s="16"/>
      <c r="N321" s="16"/>
      <c r="O321" s="16"/>
      <c r="P321" s="25"/>
      <c r="Q321" s="26" t="s">
        <v>793</v>
      </c>
    </row>
    <row r="322" spans="1:17" ht="22.5" customHeight="1" thickTop="1" thickBot="1" x14ac:dyDescent="0.25">
      <c r="A322" s="16" t="e">
        <f>#REF!</f>
        <v>#REF!</v>
      </c>
      <c r="B322" s="16" t="e">
        <f>#REF!</f>
        <v>#REF!</v>
      </c>
      <c r="C322" s="16" t="e">
        <f>#REF!</f>
        <v>#REF!</v>
      </c>
      <c r="D322" s="16" t="e">
        <f>#REF!</f>
        <v>#REF!</v>
      </c>
      <c r="E322" s="16" t="e">
        <f>#REF!</f>
        <v>#REF!</v>
      </c>
      <c r="F322" s="16" t="e">
        <f>#REF!</f>
        <v>#REF!</v>
      </c>
      <c r="G322" s="16" t="e">
        <f>#REF!</f>
        <v>#REF!</v>
      </c>
      <c r="H322" s="16" t="e">
        <f>#REF!</f>
        <v>#REF!</v>
      </c>
      <c r="I322" s="16" t="e">
        <f>#REF!</f>
        <v>#REF!</v>
      </c>
      <c r="J322" s="16" t="e">
        <f>#REF!</f>
        <v>#REF!</v>
      </c>
      <c r="K322" s="16" t="s">
        <v>744</v>
      </c>
      <c r="L322" s="16"/>
      <c r="M322" s="16"/>
      <c r="N322" s="16"/>
      <c r="O322" s="16"/>
      <c r="P322" s="25"/>
      <c r="Q322" s="26" t="s">
        <v>793</v>
      </c>
    </row>
    <row r="323" spans="1:17" ht="22.5" customHeight="1" thickTop="1" thickBot="1" x14ac:dyDescent="0.25">
      <c r="A323" s="16" t="e">
        <f>#REF!</f>
        <v>#REF!</v>
      </c>
      <c r="B323" s="16" t="e">
        <f>#REF!</f>
        <v>#REF!</v>
      </c>
      <c r="C323" s="16" t="e">
        <f>#REF!</f>
        <v>#REF!</v>
      </c>
      <c r="D323" s="16" t="e">
        <f>#REF!</f>
        <v>#REF!</v>
      </c>
      <c r="E323" s="16" t="e">
        <f>#REF!</f>
        <v>#REF!</v>
      </c>
      <c r="F323" s="16" t="e">
        <f>#REF!</f>
        <v>#REF!</v>
      </c>
      <c r="G323" s="16" t="e">
        <f>#REF!</f>
        <v>#REF!</v>
      </c>
      <c r="H323" s="16" t="e">
        <f>#REF!</f>
        <v>#REF!</v>
      </c>
      <c r="I323" s="16" t="e">
        <f>#REF!</f>
        <v>#REF!</v>
      </c>
      <c r="J323" s="16" t="e">
        <f>#REF!</f>
        <v>#REF!</v>
      </c>
      <c r="K323" s="16"/>
      <c r="L323" s="16"/>
      <c r="M323" s="16"/>
      <c r="N323" s="16"/>
      <c r="O323" s="16"/>
      <c r="P323" s="25"/>
      <c r="Q323" s="26" t="s">
        <v>793</v>
      </c>
    </row>
    <row r="324" spans="1:17" ht="22.5" customHeight="1" thickTop="1" thickBot="1" x14ac:dyDescent="0.25">
      <c r="A324" s="16" t="e">
        <f>#REF!</f>
        <v>#REF!</v>
      </c>
      <c r="B324" s="16" t="e">
        <f>#REF!</f>
        <v>#REF!</v>
      </c>
      <c r="C324" s="16" t="e">
        <f>#REF!</f>
        <v>#REF!</v>
      </c>
      <c r="D324" s="16" t="e">
        <f>#REF!</f>
        <v>#REF!</v>
      </c>
      <c r="E324" s="16" t="e">
        <f>#REF!</f>
        <v>#REF!</v>
      </c>
      <c r="F324" s="16" t="e">
        <f>#REF!</f>
        <v>#REF!</v>
      </c>
      <c r="G324" s="16" t="e">
        <f>#REF!</f>
        <v>#REF!</v>
      </c>
      <c r="H324" s="16" t="e">
        <f>#REF!</f>
        <v>#REF!</v>
      </c>
      <c r="I324" s="16" t="e">
        <f>#REF!</f>
        <v>#REF!</v>
      </c>
      <c r="J324" s="16" t="e">
        <f>#REF!</f>
        <v>#REF!</v>
      </c>
      <c r="K324" s="16" t="s">
        <v>744</v>
      </c>
      <c r="L324" s="16"/>
      <c r="M324" s="16"/>
      <c r="N324" s="16"/>
      <c r="O324" s="16"/>
      <c r="P324" s="25"/>
      <c r="Q324" s="26" t="s">
        <v>793</v>
      </c>
    </row>
    <row r="325" spans="1:17" ht="22.5" customHeight="1" thickTop="1" thickBot="1" x14ac:dyDescent="0.25">
      <c r="A325" s="16" t="e">
        <f>#REF!</f>
        <v>#REF!</v>
      </c>
      <c r="B325" s="16" t="e">
        <f>#REF!</f>
        <v>#REF!</v>
      </c>
      <c r="C325" s="16" t="e">
        <f>#REF!</f>
        <v>#REF!</v>
      </c>
      <c r="D325" s="16" t="e">
        <f>#REF!</f>
        <v>#REF!</v>
      </c>
      <c r="E325" s="16" t="e">
        <f>#REF!</f>
        <v>#REF!</v>
      </c>
      <c r="F325" s="16" t="e">
        <f>#REF!</f>
        <v>#REF!</v>
      </c>
      <c r="G325" s="16" t="e">
        <f>#REF!</f>
        <v>#REF!</v>
      </c>
      <c r="H325" s="16" t="e">
        <f>#REF!</f>
        <v>#REF!</v>
      </c>
      <c r="I325" s="16" t="e">
        <f>#REF!</f>
        <v>#REF!</v>
      </c>
      <c r="J325" s="16" t="e">
        <f>#REF!</f>
        <v>#REF!</v>
      </c>
      <c r="K325" s="16"/>
      <c r="L325" s="16"/>
      <c r="M325" s="16"/>
      <c r="N325" s="16"/>
      <c r="O325" s="16"/>
      <c r="P325" s="21"/>
      <c r="Q325" s="21"/>
    </row>
    <row r="326" spans="1:17" ht="22.5" customHeight="1" thickTop="1" thickBot="1" x14ac:dyDescent="0.25">
      <c r="A326" s="16" t="e">
        <f>#REF!</f>
        <v>#REF!</v>
      </c>
      <c r="B326" s="16" t="e">
        <f>#REF!</f>
        <v>#REF!</v>
      </c>
      <c r="C326" s="16" t="e">
        <f>#REF!</f>
        <v>#REF!</v>
      </c>
      <c r="D326" s="16" t="e">
        <f>#REF!</f>
        <v>#REF!</v>
      </c>
      <c r="E326" s="16" t="e">
        <f>#REF!</f>
        <v>#REF!</v>
      </c>
      <c r="F326" s="16" t="e">
        <f>#REF!</f>
        <v>#REF!</v>
      </c>
      <c r="G326" s="16" t="e">
        <f>#REF!</f>
        <v>#REF!</v>
      </c>
      <c r="H326" s="16" t="e">
        <f>#REF!</f>
        <v>#REF!</v>
      </c>
      <c r="I326" s="16" t="e">
        <f>#REF!</f>
        <v>#REF!</v>
      </c>
      <c r="J326" s="16" t="e">
        <f>#REF!</f>
        <v>#REF!</v>
      </c>
      <c r="K326" s="16" t="s">
        <v>744</v>
      </c>
      <c r="L326" s="16"/>
      <c r="M326" s="16"/>
      <c r="N326" s="16"/>
      <c r="O326" s="16"/>
      <c r="P326" s="21"/>
      <c r="Q326" s="21"/>
    </row>
    <row r="327" spans="1:17" ht="22.5" customHeight="1" thickTop="1" thickBot="1" x14ac:dyDescent="0.25">
      <c r="A327" s="16" t="e">
        <f>#REF!</f>
        <v>#REF!</v>
      </c>
      <c r="B327" s="16" t="e">
        <f>#REF!</f>
        <v>#REF!</v>
      </c>
      <c r="C327" s="16" t="e">
        <f>#REF!</f>
        <v>#REF!</v>
      </c>
      <c r="D327" s="16" t="e">
        <f>#REF!</f>
        <v>#REF!</v>
      </c>
      <c r="E327" s="16" t="e">
        <f>#REF!</f>
        <v>#REF!</v>
      </c>
      <c r="F327" s="16" t="e">
        <f>#REF!</f>
        <v>#REF!</v>
      </c>
      <c r="G327" s="16" t="e">
        <f>#REF!</f>
        <v>#REF!</v>
      </c>
      <c r="H327" s="16" t="e">
        <f>#REF!</f>
        <v>#REF!</v>
      </c>
      <c r="I327" s="16" t="e">
        <f>#REF!</f>
        <v>#REF!</v>
      </c>
      <c r="J327" s="16" t="e">
        <f>#REF!</f>
        <v>#REF!</v>
      </c>
      <c r="K327" s="16"/>
      <c r="L327" s="16"/>
      <c r="M327" s="16"/>
      <c r="N327" s="16"/>
      <c r="O327" s="16"/>
      <c r="P327" s="21"/>
      <c r="Q327" s="21"/>
    </row>
    <row r="328" spans="1:17" ht="22.5" customHeight="1" thickTop="1" thickBot="1" x14ac:dyDescent="0.25">
      <c r="A328" s="16" t="e">
        <f>#REF!</f>
        <v>#REF!</v>
      </c>
      <c r="B328" s="16" t="e">
        <f>#REF!</f>
        <v>#REF!</v>
      </c>
      <c r="C328" s="16" t="e">
        <f>#REF!</f>
        <v>#REF!</v>
      </c>
      <c r="D328" s="16" t="e">
        <f>#REF!</f>
        <v>#REF!</v>
      </c>
      <c r="E328" s="16" t="e">
        <f>#REF!</f>
        <v>#REF!</v>
      </c>
      <c r="F328" s="16" t="e">
        <f>#REF!</f>
        <v>#REF!</v>
      </c>
      <c r="G328" s="16" t="e">
        <f>#REF!</f>
        <v>#REF!</v>
      </c>
      <c r="H328" s="16" t="e">
        <f>#REF!</f>
        <v>#REF!</v>
      </c>
      <c r="I328" s="16" t="e">
        <f>#REF!</f>
        <v>#REF!</v>
      </c>
      <c r="J328" s="16" t="e">
        <f>#REF!</f>
        <v>#REF!</v>
      </c>
      <c r="K328" s="16" t="s">
        <v>744</v>
      </c>
      <c r="L328" s="16"/>
      <c r="M328" s="16"/>
      <c r="N328" s="16"/>
      <c r="O328" s="16"/>
      <c r="P328" s="21"/>
      <c r="Q328" s="21"/>
    </row>
    <row r="329" spans="1:17" ht="22.5" customHeight="1" thickTop="1" thickBot="1" x14ac:dyDescent="0.25">
      <c r="A329" s="16" t="e">
        <f>#REF!</f>
        <v>#REF!</v>
      </c>
      <c r="B329" s="16" t="e">
        <f>#REF!</f>
        <v>#REF!</v>
      </c>
      <c r="C329" s="16" t="e">
        <f>#REF!</f>
        <v>#REF!</v>
      </c>
      <c r="D329" s="16" t="e">
        <f>#REF!</f>
        <v>#REF!</v>
      </c>
      <c r="E329" s="16" t="e">
        <f>#REF!</f>
        <v>#REF!</v>
      </c>
      <c r="F329" s="16" t="e">
        <f>#REF!</f>
        <v>#REF!</v>
      </c>
      <c r="G329" s="16" t="e">
        <f>#REF!</f>
        <v>#REF!</v>
      </c>
      <c r="H329" s="16" t="e">
        <f>#REF!</f>
        <v>#REF!</v>
      </c>
      <c r="I329" s="16" t="e">
        <f>#REF!</f>
        <v>#REF!</v>
      </c>
      <c r="J329" s="16" t="e">
        <f>#REF!</f>
        <v>#REF!</v>
      </c>
      <c r="K329" s="16"/>
      <c r="L329" s="16"/>
      <c r="M329" s="16"/>
      <c r="N329" s="16"/>
      <c r="O329" s="16"/>
      <c r="P329" s="21"/>
      <c r="Q329" s="21"/>
    </row>
    <row r="330" spans="1:17" ht="22.5" customHeight="1" thickTop="1" thickBot="1" x14ac:dyDescent="0.25">
      <c r="A330" s="16" t="e">
        <f>#REF!</f>
        <v>#REF!</v>
      </c>
      <c r="B330" s="16" t="e">
        <f>#REF!</f>
        <v>#REF!</v>
      </c>
      <c r="C330" s="16" t="e">
        <f>#REF!</f>
        <v>#REF!</v>
      </c>
      <c r="D330" s="16" t="e">
        <f>#REF!</f>
        <v>#REF!</v>
      </c>
      <c r="E330" s="16" t="e">
        <f>#REF!</f>
        <v>#REF!</v>
      </c>
      <c r="F330" s="16" t="e">
        <f>#REF!</f>
        <v>#REF!</v>
      </c>
      <c r="G330" s="16" t="e">
        <f>#REF!</f>
        <v>#REF!</v>
      </c>
      <c r="H330" s="16" t="e">
        <f>#REF!</f>
        <v>#REF!</v>
      </c>
      <c r="I330" s="16" t="e">
        <f>#REF!</f>
        <v>#REF!</v>
      </c>
      <c r="J330" s="16" t="e">
        <f>#REF!</f>
        <v>#REF!</v>
      </c>
      <c r="K330" s="16" t="s">
        <v>744</v>
      </c>
      <c r="L330" s="16"/>
      <c r="M330" s="16"/>
      <c r="N330" s="16"/>
      <c r="O330" s="16"/>
      <c r="P330" s="21"/>
      <c r="Q330" s="21"/>
    </row>
    <row r="331" spans="1:17" ht="22.5" customHeight="1" thickTop="1" thickBot="1" x14ac:dyDescent="0.25">
      <c r="A331" s="16" t="e">
        <f>#REF!</f>
        <v>#REF!</v>
      </c>
      <c r="B331" s="16" t="e">
        <f>#REF!</f>
        <v>#REF!</v>
      </c>
      <c r="C331" s="16" t="e">
        <f>#REF!</f>
        <v>#REF!</v>
      </c>
      <c r="D331" s="16" t="e">
        <f>#REF!</f>
        <v>#REF!</v>
      </c>
      <c r="E331" s="16" t="e">
        <f>#REF!</f>
        <v>#REF!</v>
      </c>
      <c r="F331" s="16" t="e">
        <f>#REF!</f>
        <v>#REF!</v>
      </c>
      <c r="G331" s="16" t="e">
        <f>#REF!</f>
        <v>#REF!</v>
      </c>
      <c r="H331" s="16" t="e">
        <f>#REF!</f>
        <v>#REF!</v>
      </c>
      <c r="I331" s="16" t="e">
        <f>#REF!</f>
        <v>#REF!</v>
      </c>
      <c r="J331" s="16" t="e">
        <f>#REF!</f>
        <v>#REF!</v>
      </c>
      <c r="K331" s="16"/>
      <c r="L331" s="16"/>
      <c r="M331" s="16"/>
      <c r="N331" s="16"/>
      <c r="O331" s="16"/>
      <c r="P331" s="21"/>
      <c r="Q331" s="21"/>
    </row>
    <row r="332" spans="1:17" ht="22.5" customHeight="1" thickTop="1" thickBot="1" x14ac:dyDescent="0.25">
      <c r="A332" s="16" t="e">
        <f>#REF!</f>
        <v>#REF!</v>
      </c>
      <c r="B332" s="16" t="e">
        <f>#REF!</f>
        <v>#REF!</v>
      </c>
      <c r="C332" s="16" t="e">
        <f>#REF!</f>
        <v>#REF!</v>
      </c>
      <c r="D332" s="16" t="e">
        <f>#REF!</f>
        <v>#REF!</v>
      </c>
      <c r="E332" s="16" t="e">
        <f>#REF!</f>
        <v>#REF!</v>
      </c>
      <c r="F332" s="16" t="e">
        <f>#REF!</f>
        <v>#REF!</v>
      </c>
      <c r="G332" s="16" t="e">
        <f>#REF!</f>
        <v>#REF!</v>
      </c>
      <c r="H332" s="16" t="e">
        <f>#REF!</f>
        <v>#REF!</v>
      </c>
      <c r="I332" s="16" t="e">
        <f>#REF!</f>
        <v>#REF!</v>
      </c>
      <c r="J332" s="16" t="e">
        <f>#REF!</f>
        <v>#REF!</v>
      </c>
      <c r="K332" s="16" t="s">
        <v>744</v>
      </c>
      <c r="L332" s="16"/>
      <c r="M332" s="16"/>
      <c r="N332" s="16"/>
      <c r="O332" s="16"/>
      <c r="P332" s="21"/>
      <c r="Q332" s="21"/>
    </row>
    <row r="333" spans="1:17" ht="22.5" customHeight="1" thickTop="1" thickBot="1" x14ac:dyDescent="0.25">
      <c r="A333" s="16" t="e">
        <f>#REF!</f>
        <v>#REF!</v>
      </c>
      <c r="B333" s="16" t="e">
        <f>#REF!</f>
        <v>#REF!</v>
      </c>
      <c r="C333" s="16" t="e">
        <f>#REF!</f>
        <v>#REF!</v>
      </c>
      <c r="D333" s="16" t="e">
        <f>#REF!</f>
        <v>#REF!</v>
      </c>
      <c r="E333" s="16" t="e">
        <f>#REF!</f>
        <v>#REF!</v>
      </c>
      <c r="F333" s="16" t="e">
        <f>#REF!</f>
        <v>#REF!</v>
      </c>
      <c r="G333" s="16" t="e">
        <f>#REF!</f>
        <v>#REF!</v>
      </c>
      <c r="H333" s="16" t="e">
        <f>#REF!</f>
        <v>#REF!</v>
      </c>
      <c r="I333" s="16" t="e">
        <f>#REF!</f>
        <v>#REF!</v>
      </c>
      <c r="J333" s="16" t="e">
        <f>#REF!</f>
        <v>#REF!</v>
      </c>
      <c r="K333" s="16"/>
      <c r="L333" s="16"/>
      <c r="M333" s="16"/>
      <c r="N333" s="16"/>
      <c r="O333" s="16"/>
      <c r="P333" s="21"/>
      <c r="Q333" s="21"/>
    </row>
    <row r="334" spans="1:17" ht="22.5" customHeight="1" thickTop="1" thickBot="1" x14ac:dyDescent="0.25">
      <c r="A334" s="16" t="e">
        <f>#REF!</f>
        <v>#REF!</v>
      </c>
      <c r="B334" s="16" t="e">
        <f>#REF!</f>
        <v>#REF!</v>
      </c>
      <c r="C334" s="16" t="e">
        <f>#REF!</f>
        <v>#REF!</v>
      </c>
      <c r="D334" s="16" t="e">
        <f>#REF!</f>
        <v>#REF!</v>
      </c>
      <c r="E334" s="16" t="e">
        <f>#REF!</f>
        <v>#REF!</v>
      </c>
      <c r="F334" s="16" t="e">
        <f>#REF!</f>
        <v>#REF!</v>
      </c>
      <c r="G334" s="16" t="e">
        <f>#REF!</f>
        <v>#REF!</v>
      </c>
      <c r="H334" s="16" t="e">
        <f>#REF!</f>
        <v>#REF!</v>
      </c>
      <c r="I334" s="16" t="e">
        <f>#REF!</f>
        <v>#REF!</v>
      </c>
      <c r="J334" s="16" t="e">
        <f>#REF!</f>
        <v>#REF!</v>
      </c>
      <c r="K334" s="16" t="s">
        <v>744</v>
      </c>
      <c r="L334" s="16"/>
      <c r="M334" s="16"/>
      <c r="N334" s="16"/>
      <c r="O334" s="16"/>
      <c r="P334" s="21"/>
      <c r="Q334" s="21"/>
    </row>
    <row r="335" spans="1:17" ht="22.5" customHeight="1" thickTop="1" thickBot="1" x14ac:dyDescent="0.25">
      <c r="A335" s="16" t="e">
        <f>#REF!</f>
        <v>#REF!</v>
      </c>
      <c r="B335" s="16" t="e">
        <f>#REF!</f>
        <v>#REF!</v>
      </c>
      <c r="C335" s="16" t="e">
        <f>#REF!</f>
        <v>#REF!</v>
      </c>
      <c r="D335" s="16" t="e">
        <f>#REF!</f>
        <v>#REF!</v>
      </c>
      <c r="E335" s="16" t="e">
        <f>#REF!</f>
        <v>#REF!</v>
      </c>
      <c r="F335" s="16" t="e">
        <f>#REF!</f>
        <v>#REF!</v>
      </c>
      <c r="G335" s="16" t="e">
        <f>#REF!</f>
        <v>#REF!</v>
      </c>
      <c r="H335" s="16" t="e">
        <f>#REF!</f>
        <v>#REF!</v>
      </c>
      <c r="I335" s="16" t="e">
        <f>#REF!</f>
        <v>#REF!</v>
      </c>
      <c r="J335" s="16" t="e">
        <f>#REF!</f>
        <v>#REF!</v>
      </c>
      <c r="K335" s="16"/>
      <c r="L335" s="16"/>
      <c r="M335" s="16"/>
      <c r="N335" s="16"/>
      <c r="O335" s="16"/>
      <c r="P335" s="21"/>
      <c r="Q335" s="21"/>
    </row>
    <row r="336" spans="1:17" ht="22.5" customHeight="1" thickTop="1" thickBot="1" x14ac:dyDescent="0.25">
      <c r="A336" s="16" t="e">
        <f>#REF!</f>
        <v>#REF!</v>
      </c>
      <c r="B336" s="16" t="e">
        <f>#REF!</f>
        <v>#REF!</v>
      </c>
      <c r="C336" s="16" t="e">
        <f>#REF!</f>
        <v>#REF!</v>
      </c>
      <c r="D336" s="16" t="e">
        <f>#REF!</f>
        <v>#REF!</v>
      </c>
      <c r="E336" s="16" t="e">
        <f>#REF!</f>
        <v>#REF!</v>
      </c>
      <c r="F336" s="16" t="e">
        <f>#REF!</f>
        <v>#REF!</v>
      </c>
      <c r="G336" s="16" t="e">
        <f>#REF!</f>
        <v>#REF!</v>
      </c>
      <c r="H336" s="16" t="e">
        <f>#REF!</f>
        <v>#REF!</v>
      </c>
      <c r="I336" s="16" t="e">
        <f>#REF!</f>
        <v>#REF!</v>
      </c>
      <c r="J336" s="16" t="e">
        <f>#REF!</f>
        <v>#REF!</v>
      </c>
      <c r="K336" s="16" t="s">
        <v>744</v>
      </c>
      <c r="L336" s="16"/>
      <c r="M336" s="16"/>
      <c r="N336" s="16"/>
      <c r="O336" s="16"/>
      <c r="P336" s="21"/>
      <c r="Q336" s="21"/>
    </row>
    <row r="337" spans="1:17" ht="22.5" customHeight="1" thickTop="1" thickBot="1" x14ac:dyDescent="0.25">
      <c r="A337" s="16" t="e">
        <f>#REF!</f>
        <v>#REF!</v>
      </c>
      <c r="B337" s="16" t="e">
        <f>#REF!</f>
        <v>#REF!</v>
      </c>
      <c r="C337" s="16" t="e">
        <f>#REF!</f>
        <v>#REF!</v>
      </c>
      <c r="D337" s="16" t="e">
        <f>#REF!</f>
        <v>#REF!</v>
      </c>
      <c r="E337" s="16" t="e">
        <f>#REF!</f>
        <v>#REF!</v>
      </c>
      <c r="F337" s="16" t="e">
        <f>#REF!</f>
        <v>#REF!</v>
      </c>
      <c r="G337" s="16" t="e">
        <f>#REF!</f>
        <v>#REF!</v>
      </c>
      <c r="H337" s="16" t="e">
        <f>#REF!</f>
        <v>#REF!</v>
      </c>
      <c r="I337" s="16" t="e">
        <f>#REF!</f>
        <v>#REF!</v>
      </c>
      <c r="J337" s="16" t="e">
        <f>#REF!</f>
        <v>#REF!</v>
      </c>
      <c r="K337" s="16"/>
      <c r="L337" s="16"/>
      <c r="M337" s="16"/>
      <c r="N337" s="16"/>
      <c r="O337" s="16"/>
      <c r="P337" s="21"/>
      <c r="Q337" s="21"/>
    </row>
    <row r="338" spans="1:17" ht="22.5" customHeight="1" thickTop="1" thickBot="1" x14ac:dyDescent="0.25">
      <c r="A338" s="16" t="e">
        <f>#REF!</f>
        <v>#REF!</v>
      </c>
      <c r="B338" s="16" t="e">
        <f>#REF!</f>
        <v>#REF!</v>
      </c>
      <c r="C338" s="16" t="e">
        <f>#REF!</f>
        <v>#REF!</v>
      </c>
      <c r="D338" s="16" t="e">
        <f>#REF!</f>
        <v>#REF!</v>
      </c>
      <c r="E338" s="16" t="e">
        <f>#REF!</f>
        <v>#REF!</v>
      </c>
      <c r="F338" s="16" t="e">
        <f>#REF!</f>
        <v>#REF!</v>
      </c>
      <c r="G338" s="16" t="e">
        <f>#REF!</f>
        <v>#REF!</v>
      </c>
      <c r="H338" s="16" t="e">
        <f>#REF!</f>
        <v>#REF!</v>
      </c>
      <c r="I338" s="16" t="e">
        <f>#REF!</f>
        <v>#REF!</v>
      </c>
      <c r="J338" s="16" t="e">
        <f>#REF!</f>
        <v>#REF!</v>
      </c>
      <c r="K338" s="16" t="s">
        <v>744</v>
      </c>
      <c r="L338" s="16"/>
      <c r="M338" s="16"/>
      <c r="N338" s="16"/>
      <c r="O338" s="16"/>
      <c r="P338" s="21"/>
      <c r="Q338" s="21"/>
    </row>
    <row r="339" spans="1:17" ht="22.5" customHeight="1" thickTop="1" thickBot="1" x14ac:dyDescent="0.25">
      <c r="A339" s="16" t="e">
        <f>#REF!</f>
        <v>#REF!</v>
      </c>
      <c r="B339" s="16" t="e">
        <f>#REF!</f>
        <v>#REF!</v>
      </c>
      <c r="C339" s="16" t="e">
        <f>#REF!</f>
        <v>#REF!</v>
      </c>
      <c r="D339" s="16" t="e">
        <f>#REF!</f>
        <v>#REF!</v>
      </c>
      <c r="E339" s="16" t="e">
        <f>#REF!</f>
        <v>#REF!</v>
      </c>
      <c r="F339" s="16" t="e">
        <f>#REF!</f>
        <v>#REF!</v>
      </c>
      <c r="G339" s="16" t="e">
        <f>#REF!</f>
        <v>#REF!</v>
      </c>
      <c r="H339" s="16" t="e">
        <f>#REF!</f>
        <v>#REF!</v>
      </c>
      <c r="I339" s="16" t="e">
        <f>#REF!</f>
        <v>#REF!</v>
      </c>
      <c r="J339" s="16" t="e">
        <f>#REF!</f>
        <v>#REF!</v>
      </c>
      <c r="K339" s="16" t="s">
        <v>744</v>
      </c>
      <c r="L339" s="16"/>
      <c r="M339" s="16"/>
      <c r="N339" s="16"/>
      <c r="O339" s="16"/>
      <c r="P339" s="21"/>
      <c r="Q339" s="21"/>
    </row>
    <row r="340" spans="1:17" ht="22.5" customHeight="1" thickTop="1" thickBot="1" x14ac:dyDescent="0.25">
      <c r="A340" s="16" t="e">
        <f>#REF!</f>
        <v>#REF!</v>
      </c>
      <c r="B340" s="16" t="e">
        <f>#REF!</f>
        <v>#REF!</v>
      </c>
      <c r="C340" s="16" t="e">
        <f>#REF!</f>
        <v>#REF!</v>
      </c>
      <c r="D340" s="16" t="e">
        <f>#REF!</f>
        <v>#REF!</v>
      </c>
      <c r="E340" s="16" t="e">
        <f>#REF!</f>
        <v>#REF!</v>
      </c>
      <c r="F340" s="16" t="e">
        <f>#REF!</f>
        <v>#REF!</v>
      </c>
      <c r="G340" s="16" t="e">
        <f>#REF!</f>
        <v>#REF!</v>
      </c>
      <c r="H340" s="16" t="e">
        <f>#REF!</f>
        <v>#REF!</v>
      </c>
      <c r="I340" s="16" t="e">
        <f>#REF!</f>
        <v>#REF!</v>
      </c>
      <c r="J340" s="16" t="e">
        <f>#REF!</f>
        <v>#REF!</v>
      </c>
      <c r="K340" s="16" t="s">
        <v>744</v>
      </c>
      <c r="L340" s="16"/>
      <c r="M340" s="16"/>
      <c r="N340" s="16"/>
      <c r="O340" s="16"/>
      <c r="P340" s="21"/>
      <c r="Q340" s="21"/>
    </row>
    <row r="341" spans="1:17" ht="22.5" customHeight="1" thickTop="1" thickBot="1" x14ac:dyDescent="0.25">
      <c r="A341" s="16" t="e">
        <f>#REF!</f>
        <v>#REF!</v>
      </c>
      <c r="B341" s="16" t="e">
        <f>#REF!</f>
        <v>#REF!</v>
      </c>
      <c r="C341" s="16" t="e">
        <f>#REF!</f>
        <v>#REF!</v>
      </c>
      <c r="D341" s="16" t="e">
        <f>#REF!</f>
        <v>#REF!</v>
      </c>
      <c r="E341" s="16" t="e">
        <f>#REF!</f>
        <v>#REF!</v>
      </c>
      <c r="F341" s="16" t="e">
        <f>#REF!</f>
        <v>#REF!</v>
      </c>
      <c r="G341" s="16" t="e">
        <f>#REF!</f>
        <v>#REF!</v>
      </c>
      <c r="H341" s="16" t="e">
        <f>#REF!</f>
        <v>#REF!</v>
      </c>
      <c r="I341" s="16" t="e">
        <f>#REF!</f>
        <v>#REF!</v>
      </c>
      <c r="J341" s="16" t="e">
        <f>#REF!</f>
        <v>#REF!</v>
      </c>
      <c r="K341" s="16" t="s">
        <v>744</v>
      </c>
      <c r="L341" s="16"/>
      <c r="M341" s="16"/>
      <c r="N341" s="16"/>
      <c r="O341" s="16"/>
      <c r="P341" s="22"/>
      <c r="Q341" s="22"/>
    </row>
    <row r="342" spans="1:17" ht="22.5" customHeight="1" thickTop="1" thickBot="1" x14ac:dyDescent="0.25">
      <c r="A342" s="16" t="e">
        <f>#REF!</f>
        <v>#REF!</v>
      </c>
      <c r="B342" s="16" t="e">
        <f>#REF!</f>
        <v>#REF!</v>
      </c>
      <c r="C342" s="16" t="e">
        <f>#REF!</f>
        <v>#REF!</v>
      </c>
      <c r="D342" s="16" t="e">
        <f>#REF!</f>
        <v>#REF!</v>
      </c>
      <c r="E342" s="16" t="e">
        <f>#REF!</f>
        <v>#REF!</v>
      </c>
      <c r="F342" s="16" t="e">
        <f>#REF!</f>
        <v>#REF!</v>
      </c>
      <c r="G342" s="16" t="e">
        <f>#REF!</f>
        <v>#REF!</v>
      </c>
      <c r="H342" s="16" t="e">
        <f>#REF!</f>
        <v>#REF!</v>
      </c>
      <c r="I342" s="16" t="e">
        <f>#REF!</f>
        <v>#REF!</v>
      </c>
      <c r="J342" s="16" t="e">
        <f>#REF!</f>
        <v>#REF!</v>
      </c>
      <c r="K342" s="16" t="s">
        <v>744</v>
      </c>
      <c r="L342" s="16"/>
      <c r="M342" s="16"/>
      <c r="N342" s="16"/>
      <c r="O342" s="16"/>
      <c r="P342" s="21"/>
      <c r="Q342" s="21"/>
    </row>
    <row r="343" spans="1:17" ht="22.5" customHeight="1" thickTop="1" thickBot="1" x14ac:dyDescent="0.25">
      <c r="A343" s="16" t="e">
        <f>#REF!</f>
        <v>#REF!</v>
      </c>
      <c r="B343" s="16" t="e">
        <f>#REF!</f>
        <v>#REF!</v>
      </c>
      <c r="C343" s="16" t="e">
        <f>#REF!</f>
        <v>#REF!</v>
      </c>
      <c r="D343" s="16" t="e">
        <f>#REF!</f>
        <v>#REF!</v>
      </c>
      <c r="E343" s="16" t="e">
        <f>#REF!</f>
        <v>#REF!</v>
      </c>
      <c r="F343" s="16" t="e">
        <f>#REF!</f>
        <v>#REF!</v>
      </c>
      <c r="G343" s="16" t="e">
        <f>#REF!</f>
        <v>#REF!</v>
      </c>
      <c r="H343" s="16" t="e">
        <f>#REF!</f>
        <v>#REF!</v>
      </c>
      <c r="I343" s="16" t="e">
        <f>#REF!</f>
        <v>#REF!</v>
      </c>
      <c r="J343" s="16" t="e">
        <f>#REF!</f>
        <v>#REF!</v>
      </c>
      <c r="K343" s="16"/>
      <c r="L343" s="16"/>
      <c r="M343" s="16"/>
      <c r="N343" s="16"/>
      <c r="O343" s="16"/>
      <c r="P343" s="21"/>
      <c r="Q343" s="21"/>
    </row>
    <row r="344" spans="1:17" ht="22.5" customHeight="1" thickTop="1" thickBot="1" x14ac:dyDescent="0.25">
      <c r="A344" s="16" t="e">
        <f>#REF!</f>
        <v>#REF!</v>
      </c>
      <c r="B344" s="16" t="e">
        <f>#REF!</f>
        <v>#REF!</v>
      </c>
      <c r="C344" s="16" t="e">
        <f>#REF!</f>
        <v>#REF!</v>
      </c>
      <c r="D344" s="16" t="e">
        <f>#REF!</f>
        <v>#REF!</v>
      </c>
      <c r="E344" s="16" t="e">
        <f>#REF!</f>
        <v>#REF!</v>
      </c>
      <c r="F344" s="16" t="e">
        <f>#REF!</f>
        <v>#REF!</v>
      </c>
      <c r="G344" s="16" t="e">
        <f>#REF!</f>
        <v>#REF!</v>
      </c>
      <c r="H344" s="16" t="e">
        <f>#REF!</f>
        <v>#REF!</v>
      </c>
      <c r="I344" s="16" t="e">
        <f>#REF!</f>
        <v>#REF!</v>
      </c>
      <c r="J344" s="16" t="e">
        <f>#REF!</f>
        <v>#REF!</v>
      </c>
      <c r="K344" s="16" t="s">
        <v>744</v>
      </c>
      <c r="L344" s="16"/>
      <c r="M344" s="16"/>
      <c r="N344" s="16"/>
      <c r="O344" s="16"/>
      <c r="P344" s="21"/>
      <c r="Q344" s="21"/>
    </row>
    <row r="345" spans="1:17" ht="22.5" customHeight="1" thickTop="1" thickBot="1" x14ac:dyDescent="0.25">
      <c r="A345" s="16" t="e">
        <f>#REF!</f>
        <v>#REF!</v>
      </c>
      <c r="B345" s="16" t="e">
        <f>#REF!</f>
        <v>#REF!</v>
      </c>
      <c r="C345" s="16" t="e">
        <f>#REF!</f>
        <v>#REF!</v>
      </c>
      <c r="D345" s="16" t="e">
        <f>#REF!</f>
        <v>#REF!</v>
      </c>
      <c r="E345" s="16" t="e">
        <f>#REF!</f>
        <v>#REF!</v>
      </c>
      <c r="F345" s="16" t="e">
        <f>#REF!</f>
        <v>#REF!</v>
      </c>
      <c r="G345" s="16" t="e">
        <f>#REF!</f>
        <v>#REF!</v>
      </c>
      <c r="H345" s="16" t="e">
        <f>#REF!</f>
        <v>#REF!</v>
      </c>
      <c r="I345" s="16" t="e">
        <f>#REF!</f>
        <v>#REF!</v>
      </c>
      <c r="J345" s="16" t="e">
        <f>#REF!</f>
        <v>#REF!</v>
      </c>
      <c r="K345" s="16"/>
      <c r="L345" s="16"/>
      <c r="M345" s="16"/>
      <c r="N345" s="16"/>
      <c r="O345" s="16"/>
      <c r="P345" s="21"/>
      <c r="Q345" s="21"/>
    </row>
    <row r="346" spans="1:17" ht="22.5" customHeight="1" thickTop="1" thickBot="1" x14ac:dyDescent="0.25">
      <c r="A346" s="16" t="e">
        <f>#REF!</f>
        <v>#REF!</v>
      </c>
      <c r="B346" s="16" t="e">
        <f>#REF!</f>
        <v>#REF!</v>
      </c>
      <c r="C346" s="16" t="e">
        <f>#REF!</f>
        <v>#REF!</v>
      </c>
      <c r="D346" s="16" t="e">
        <f>#REF!</f>
        <v>#REF!</v>
      </c>
      <c r="E346" s="16" t="e">
        <f>#REF!</f>
        <v>#REF!</v>
      </c>
      <c r="F346" s="16" t="e">
        <f>#REF!</f>
        <v>#REF!</v>
      </c>
      <c r="G346" s="16" t="e">
        <f>#REF!</f>
        <v>#REF!</v>
      </c>
      <c r="H346" s="16" t="e">
        <f>#REF!</f>
        <v>#REF!</v>
      </c>
      <c r="I346" s="16" t="e">
        <f>#REF!</f>
        <v>#REF!</v>
      </c>
      <c r="J346" s="16" t="e">
        <f>#REF!</f>
        <v>#REF!</v>
      </c>
      <c r="K346" s="16" t="s">
        <v>744</v>
      </c>
      <c r="L346" s="16"/>
      <c r="M346" s="16"/>
      <c r="N346" s="16"/>
      <c r="O346" s="16"/>
      <c r="P346" s="21"/>
      <c r="Q346" s="21"/>
    </row>
    <row r="347" spans="1:17" ht="22.5" customHeight="1" thickTop="1" thickBot="1" x14ac:dyDescent="0.25">
      <c r="A347" s="16" t="e">
        <f>#REF!</f>
        <v>#REF!</v>
      </c>
      <c r="B347" s="16" t="e">
        <f>#REF!</f>
        <v>#REF!</v>
      </c>
      <c r="C347" s="16" t="e">
        <f>#REF!</f>
        <v>#REF!</v>
      </c>
      <c r="D347" s="16" t="e">
        <f>#REF!</f>
        <v>#REF!</v>
      </c>
      <c r="E347" s="16" t="e">
        <f>#REF!</f>
        <v>#REF!</v>
      </c>
      <c r="F347" s="16" t="e">
        <f>#REF!</f>
        <v>#REF!</v>
      </c>
      <c r="G347" s="16" t="e">
        <f>#REF!</f>
        <v>#REF!</v>
      </c>
      <c r="H347" s="16" t="e">
        <f>#REF!</f>
        <v>#REF!</v>
      </c>
      <c r="I347" s="16" t="e">
        <f>#REF!</f>
        <v>#REF!</v>
      </c>
      <c r="J347" s="16" t="e">
        <f>#REF!</f>
        <v>#REF!</v>
      </c>
      <c r="K347" s="16"/>
      <c r="L347" s="16"/>
      <c r="M347" s="16"/>
      <c r="N347" s="16"/>
      <c r="O347" s="16"/>
      <c r="P347" s="21"/>
      <c r="Q347" s="21"/>
    </row>
    <row r="348" spans="1:17" ht="22.5" customHeight="1" thickTop="1" thickBot="1" x14ac:dyDescent="0.25">
      <c r="A348" s="16" t="e">
        <f>#REF!</f>
        <v>#REF!</v>
      </c>
      <c r="B348" s="16" t="e">
        <f>#REF!</f>
        <v>#REF!</v>
      </c>
      <c r="C348" s="16" t="e">
        <f>#REF!</f>
        <v>#REF!</v>
      </c>
      <c r="D348" s="16" t="e">
        <f>#REF!</f>
        <v>#REF!</v>
      </c>
      <c r="E348" s="16" t="e">
        <f>#REF!</f>
        <v>#REF!</v>
      </c>
      <c r="F348" s="16" t="e">
        <f>#REF!</f>
        <v>#REF!</v>
      </c>
      <c r="G348" s="16" t="e">
        <f>#REF!</f>
        <v>#REF!</v>
      </c>
      <c r="H348" s="16" t="e">
        <f>#REF!</f>
        <v>#REF!</v>
      </c>
      <c r="I348" s="16" t="e">
        <f>#REF!</f>
        <v>#REF!</v>
      </c>
      <c r="J348" s="16" t="e">
        <f>#REF!</f>
        <v>#REF!</v>
      </c>
      <c r="K348" s="16" t="s">
        <v>744</v>
      </c>
      <c r="L348" s="16"/>
      <c r="M348" s="16"/>
      <c r="N348" s="16"/>
      <c r="O348" s="16"/>
      <c r="P348" s="27"/>
      <c r="Q348" s="28" t="s">
        <v>794</v>
      </c>
    </row>
    <row r="349" spans="1:17" ht="22.5" customHeight="1" thickTop="1" thickBot="1" x14ac:dyDescent="0.25">
      <c r="A349" s="16" t="e">
        <f>#REF!</f>
        <v>#REF!</v>
      </c>
      <c r="B349" s="16" t="e">
        <f>#REF!</f>
        <v>#REF!</v>
      </c>
      <c r="C349" s="16" t="e">
        <f>#REF!</f>
        <v>#REF!</v>
      </c>
      <c r="D349" s="16" t="e">
        <f>#REF!</f>
        <v>#REF!</v>
      </c>
      <c r="E349" s="16" t="e">
        <f>#REF!</f>
        <v>#REF!</v>
      </c>
      <c r="F349" s="16" t="e">
        <f>#REF!</f>
        <v>#REF!</v>
      </c>
      <c r="G349" s="16" t="e">
        <f>#REF!</f>
        <v>#REF!</v>
      </c>
      <c r="H349" s="16" t="e">
        <f>#REF!</f>
        <v>#REF!</v>
      </c>
      <c r="I349" s="16" t="e">
        <f>#REF!</f>
        <v>#REF!</v>
      </c>
      <c r="J349" s="16" t="e">
        <f>#REF!</f>
        <v>#REF!</v>
      </c>
      <c r="K349" s="16"/>
      <c r="L349" s="16"/>
      <c r="M349" s="16"/>
      <c r="N349" s="16"/>
      <c r="O349" s="16"/>
      <c r="P349" s="21"/>
      <c r="Q349" s="21"/>
    </row>
    <row r="350" spans="1:17" ht="22.5" customHeight="1" thickTop="1" thickBot="1" x14ac:dyDescent="0.25">
      <c r="A350" s="16" t="e">
        <f>#REF!</f>
        <v>#REF!</v>
      </c>
      <c r="B350" s="16" t="e">
        <f>#REF!</f>
        <v>#REF!</v>
      </c>
      <c r="C350" s="16" t="e">
        <f>#REF!</f>
        <v>#REF!</v>
      </c>
      <c r="D350" s="16" t="e">
        <f>#REF!</f>
        <v>#REF!</v>
      </c>
      <c r="E350" s="16" t="e">
        <f>#REF!</f>
        <v>#REF!</v>
      </c>
      <c r="F350" s="16" t="e">
        <f>#REF!</f>
        <v>#REF!</v>
      </c>
      <c r="G350" s="16" t="e">
        <f>#REF!</f>
        <v>#REF!</v>
      </c>
      <c r="H350" s="16" t="e">
        <f>#REF!</f>
        <v>#REF!</v>
      </c>
      <c r="I350" s="16" t="e">
        <f>#REF!</f>
        <v>#REF!</v>
      </c>
      <c r="J350" s="16" t="e">
        <f>#REF!</f>
        <v>#REF!</v>
      </c>
      <c r="K350" s="16" t="s">
        <v>744</v>
      </c>
      <c r="L350" s="16"/>
      <c r="M350" s="16"/>
      <c r="N350" s="16"/>
      <c r="O350" s="16"/>
      <c r="P350" s="27"/>
      <c r="Q350" s="28" t="s">
        <v>794</v>
      </c>
    </row>
    <row r="351" spans="1:17" ht="22.5" customHeight="1" thickTop="1" thickBot="1" x14ac:dyDescent="0.25">
      <c r="A351" s="16" t="e">
        <f>#REF!</f>
        <v>#REF!</v>
      </c>
      <c r="B351" s="16" t="e">
        <f>#REF!</f>
        <v>#REF!</v>
      </c>
      <c r="C351" s="16" t="e">
        <f>#REF!</f>
        <v>#REF!</v>
      </c>
      <c r="D351" s="16" t="e">
        <f>#REF!</f>
        <v>#REF!</v>
      </c>
      <c r="E351" s="16" t="e">
        <f>#REF!</f>
        <v>#REF!</v>
      </c>
      <c r="F351" s="16" t="e">
        <f>#REF!</f>
        <v>#REF!</v>
      </c>
      <c r="G351" s="16" t="e">
        <f>#REF!</f>
        <v>#REF!</v>
      </c>
      <c r="H351" s="16" t="e">
        <f>#REF!</f>
        <v>#REF!</v>
      </c>
      <c r="I351" s="16" t="e">
        <f>#REF!</f>
        <v>#REF!</v>
      </c>
      <c r="J351" s="16" t="e">
        <f>#REF!</f>
        <v>#REF!</v>
      </c>
      <c r="K351" s="16"/>
      <c r="L351" s="16"/>
      <c r="M351" s="16"/>
      <c r="N351" s="16"/>
      <c r="O351" s="16"/>
      <c r="P351" s="27"/>
      <c r="Q351" s="28" t="s">
        <v>794</v>
      </c>
    </row>
    <row r="352" spans="1:17" ht="22.5" customHeight="1" thickTop="1" thickBot="1" x14ac:dyDescent="0.25">
      <c r="A352" s="16" t="e">
        <f>#REF!</f>
        <v>#REF!</v>
      </c>
      <c r="B352" s="16" t="e">
        <f>#REF!</f>
        <v>#REF!</v>
      </c>
      <c r="C352" s="16" t="e">
        <f>#REF!</f>
        <v>#REF!</v>
      </c>
      <c r="D352" s="16" t="e">
        <f>#REF!</f>
        <v>#REF!</v>
      </c>
      <c r="E352" s="16" t="e">
        <f>#REF!</f>
        <v>#REF!</v>
      </c>
      <c r="F352" s="16" t="e">
        <f>#REF!</f>
        <v>#REF!</v>
      </c>
      <c r="G352" s="16" t="e">
        <f>#REF!</f>
        <v>#REF!</v>
      </c>
      <c r="H352" s="16" t="e">
        <f>#REF!</f>
        <v>#REF!</v>
      </c>
      <c r="I352" s="16" t="e">
        <f>#REF!</f>
        <v>#REF!</v>
      </c>
      <c r="J352" s="16" t="e">
        <f>#REF!</f>
        <v>#REF!</v>
      </c>
      <c r="K352" s="16" t="s">
        <v>744</v>
      </c>
      <c r="L352" s="16"/>
      <c r="M352" s="16"/>
      <c r="N352" s="16"/>
      <c r="O352" s="16"/>
      <c r="P352" s="27"/>
      <c r="Q352" s="28" t="s">
        <v>794</v>
      </c>
    </row>
    <row r="353" spans="1:17" ht="22.5" customHeight="1" thickTop="1" thickBot="1" x14ac:dyDescent="0.25">
      <c r="A353" s="16" t="e">
        <f>#REF!</f>
        <v>#REF!</v>
      </c>
      <c r="B353" s="16" t="e">
        <f>#REF!</f>
        <v>#REF!</v>
      </c>
      <c r="C353" s="16" t="e">
        <f>#REF!</f>
        <v>#REF!</v>
      </c>
      <c r="D353" s="16" t="e">
        <f>#REF!</f>
        <v>#REF!</v>
      </c>
      <c r="E353" s="16" t="e">
        <f>#REF!</f>
        <v>#REF!</v>
      </c>
      <c r="F353" s="16" t="e">
        <f>#REF!</f>
        <v>#REF!</v>
      </c>
      <c r="G353" s="16" t="e">
        <f>#REF!</f>
        <v>#REF!</v>
      </c>
      <c r="H353" s="16" t="e">
        <f>#REF!</f>
        <v>#REF!</v>
      </c>
      <c r="I353" s="16" t="e">
        <f>#REF!</f>
        <v>#REF!</v>
      </c>
      <c r="J353" s="16" t="e">
        <f>#REF!</f>
        <v>#REF!</v>
      </c>
      <c r="K353" s="16"/>
      <c r="L353" s="16"/>
      <c r="M353" s="16"/>
      <c r="N353" s="16"/>
      <c r="O353" s="16"/>
      <c r="P353" s="27"/>
      <c r="Q353" s="28" t="s">
        <v>794</v>
      </c>
    </row>
    <row r="354" spans="1:17" ht="22.5" customHeight="1" thickTop="1" thickBot="1" x14ac:dyDescent="0.25">
      <c r="A354" s="16" t="e">
        <f>#REF!</f>
        <v>#REF!</v>
      </c>
      <c r="B354" s="16" t="e">
        <f>#REF!</f>
        <v>#REF!</v>
      </c>
      <c r="C354" s="16" t="e">
        <f>#REF!</f>
        <v>#REF!</v>
      </c>
      <c r="D354" s="16" t="e">
        <f>#REF!</f>
        <v>#REF!</v>
      </c>
      <c r="E354" s="16" t="e">
        <f>#REF!</f>
        <v>#REF!</v>
      </c>
      <c r="F354" s="16" t="e">
        <f>#REF!</f>
        <v>#REF!</v>
      </c>
      <c r="G354" s="16" t="e">
        <f>#REF!</f>
        <v>#REF!</v>
      </c>
      <c r="H354" s="16" t="e">
        <f>#REF!</f>
        <v>#REF!</v>
      </c>
      <c r="I354" s="16" t="e">
        <f>#REF!</f>
        <v>#REF!</v>
      </c>
      <c r="J354" s="16" t="e">
        <f>#REF!</f>
        <v>#REF!</v>
      </c>
      <c r="K354" s="16" t="s">
        <v>744</v>
      </c>
      <c r="L354" s="16"/>
      <c r="M354" s="16"/>
      <c r="N354" s="16"/>
      <c r="O354" s="16"/>
      <c r="P354" s="27"/>
      <c r="Q354" s="28" t="s">
        <v>794</v>
      </c>
    </row>
    <row r="355" spans="1:17" ht="22.5" customHeight="1" thickTop="1" thickBot="1" x14ac:dyDescent="0.25">
      <c r="A355" s="16" t="e">
        <f>#REF!</f>
        <v>#REF!</v>
      </c>
      <c r="B355" s="16" t="e">
        <f>#REF!</f>
        <v>#REF!</v>
      </c>
      <c r="C355" s="16" t="e">
        <f>#REF!</f>
        <v>#REF!</v>
      </c>
      <c r="D355" s="16" t="e">
        <f>#REF!</f>
        <v>#REF!</v>
      </c>
      <c r="E355" s="16" t="e">
        <f>#REF!</f>
        <v>#REF!</v>
      </c>
      <c r="F355" s="16" t="e">
        <f>#REF!</f>
        <v>#REF!</v>
      </c>
      <c r="G355" s="16" t="e">
        <f>#REF!</f>
        <v>#REF!</v>
      </c>
      <c r="H355" s="16" t="e">
        <f>#REF!</f>
        <v>#REF!</v>
      </c>
      <c r="I355" s="16" t="e">
        <f>#REF!</f>
        <v>#REF!</v>
      </c>
      <c r="J355" s="16" t="e">
        <f>#REF!</f>
        <v>#REF!</v>
      </c>
      <c r="K355" s="16"/>
      <c r="L355" s="16"/>
      <c r="M355" s="16"/>
      <c r="N355" s="16"/>
      <c r="O355" s="16"/>
      <c r="P355" s="27"/>
      <c r="Q355" s="28" t="s">
        <v>794</v>
      </c>
    </row>
    <row r="356" spans="1:17" ht="22.5" customHeight="1" thickTop="1" thickBot="1" x14ac:dyDescent="0.25">
      <c r="A356" s="16" t="e">
        <f>#REF!</f>
        <v>#REF!</v>
      </c>
      <c r="B356" s="16" t="e">
        <f>#REF!</f>
        <v>#REF!</v>
      </c>
      <c r="C356" s="16" t="e">
        <f>#REF!</f>
        <v>#REF!</v>
      </c>
      <c r="D356" s="16" t="e">
        <f>#REF!</f>
        <v>#REF!</v>
      </c>
      <c r="E356" s="16" t="e">
        <f>#REF!</f>
        <v>#REF!</v>
      </c>
      <c r="F356" s="16" t="e">
        <f>#REF!</f>
        <v>#REF!</v>
      </c>
      <c r="G356" s="16" t="e">
        <f>#REF!</f>
        <v>#REF!</v>
      </c>
      <c r="H356" s="16" t="e">
        <f>#REF!</f>
        <v>#REF!</v>
      </c>
      <c r="I356" s="16" t="e">
        <f>#REF!</f>
        <v>#REF!</v>
      </c>
      <c r="J356" s="16" t="e">
        <f>#REF!</f>
        <v>#REF!</v>
      </c>
      <c r="K356" s="16" t="s">
        <v>744</v>
      </c>
      <c r="L356" s="16"/>
      <c r="M356" s="16"/>
      <c r="N356" s="16"/>
      <c r="O356" s="16"/>
      <c r="P356" s="27"/>
      <c r="Q356" s="28" t="s">
        <v>794</v>
      </c>
    </row>
    <row r="357" spans="1:17" ht="22.5" customHeight="1" thickTop="1" thickBot="1" x14ac:dyDescent="0.25">
      <c r="A357" s="16" t="e">
        <f>#REF!</f>
        <v>#REF!</v>
      </c>
      <c r="B357" s="16" t="e">
        <f>#REF!</f>
        <v>#REF!</v>
      </c>
      <c r="C357" s="16" t="e">
        <f>#REF!</f>
        <v>#REF!</v>
      </c>
      <c r="D357" s="16" t="e">
        <f>#REF!</f>
        <v>#REF!</v>
      </c>
      <c r="E357" s="16" t="e">
        <f>#REF!</f>
        <v>#REF!</v>
      </c>
      <c r="F357" s="16" t="e">
        <f>#REF!</f>
        <v>#REF!</v>
      </c>
      <c r="G357" s="16" t="e">
        <f>#REF!</f>
        <v>#REF!</v>
      </c>
      <c r="H357" s="16" t="e">
        <f>#REF!</f>
        <v>#REF!</v>
      </c>
      <c r="I357" s="16" t="e">
        <f>#REF!</f>
        <v>#REF!</v>
      </c>
      <c r="J357" s="16" t="e">
        <f>#REF!</f>
        <v>#REF!</v>
      </c>
      <c r="K357" s="16" t="s">
        <v>744</v>
      </c>
      <c r="L357" s="16"/>
      <c r="M357" s="16"/>
      <c r="N357" s="16"/>
      <c r="O357" s="16"/>
      <c r="P357" s="27"/>
      <c r="Q357" s="28" t="s">
        <v>794</v>
      </c>
    </row>
    <row r="358" spans="1:17" ht="22.5" customHeight="1" thickTop="1" thickBot="1" x14ac:dyDescent="0.25">
      <c r="A358" s="16" t="e">
        <f>#REF!</f>
        <v>#REF!</v>
      </c>
      <c r="B358" s="16" t="e">
        <f>#REF!</f>
        <v>#REF!</v>
      </c>
      <c r="C358" s="16" t="e">
        <f>#REF!</f>
        <v>#REF!</v>
      </c>
      <c r="D358" s="16" t="e">
        <f>#REF!</f>
        <v>#REF!</v>
      </c>
      <c r="E358" s="16" t="e">
        <f>#REF!</f>
        <v>#REF!</v>
      </c>
      <c r="F358" s="16" t="e">
        <f>#REF!</f>
        <v>#REF!</v>
      </c>
      <c r="G358" s="16" t="e">
        <f>#REF!</f>
        <v>#REF!</v>
      </c>
      <c r="H358" s="16" t="e">
        <f>#REF!</f>
        <v>#REF!</v>
      </c>
      <c r="I358" s="16" t="e">
        <f>#REF!</f>
        <v>#REF!</v>
      </c>
      <c r="J358" s="16" t="e">
        <f>#REF!</f>
        <v>#REF!</v>
      </c>
      <c r="K358" s="16"/>
      <c r="L358" s="16"/>
      <c r="M358" s="16"/>
      <c r="N358" s="16"/>
      <c r="O358" s="16"/>
      <c r="P358" s="27"/>
      <c r="Q358" s="28" t="s">
        <v>794</v>
      </c>
    </row>
    <row r="359" spans="1:17" ht="22.5" customHeight="1" thickTop="1" thickBot="1" x14ac:dyDescent="0.25">
      <c r="A359" s="16" t="e">
        <f>#REF!</f>
        <v>#REF!</v>
      </c>
      <c r="B359" s="16" t="e">
        <f>#REF!</f>
        <v>#REF!</v>
      </c>
      <c r="C359" s="16" t="e">
        <f>#REF!</f>
        <v>#REF!</v>
      </c>
      <c r="D359" s="16" t="e">
        <f>#REF!</f>
        <v>#REF!</v>
      </c>
      <c r="E359" s="16" t="e">
        <f>#REF!</f>
        <v>#REF!</v>
      </c>
      <c r="F359" s="16" t="e">
        <f>#REF!</f>
        <v>#REF!</v>
      </c>
      <c r="G359" s="16" t="e">
        <f>#REF!</f>
        <v>#REF!</v>
      </c>
      <c r="H359" s="16" t="e">
        <f>#REF!</f>
        <v>#REF!</v>
      </c>
      <c r="I359" s="16" t="e">
        <f>#REF!</f>
        <v>#REF!</v>
      </c>
      <c r="J359" s="16" t="e">
        <f>#REF!</f>
        <v>#REF!</v>
      </c>
      <c r="K359" s="16" t="s">
        <v>744</v>
      </c>
      <c r="L359" s="16"/>
      <c r="M359" s="16"/>
      <c r="N359" s="16"/>
      <c r="O359" s="16"/>
      <c r="P359" s="27"/>
      <c r="Q359" s="28" t="s">
        <v>794</v>
      </c>
    </row>
    <row r="360" spans="1:17" ht="22.5" customHeight="1" thickTop="1" thickBot="1" x14ac:dyDescent="0.25">
      <c r="A360" s="16" t="e">
        <f>#REF!</f>
        <v>#REF!</v>
      </c>
      <c r="B360" s="16" t="e">
        <f>#REF!</f>
        <v>#REF!</v>
      </c>
      <c r="C360" s="16" t="e">
        <f>#REF!</f>
        <v>#REF!</v>
      </c>
      <c r="D360" s="16" t="e">
        <f>#REF!</f>
        <v>#REF!</v>
      </c>
      <c r="E360" s="16" t="e">
        <f>#REF!</f>
        <v>#REF!</v>
      </c>
      <c r="F360" s="16" t="e">
        <f>#REF!</f>
        <v>#REF!</v>
      </c>
      <c r="G360" s="16" t="e">
        <f>#REF!</f>
        <v>#REF!</v>
      </c>
      <c r="H360" s="16" t="e">
        <f>#REF!</f>
        <v>#REF!</v>
      </c>
      <c r="I360" s="16" t="e">
        <f>#REF!</f>
        <v>#REF!</v>
      </c>
      <c r="J360" s="16" t="e">
        <f>#REF!</f>
        <v>#REF!</v>
      </c>
      <c r="K360" s="16" t="s">
        <v>744</v>
      </c>
      <c r="L360" s="16"/>
      <c r="M360" s="16"/>
      <c r="N360" s="16"/>
      <c r="O360" s="16"/>
      <c r="P360" s="17"/>
      <c r="Q360" s="26"/>
    </row>
    <row r="361" spans="1:17" ht="22.5" customHeight="1" thickTop="1" thickBot="1" x14ac:dyDescent="0.25">
      <c r="A361" s="16" t="e">
        <f>#REF!</f>
        <v>#REF!</v>
      </c>
      <c r="B361" s="16" t="e">
        <f>#REF!</f>
        <v>#REF!</v>
      </c>
      <c r="C361" s="16" t="e">
        <f>#REF!</f>
        <v>#REF!</v>
      </c>
      <c r="D361" s="16" t="e">
        <f>#REF!</f>
        <v>#REF!</v>
      </c>
      <c r="E361" s="16" t="e">
        <f>#REF!</f>
        <v>#REF!</v>
      </c>
      <c r="F361" s="16" t="e">
        <f>#REF!</f>
        <v>#REF!</v>
      </c>
      <c r="G361" s="16" t="e">
        <f>#REF!</f>
        <v>#REF!</v>
      </c>
      <c r="H361" s="16" t="e">
        <f>#REF!</f>
        <v>#REF!</v>
      </c>
      <c r="I361" s="16" t="e">
        <f>#REF!</f>
        <v>#REF!</v>
      </c>
      <c r="J361" s="16" t="e">
        <f>#REF!</f>
        <v>#REF!</v>
      </c>
      <c r="K361" s="16"/>
      <c r="L361" s="16"/>
      <c r="M361" s="16"/>
      <c r="N361" s="16"/>
      <c r="O361" s="16"/>
      <c r="P361" s="17"/>
      <c r="Q361" s="26"/>
    </row>
    <row r="362" spans="1:17" ht="22.5" customHeight="1" thickTop="1" thickBot="1" x14ac:dyDescent="0.25">
      <c r="A362" s="16" t="e">
        <f>#REF!</f>
        <v>#REF!</v>
      </c>
      <c r="B362" s="16" t="e">
        <f>#REF!</f>
        <v>#REF!</v>
      </c>
      <c r="C362" s="16" t="e">
        <f>#REF!</f>
        <v>#REF!</v>
      </c>
      <c r="D362" s="16" t="e">
        <f>#REF!</f>
        <v>#REF!</v>
      </c>
      <c r="E362" s="16" t="e">
        <f>#REF!</f>
        <v>#REF!</v>
      </c>
      <c r="F362" s="16" t="e">
        <f>#REF!</f>
        <v>#REF!</v>
      </c>
      <c r="G362" s="16" t="e">
        <f>#REF!</f>
        <v>#REF!</v>
      </c>
      <c r="H362" s="16" t="e">
        <f>#REF!</f>
        <v>#REF!</v>
      </c>
      <c r="I362" s="16" t="e">
        <f>#REF!</f>
        <v>#REF!</v>
      </c>
      <c r="J362" s="16" t="e">
        <f>#REF!</f>
        <v>#REF!</v>
      </c>
      <c r="K362" s="16" t="s">
        <v>744</v>
      </c>
      <c r="L362" s="16"/>
      <c r="M362" s="16"/>
      <c r="N362" s="16"/>
      <c r="O362" s="16"/>
      <c r="P362" s="17"/>
      <c r="Q362" s="26"/>
    </row>
    <row r="363" spans="1:17" ht="22.5" customHeight="1" thickTop="1" thickBot="1" x14ac:dyDescent="0.25">
      <c r="A363" s="16" t="e">
        <f>#REF!</f>
        <v>#REF!</v>
      </c>
      <c r="B363" s="16" t="e">
        <f>#REF!</f>
        <v>#REF!</v>
      </c>
      <c r="C363" s="16" t="e">
        <f>#REF!</f>
        <v>#REF!</v>
      </c>
      <c r="D363" s="16" t="e">
        <f>#REF!</f>
        <v>#REF!</v>
      </c>
      <c r="E363" s="16" t="e">
        <f>#REF!</f>
        <v>#REF!</v>
      </c>
      <c r="F363" s="16" t="e">
        <f>#REF!</f>
        <v>#REF!</v>
      </c>
      <c r="G363" s="16" t="e">
        <f>#REF!</f>
        <v>#REF!</v>
      </c>
      <c r="H363" s="16" t="e">
        <f>#REF!</f>
        <v>#REF!</v>
      </c>
      <c r="I363" s="16" t="e">
        <f>#REF!</f>
        <v>#REF!</v>
      </c>
      <c r="J363" s="16" t="e">
        <f>#REF!</f>
        <v>#REF!</v>
      </c>
      <c r="K363" s="16"/>
      <c r="L363" s="16"/>
      <c r="M363" s="16"/>
      <c r="N363" s="16"/>
      <c r="O363" s="16"/>
      <c r="P363" s="17"/>
      <c r="Q363" s="26"/>
    </row>
    <row r="364" spans="1:17" ht="22.5" customHeight="1" thickTop="1" thickBot="1" x14ac:dyDescent="0.25">
      <c r="A364" s="16" t="e">
        <f>#REF!</f>
        <v>#REF!</v>
      </c>
      <c r="B364" s="16" t="e">
        <f>#REF!</f>
        <v>#REF!</v>
      </c>
      <c r="C364" s="16" t="e">
        <f>#REF!</f>
        <v>#REF!</v>
      </c>
      <c r="D364" s="16" t="e">
        <f>#REF!</f>
        <v>#REF!</v>
      </c>
      <c r="E364" s="16" t="e">
        <f>#REF!</f>
        <v>#REF!</v>
      </c>
      <c r="F364" s="16" t="e">
        <f>#REF!</f>
        <v>#REF!</v>
      </c>
      <c r="G364" s="16" t="e">
        <f>#REF!</f>
        <v>#REF!</v>
      </c>
      <c r="H364" s="16" t="e">
        <f>#REF!</f>
        <v>#REF!</v>
      </c>
      <c r="I364" s="16" t="e">
        <f>#REF!</f>
        <v>#REF!</v>
      </c>
      <c r="J364" s="16" t="e">
        <f>#REF!</f>
        <v>#REF!</v>
      </c>
      <c r="K364" s="16" t="s">
        <v>744</v>
      </c>
      <c r="L364" s="16"/>
      <c r="M364" s="16"/>
      <c r="N364" s="16"/>
      <c r="O364" s="16"/>
      <c r="P364" s="17"/>
      <c r="Q364" s="26"/>
    </row>
    <row r="365" spans="1:17" ht="22.5" customHeight="1" thickTop="1" thickBot="1" x14ac:dyDescent="0.25">
      <c r="A365" s="16" t="e">
        <f>#REF!</f>
        <v>#REF!</v>
      </c>
      <c r="B365" s="16" t="e">
        <f>#REF!</f>
        <v>#REF!</v>
      </c>
      <c r="C365" s="16" t="e">
        <f>#REF!</f>
        <v>#REF!</v>
      </c>
      <c r="D365" s="16" t="e">
        <f>#REF!</f>
        <v>#REF!</v>
      </c>
      <c r="E365" s="16" t="e">
        <f>#REF!</f>
        <v>#REF!</v>
      </c>
      <c r="F365" s="16" t="e">
        <f>#REF!</f>
        <v>#REF!</v>
      </c>
      <c r="G365" s="16" t="e">
        <f>#REF!</f>
        <v>#REF!</v>
      </c>
      <c r="H365" s="16" t="e">
        <f>#REF!</f>
        <v>#REF!</v>
      </c>
      <c r="I365" s="16" t="e">
        <f>#REF!</f>
        <v>#REF!</v>
      </c>
      <c r="J365" s="16" t="e">
        <f>#REF!</f>
        <v>#REF!</v>
      </c>
      <c r="K365" s="16"/>
      <c r="L365" s="16"/>
      <c r="M365" s="16"/>
      <c r="N365" s="16"/>
      <c r="O365" s="16"/>
      <c r="P365" s="17"/>
      <c r="Q365" s="26"/>
    </row>
    <row r="366" spans="1:17" ht="22.5" customHeight="1" thickTop="1" thickBot="1" x14ac:dyDescent="0.25">
      <c r="A366" s="16" t="e">
        <f>#REF!</f>
        <v>#REF!</v>
      </c>
      <c r="B366" s="16" t="e">
        <f>#REF!</f>
        <v>#REF!</v>
      </c>
      <c r="C366" s="16" t="e">
        <f>#REF!</f>
        <v>#REF!</v>
      </c>
      <c r="D366" s="16" t="e">
        <f>#REF!</f>
        <v>#REF!</v>
      </c>
      <c r="E366" s="16" t="e">
        <f>#REF!</f>
        <v>#REF!</v>
      </c>
      <c r="F366" s="16" t="e">
        <f>#REF!</f>
        <v>#REF!</v>
      </c>
      <c r="G366" s="16" t="e">
        <f>#REF!</f>
        <v>#REF!</v>
      </c>
      <c r="H366" s="16" t="e">
        <f>#REF!</f>
        <v>#REF!</v>
      </c>
      <c r="I366" s="16" t="e">
        <f>#REF!</f>
        <v>#REF!</v>
      </c>
      <c r="J366" s="16" t="e">
        <f>#REF!</f>
        <v>#REF!</v>
      </c>
      <c r="K366" s="16" t="s">
        <v>744</v>
      </c>
      <c r="L366" s="16"/>
      <c r="M366" s="16"/>
      <c r="N366" s="16"/>
      <c r="O366" s="16"/>
      <c r="P366" s="17"/>
      <c r="Q366" s="26"/>
    </row>
    <row r="367" spans="1:17" ht="22.5" customHeight="1" thickTop="1" thickBot="1" x14ac:dyDescent="0.25">
      <c r="A367" s="16" t="e">
        <f>#REF!</f>
        <v>#REF!</v>
      </c>
      <c r="B367" s="16" t="e">
        <f>#REF!</f>
        <v>#REF!</v>
      </c>
      <c r="C367" s="16" t="e">
        <f>#REF!</f>
        <v>#REF!</v>
      </c>
      <c r="D367" s="16" t="e">
        <f>#REF!</f>
        <v>#REF!</v>
      </c>
      <c r="E367" s="16" t="e">
        <f>#REF!</f>
        <v>#REF!</v>
      </c>
      <c r="F367" s="16" t="e">
        <f>#REF!</f>
        <v>#REF!</v>
      </c>
      <c r="G367" s="16" t="e">
        <f>#REF!</f>
        <v>#REF!</v>
      </c>
      <c r="H367" s="16" t="e">
        <f>#REF!</f>
        <v>#REF!</v>
      </c>
      <c r="I367" s="16" t="e">
        <f>#REF!</f>
        <v>#REF!</v>
      </c>
      <c r="J367" s="16" t="e">
        <f>#REF!</f>
        <v>#REF!</v>
      </c>
      <c r="K367" s="16"/>
      <c r="L367" s="16"/>
      <c r="M367" s="16"/>
      <c r="N367" s="16"/>
      <c r="O367" s="16"/>
      <c r="P367" s="17"/>
      <c r="Q367" s="26"/>
    </row>
    <row r="368" spans="1:17" ht="22.5" customHeight="1" thickTop="1" thickBot="1" x14ac:dyDescent="0.25">
      <c r="A368" s="16" t="e">
        <f>#REF!</f>
        <v>#REF!</v>
      </c>
      <c r="B368" s="16" t="e">
        <f>#REF!</f>
        <v>#REF!</v>
      </c>
      <c r="C368" s="16" t="e">
        <f>#REF!</f>
        <v>#REF!</v>
      </c>
      <c r="D368" s="16" t="e">
        <f>#REF!</f>
        <v>#REF!</v>
      </c>
      <c r="E368" s="16" t="e">
        <f>#REF!</f>
        <v>#REF!</v>
      </c>
      <c r="F368" s="16" t="e">
        <f>#REF!</f>
        <v>#REF!</v>
      </c>
      <c r="G368" s="16" t="e">
        <f>#REF!</f>
        <v>#REF!</v>
      </c>
      <c r="H368" s="16" t="e">
        <f>#REF!</f>
        <v>#REF!</v>
      </c>
      <c r="I368" s="16" t="e">
        <f>#REF!</f>
        <v>#REF!</v>
      </c>
      <c r="J368" s="16" t="e">
        <f>#REF!</f>
        <v>#REF!</v>
      </c>
      <c r="K368" s="16" t="s">
        <v>744</v>
      </c>
      <c r="L368" s="16"/>
      <c r="M368" s="16"/>
      <c r="N368" s="16"/>
      <c r="O368" s="16"/>
      <c r="P368" s="17"/>
      <c r="Q368" s="26"/>
    </row>
    <row r="369" spans="1:17" ht="22.5" customHeight="1" thickTop="1" thickBot="1" x14ac:dyDescent="0.25">
      <c r="A369" s="16" t="e">
        <f>#REF!</f>
        <v>#REF!</v>
      </c>
      <c r="B369" s="16" t="e">
        <f>#REF!</f>
        <v>#REF!</v>
      </c>
      <c r="C369" s="16" t="e">
        <f>#REF!</f>
        <v>#REF!</v>
      </c>
      <c r="D369" s="16" t="e">
        <f>#REF!</f>
        <v>#REF!</v>
      </c>
      <c r="E369" s="16" t="e">
        <f>#REF!</f>
        <v>#REF!</v>
      </c>
      <c r="F369" s="16" t="e">
        <f>#REF!</f>
        <v>#REF!</v>
      </c>
      <c r="G369" s="16" t="e">
        <f>#REF!</f>
        <v>#REF!</v>
      </c>
      <c r="H369" s="16" t="e">
        <f>#REF!</f>
        <v>#REF!</v>
      </c>
      <c r="I369" s="16" t="e">
        <f>#REF!</f>
        <v>#REF!</v>
      </c>
      <c r="J369" s="16" t="e">
        <f>#REF!</f>
        <v>#REF!</v>
      </c>
      <c r="K369" s="16"/>
      <c r="L369" s="16"/>
      <c r="M369" s="16"/>
      <c r="N369" s="16"/>
      <c r="O369" s="16"/>
      <c r="P369" s="17"/>
      <c r="Q369" s="26"/>
    </row>
    <row r="370" spans="1:17" ht="22.5" customHeight="1" thickTop="1" thickBot="1" x14ac:dyDescent="0.25">
      <c r="A370" s="16" t="e">
        <f>#REF!</f>
        <v>#REF!</v>
      </c>
      <c r="B370" s="16" t="e">
        <f>#REF!</f>
        <v>#REF!</v>
      </c>
      <c r="C370" s="16" t="e">
        <f>#REF!</f>
        <v>#REF!</v>
      </c>
      <c r="D370" s="16" t="e">
        <f>#REF!</f>
        <v>#REF!</v>
      </c>
      <c r="E370" s="16" t="e">
        <f>#REF!</f>
        <v>#REF!</v>
      </c>
      <c r="F370" s="16" t="e">
        <f>#REF!</f>
        <v>#REF!</v>
      </c>
      <c r="G370" s="16" t="e">
        <f>#REF!</f>
        <v>#REF!</v>
      </c>
      <c r="H370" s="16" t="e">
        <f>#REF!</f>
        <v>#REF!</v>
      </c>
      <c r="I370" s="16" t="e">
        <f>#REF!</f>
        <v>#REF!</v>
      </c>
      <c r="J370" s="16" t="e">
        <f>#REF!</f>
        <v>#REF!</v>
      </c>
      <c r="K370" s="16" t="s">
        <v>744</v>
      </c>
      <c r="L370" s="16"/>
      <c r="M370" s="16"/>
      <c r="N370" s="16"/>
      <c r="O370" s="16"/>
      <c r="P370" s="17"/>
      <c r="Q370" s="26"/>
    </row>
    <row r="371" spans="1:17" ht="22.5" customHeight="1" thickTop="1" thickBot="1" x14ac:dyDescent="0.25">
      <c r="A371" s="16" t="e">
        <f>#REF!</f>
        <v>#REF!</v>
      </c>
      <c r="B371" s="16" t="e">
        <f>#REF!</f>
        <v>#REF!</v>
      </c>
      <c r="C371" s="16" t="e">
        <f>#REF!</f>
        <v>#REF!</v>
      </c>
      <c r="D371" s="16" t="e">
        <f>#REF!</f>
        <v>#REF!</v>
      </c>
      <c r="E371" s="16" t="e">
        <f>#REF!</f>
        <v>#REF!</v>
      </c>
      <c r="F371" s="16" t="e">
        <f>#REF!</f>
        <v>#REF!</v>
      </c>
      <c r="G371" s="16" t="e">
        <f>#REF!</f>
        <v>#REF!</v>
      </c>
      <c r="H371" s="16" t="e">
        <f>#REF!</f>
        <v>#REF!</v>
      </c>
      <c r="I371" s="16" t="e">
        <f>#REF!</f>
        <v>#REF!</v>
      </c>
      <c r="J371" s="16" t="e">
        <f>#REF!</f>
        <v>#REF!</v>
      </c>
      <c r="K371" s="16" t="s">
        <v>744</v>
      </c>
      <c r="L371" s="16"/>
      <c r="M371" s="16"/>
      <c r="N371" s="16"/>
      <c r="O371" s="16"/>
      <c r="P371" s="17"/>
      <c r="Q371" s="26"/>
    </row>
    <row r="372" spans="1:17" ht="22.5" customHeight="1" thickTop="1" thickBot="1" x14ac:dyDescent="0.25">
      <c r="A372" s="16" t="e">
        <f>#REF!</f>
        <v>#REF!</v>
      </c>
      <c r="B372" s="16" t="e">
        <f>#REF!</f>
        <v>#REF!</v>
      </c>
      <c r="C372" s="16" t="e">
        <f>#REF!</f>
        <v>#REF!</v>
      </c>
      <c r="D372" s="16" t="e">
        <f>#REF!</f>
        <v>#REF!</v>
      </c>
      <c r="E372" s="16" t="e">
        <f>#REF!</f>
        <v>#REF!</v>
      </c>
      <c r="F372" s="16" t="e">
        <f>#REF!</f>
        <v>#REF!</v>
      </c>
      <c r="G372" s="16" t="e">
        <f>#REF!</f>
        <v>#REF!</v>
      </c>
      <c r="H372" s="16" t="e">
        <f>#REF!</f>
        <v>#REF!</v>
      </c>
      <c r="I372" s="16" t="e">
        <f>#REF!</f>
        <v>#REF!</v>
      </c>
      <c r="J372" s="16" t="e">
        <f>#REF!</f>
        <v>#REF!</v>
      </c>
      <c r="K372" s="16" t="s">
        <v>744</v>
      </c>
      <c r="L372" s="16"/>
      <c r="M372" s="16"/>
      <c r="N372" s="16"/>
      <c r="O372" s="16"/>
      <c r="P372" s="17"/>
      <c r="Q372" s="26"/>
    </row>
    <row r="373" spans="1:17" ht="22.5" customHeight="1" thickTop="1" thickBot="1" x14ac:dyDescent="0.25">
      <c r="A373" s="16" t="e">
        <f>#REF!</f>
        <v>#REF!</v>
      </c>
      <c r="B373" s="16" t="e">
        <f>#REF!</f>
        <v>#REF!</v>
      </c>
      <c r="C373" s="16" t="e">
        <f>#REF!</f>
        <v>#REF!</v>
      </c>
      <c r="D373" s="16" t="e">
        <f>#REF!</f>
        <v>#REF!</v>
      </c>
      <c r="E373" s="16" t="e">
        <f>#REF!</f>
        <v>#REF!</v>
      </c>
      <c r="F373" s="16" t="e">
        <f>#REF!</f>
        <v>#REF!</v>
      </c>
      <c r="G373" s="16" t="e">
        <f>#REF!</f>
        <v>#REF!</v>
      </c>
      <c r="H373" s="16" t="e">
        <f>#REF!</f>
        <v>#REF!</v>
      </c>
      <c r="I373" s="16" t="e">
        <f>#REF!</f>
        <v>#REF!</v>
      </c>
      <c r="J373" s="16" t="e">
        <f>#REF!</f>
        <v>#REF!</v>
      </c>
      <c r="K373" s="16"/>
      <c r="L373" s="16"/>
      <c r="M373" s="16"/>
      <c r="N373" s="16"/>
      <c r="O373" s="16"/>
      <c r="P373" s="17"/>
      <c r="Q373" s="26"/>
    </row>
    <row r="374" spans="1:17" ht="22.5" customHeight="1" thickTop="1" thickBot="1" x14ac:dyDescent="0.25">
      <c r="A374" s="16" t="e">
        <f>#REF!</f>
        <v>#REF!</v>
      </c>
      <c r="B374" s="16" t="e">
        <f>#REF!</f>
        <v>#REF!</v>
      </c>
      <c r="C374" s="16" t="e">
        <f>#REF!</f>
        <v>#REF!</v>
      </c>
      <c r="D374" s="16" t="e">
        <f>#REF!</f>
        <v>#REF!</v>
      </c>
      <c r="E374" s="16" t="e">
        <f>#REF!</f>
        <v>#REF!</v>
      </c>
      <c r="F374" s="16" t="e">
        <f>#REF!</f>
        <v>#REF!</v>
      </c>
      <c r="G374" s="16" t="e">
        <f>#REF!</f>
        <v>#REF!</v>
      </c>
      <c r="H374" s="16" t="e">
        <f>#REF!</f>
        <v>#REF!</v>
      </c>
      <c r="I374" s="16" t="e">
        <f>#REF!</f>
        <v>#REF!</v>
      </c>
      <c r="J374" s="16" t="e">
        <f>#REF!</f>
        <v>#REF!</v>
      </c>
      <c r="K374" s="16" t="s">
        <v>744</v>
      </c>
      <c r="L374" s="16"/>
      <c r="M374" s="16"/>
      <c r="N374" s="16"/>
      <c r="O374" s="16"/>
      <c r="P374" s="17"/>
      <c r="Q374" s="26"/>
    </row>
    <row r="375" spans="1:17" ht="22.5" customHeight="1" thickTop="1" thickBot="1" x14ac:dyDescent="0.25">
      <c r="A375" s="16" t="e">
        <f>#REF!</f>
        <v>#REF!</v>
      </c>
      <c r="B375" s="16" t="e">
        <f>#REF!</f>
        <v>#REF!</v>
      </c>
      <c r="C375" s="16" t="e">
        <f>#REF!</f>
        <v>#REF!</v>
      </c>
      <c r="D375" s="16" t="e">
        <f>#REF!</f>
        <v>#REF!</v>
      </c>
      <c r="E375" s="16" t="e">
        <f>#REF!</f>
        <v>#REF!</v>
      </c>
      <c r="F375" s="16" t="e">
        <f>#REF!</f>
        <v>#REF!</v>
      </c>
      <c r="G375" s="16" t="e">
        <f>#REF!</f>
        <v>#REF!</v>
      </c>
      <c r="H375" s="16" t="e">
        <f>#REF!</f>
        <v>#REF!</v>
      </c>
      <c r="I375" s="16" t="e">
        <f>#REF!</f>
        <v>#REF!</v>
      </c>
      <c r="J375" s="16" t="e">
        <f>#REF!</f>
        <v>#REF!</v>
      </c>
      <c r="K375" s="16" t="s">
        <v>744</v>
      </c>
      <c r="L375" s="16"/>
      <c r="M375" s="16"/>
      <c r="N375" s="16"/>
      <c r="O375" s="16"/>
      <c r="P375" s="17"/>
      <c r="Q375" s="26"/>
    </row>
    <row r="376" spans="1:17" ht="22.5" customHeight="1" thickTop="1" thickBot="1" x14ac:dyDescent="0.25">
      <c r="A376" s="16" t="e">
        <f>#REF!</f>
        <v>#REF!</v>
      </c>
      <c r="B376" s="16" t="e">
        <f>#REF!</f>
        <v>#REF!</v>
      </c>
      <c r="C376" s="16" t="e">
        <f>#REF!</f>
        <v>#REF!</v>
      </c>
      <c r="D376" s="16" t="e">
        <f>#REF!</f>
        <v>#REF!</v>
      </c>
      <c r="E376" s="16" t="e">
        <f>#REF!</f>
        <v>#REF!</v>
      </c>
      <c r="F376" s="16" t="e">
        <f>#REF!</f>
        <v>#REF!</v>
      </c>
      <c r="G376" s="16" t="e">
        <f>#REF!</f>
        <v>#REF!</v>
      </c>
      <c r="H376" s="16" t="e">
        <f>#REF!</f>
        <v>#REF!</v>
      </c>
      <c r="I376" s="16" t="e">
        <f>#REF!</f>
        <v>#REF!</v>
      </c>
      <c r="J376" s="16" t="e">
        <f>#REF!</f>
        <v>#REF!</v>
      </c>
      <c r="K376" s="16" t="s">
        <v>744</v>
      </c>
      <c r="L376" s="16"/>
      <c r="M376" s="16"/>
      <c r="N376" s="16"/>
      <c r="O376" s="16"/>
      <c r="P376" s="17"/>
      <c r="Q376" s="26"/>
    </row>
    <row r="377" spans="1:17" ht="22.5" customHeight="1" thickTop="1" thickBot="1" x14ac:dyDescent="0.25">
      <c r="A377" s="16" t="e">
        <f>#REF!</f>
        <v>#REF!</v>
      </c>
      <c r="B377" s="16" t="e">
        <f>#REF!</f>
        <v>#REF!</v>
      </c>
      <c r="C377" s="16" t="e">
        <f>#REF!</f>
        <v>#REF!</v>
      </c>
      <c r="D377" s="16" t="e">
        <f>#REF!</f>
        <v>#REF!</v>
      </c>
      <c r="E377" s="16" t="e">
        <f>#REF!</f>
        <v>#REF!</v>
      </c>
      <c r="F377" s="16" t="e">
        <f>#REF!</f>
        <v>#REF!</v>
      </c>
      <c r="G377" s="16" t="e">
        <f>#REF!</f>
        <v>#REF!</v>
      </c>
      <c r="H377" s="16" t="e">
        <f>#REF!</f>
        <v>#REF!</v>
      </c>
      <c r="I377" s="16" t="e">
        <f>#REF!</f>
        <v>#REF!</v>
      </c>
      <c r="J377" s="16" t="e">
        <f>#REF!</f>
        <v>#REF!</v>
      </c>
      <c r="K377" s="16" t="s">
        <v>744</v>
      </c>
      <c r="L377" s="16"/>
      <c r="M377" s="16"/>
      <c r="N377" s="16"/>
      <c r="O377" s="16"/>
      <c r="P377" s="17"/>
      <c r="Q377" s="26"/>
    </row>
    <row r="378" spans="1:17" ht="22.5" customHeight="1" thickTop="1" thickBot="1" x14ac:dyDescent="0.25">
      <c r="A378" s="16" t="e">
        <f>#REF!</f>
        <v>#REF!</v>
      </c>
      <c r="B378" s="16" t="e">
        <f>#REF!</f>
        <v>#REF!</v>
      </c>
      <c r="C378" s="16" t="e">
        <f>#REF!</f>
        <v>#REF!</v>
      </c>
      <c r="D378" s="16" t="e">
        <f>#REF!</f>
        <v>#REF!</v>
      </c>
      <c r="E378" s="16" t="e">
        <f>#REF!</f>
        <v>#REF!</v>
      </c>
      <c r="F378" s="16" t="e">
        <f>#REF!</f>
        <v>#REF!</v>
      </c>
      <c r="G378" s="16" t="e">
        <f>#REF!</f>
        <v>#REF!</v>
      </c>
      <c r="H378" s="16" t="e">
        <f>#REF!</f>
        <v>#REF!</v>
      </c>
      <c r="I378" s="16" t="e">
        <f>#REF!</f>
        <v>#REF!</v>
      </c>
      <c r="J378" s="16" t="e">
        <f>#REF!</f>
        <v>#REF!</v>
      </c>
      <c r="K378" s="16" t="s">
        <v>744</v>
      </c>
      <c r="L378" s="16"/>
      <c r="M378" s="16"/>
      <c r="N378" s="16"/>
      <c r="O378" s="16"/>
      <c r="P378" s="17"/>
      <c r="Q378" s="26"/>
    </row>
    <row r="379" spans="1:17" ht="22.5" customHeight="1" thickTop="1" thickBot="1" x14ac:dyDescent="0.25">
      <c r="A379" s="16" t="e">
        <f>#REF!</f>
        <v>#REF!</v>
      </c>
      <c r="B379" s="16" t="e">
        <f>#REF!</f>
        <v>#REF!</v>
      </c>
      <c r="C379" s="16" t="e">
        <f>#REF!</f>
        <v>#REF!</v>
      </c>
      <c r="D379" s="16" t="e">
        <f>#REF!</f>
        <v>#REF!</v>
      </c>
      <c r="E379" s="16" t="e">
        <f>#REF!</f>
        <v>#REF!</v>
      </c>
      <c r="F379" s="16" t="e">
        <f>#REF!</f>
        <v>#REF!</v>
      </c>
      <c r="G379" s="16" t="e">
        <f>#REF!</f>
        <v>#REF!</v>
      </c>
      <c r="H379" s="16" t="e">
        <f>#REF!</f>
        <v>#REF!</v>
      </c>
      <c r="I379" s="16" t="e">
        <f>#REF!</f>
        <v>#REF!</v>
      </c>
      <c r="J379" s="16" t="e">
        <f>#REF!</f>
        <v>#REF!</v>
      </c>
      <c r="K379" s="16" t="s">
        <v>744</v>
      </c>
      <c r="L379" s="16"/>
      <c r="M379" s="16"/>
      <c r="N379" s="16"/>
      <c r="O379" s="16"/>
      <c r="P379" s="17"/>
      <c r="Q379" s="26"/>
    </row>
    <row r="380" spans="1:17" ht="22.5" customHeight="1" thickTop="1" thickBot="1" x14ac:dyDescent="0.25">
      <c r="A380" s="16" t="e">
        <f>#REF!</f>
        <v>#REF!</v>
      </c>
      <c r="B380" s="16" t="e">
        <f>#REF!</f>
        <v>#REF!</v>
      </c>
      <c r="C380" s="16" t="e">
        <f>#REF!</f>
        <v>#REF!</v>
      </c>
      <c r="D380" s="16" t="e">
        <f>#REF!</f>
        <v>#REF!</v>
      </c>
      <c r="E380" s="16" t="e">
        <f>#REF!</f>
        <v>#REF!</v>
      </c>
      <c r="F380" s="16" t="e">
        <f>#REF!</f>
        <v>#REF!</v>
      </c>
      <c r="G380" s="16" t="e">
        <f>#REF!</f>
        <v>#REF!</v>
      </c>
      <c r="H380" s="16" t="e">
        <f>#REF!</f>
        <v>#REF!</v>
      </c>
      <c r="I380" s="16" t="e">
        <f>#REF!</f>
        <v>#REF!</v>
      </c>
      <c r="J380" s="16" t="e">
        <f>#REF!</f>
        <v>#REF!</v>
      </c>
      <c r="K380" s="16" t="s">
        <v>744</v>
      </c>
      <c r="L380" s="16"/>
      <c r="M380" s="16"/>
      <c r="N380" s="16"/>
      <c r="O380" s="16"/>
      <c r="P380" s="17"/>
      <c r="Q380" s="26"/>
    </row>
    <row r="381" spans="1:17" ht="22.5" customHeight="1" thickTop="1" thickBot="1" x14ac:dyDescent="0.25">
      <c r="A381" s="16" t="e">
        <f>#REF!</f>
        <v>#REF!</v>
      </c>
      <c r="B381" s="16" t="e">
        <f>#REF!</f>
        <v>#REF!</v>
      </c>
      <c r="C381" s="16" t="e">
        <f>#REF!</f>
        <v>#REF!</v>
      </c>
      <c r="D381" s="16" t="e">
        <f>#REF!</f>
        <v>#REF!</v>
      </c>
      <c r="E381" s="16" t="e">
        <f>#REF!</f>
        <v>#REF!</v>
      </c>
      <c r="F381" s="16" t="e">
        <f>#REF!</f>
        <v>#REF!</v>
      </c>
      <c r="G381" s="16" t="e">
        <f>#REF!</f>
        <v>#REF!</v>
      </c>
      <c r="H381" s="16" t="e">
        <f>#REF!</f>
        <v>#REF!</v>
      </c>
      <c r="I381" s="16" t="e">
        <f>#REF!</f>
        <v>#REF!</v>
      </c>
      <c r="J381" s="16" t="e">
        <f>#REF!</f>
        <v>#REF!</v>
      </c>
      <c r="K381" s="16" t="s">
        <v>744</v>
      </c>
      <c r="L381" s="16"/>
      <c r="M381" s="16"/>
      <c r="N381" s="16"/>
      <c r="O381" s="16"/>
      <c r="P381" s="17"/>
      <c r="Q381" s="26"/>
    </row>
    <row r="382" spans="1:17" ht="22.5" customHeight="1" thickTop="1" thickBot="1" x14ac:dyDescent="0.25">
      <c r="A382" s="16" t="e">
        <f>#REF!</f>
        <v>#REF!</v>
      </c>
      <c r="B382" s="16" t="e">
        <f>#REF!</f>
        <v>#REF!</v>
      </c>
      <c r="C382" s="16" t="e">
        <f>#REF!</f>
        <v>#REF!</v>
      </c>
      <c r="D382" s="16" t="e">
        <f>#REF!</f>
        <v>#REF!</v>
      </c>
      <c r="E382" s="16" t="e">
        <f>#REF!</f>
        <v>#REF!</v>
      </c>
      <c r="F382" s="16" t="e">
        <f>#REF!</f>
        <v>#REF!</v>
      </c>
      <c r="G382" s="16" t="e">
        <f>#REF!</f>
        <v>#REF!</v>
      </c>
      <c r="H382" s="16" t="e">
        <f>#REF!</f>
        <v>#REF!</v>
      </c>
      <c r="I382" s="16" t="e">
        <f>#REF!</f>
        <v>#REF!</v>
      </c>
      <c r="J382" s="16" t="e">
        <f>#REF!</f>
        <v>#REF!</v>
      </c>
      <c r="K382" s="16"/>
      <c r="L382" s="16"/>
      <c r="M382" s="16"/>
      <c r="N382" s="16"/>
      <c r="O382" s="16"/>
      <c r="P382" s="17"/>
      <c r="Q382" s="26"/>
    </row>
    <row r="383" spans="1:17" ht="22.5" customHeight="1" thickTop="1" thickBot="1" x14ac:dyDescent="0.25">
      <c r="A383" s="16" t="e">
        <f>#REF!</f>
        <v>#REF!</v>
      </c>
      <c r="B383" s="16" t="e">
        <f>#REF!</f>
        <v>#REF!</v>
      </c>
      <c r="C383" s="16" t="e">
        <f>#REF!</f>
        <v>#REF!</v>
      </c>
      <c r="D383" s="16" t="e">
        <f>#REF!</f>
        <v>#REF!</v>
      </c>
      <c r="E383" s="16" t="e">
        <f>#REF!</f>
        <v>#REF!</v>
      </c>
      <c r="F383" s="16" t="e">
        <f>#REF!</f>
        <v>#REF!</v>
      </c>
      <c r="G383" s="16" t="e">
        <f>#REF!</f>
        <v>#REF!</v>
      </c>
      <c r="H383" s="16" t="e">
        <f>#REF!</f>
        <v>#REF!</v>
      </c>
      <c r="I383" s="16" t="e">
        <f>#REF!</f>
        <v>#REF!</v>
      </c>
      <c r="J383" s="16" t="e">
        <f>#REF!</f>
        <v>#REF!</v>
      </c>
      <c r="K383" s="16"/>
      <c r="L383" s="16"/>
      <c r="M383" s="16"/>
      <c r="N383" s="16"/>
      <c r="O383" s="16"/>
      <c r="P383" s="17"/>
      <c r="Q383" s="26"/>
    </row>
    <row r="384" spans="1:17" ht="22.5" customHeight="1" thickTop="1" thickBot="1" x14ac:dyDescent="0.25">
      <c r="A384" s="16" t="e">
        <f>#REF!</f>
        <v>#REF!</v>
      </c>
      <c r="B384" s="16" t="e">
        <f>#REF!</f>
        <v>#REF!</v>
      </c>
      <c r="C384" s="16" t="e">
        <f>#REF!</f>
        <v>#REF!</v>
      </c>
      <c r="D384" s="16" t="e">
        <f>#REF!</f>
        <v>#REF!</v>
      </c>
      <c r="E384" s="16" t="e">
        <f>#REF!</f>
        <v>#REF!</v>
      </c>
      <c r="F384" s="16" t="e">
        <f>#REF!</f>
        <v>#REF!</v>
      </c>
      <c r="G384" s="16" t="e">
        <f>#REF!</f>
        <v>#REF!</v>
      </c>
      <c r="H384" s="16" t="e">
        <f>#REF!</f>
        <v>#REF!</v>
      </c>
      <c r="I384" s="16" t="e">
        <f>#REF!</f>
        <v>#REF!</v>
      </c>
      <c r="J384" s="16" t="e">
        <f>#REF!</f>
        <v>#REF!</v>
      </c>
      <c r="K384" s="16"/>
      <c r="L384" s="16"/>
      <c r="M384" s="16"/>
      <c r="N384" s="16"/>
      <c r="O384" s="16"/>
      <c r="P384" s="17"/>
      <c r="Q384" s="26"/>
    </row>
    <row r="385" spans="1:17" ht="22.5" customHeight="1" thickTop="1" thickBot="1" x14ac:dyDescent="0.25">
      <c r="A385" s="16" t="e">
        <f>#REF!</f>
        <v>#REF!</v>
      </c>
      <c r="B385" s="16" t="e">
        <f>#REF!</f>
        <v>#REF!</v>
      </c>
      <c r="C385" s="16" t="e">
        <f>#REF!</f>
        <v>#REF!</v>
      </c>
      <c r="D385" s="16" t="e">
        <f>#REF!</f>
        <v>#REF!</v>
      </c>
      <c r="E385" s="16" t="e">
        <f>#REF!</f>
        <v>#REF!</v>
      </c>
      <c r="F385" s="16" t="e">
        <f>#REF!</f>
        <v>#REF!</v>
      </c>
      <c r="G385" s="16" t="e">
        <f>#REF!</f>
        <v>#REF!</v>
      </c>
      <c r="H385" s="16" t="e">
        <f>#REF!</f>
        <v>#REF!</v>
      </c>
      <c r="I385" s="16" t="e">
        <f>#REF!</f>
        <v>#REF!</v>
      </c>
      <c r="J385" s="16" t="e">
        <f>#REF!</f>
        <v>#REF!</v>
      </c>
      <c r="K385" s="16"/>
      <c r="L385" s="16"/>
      <c r="M385" s="16"/>
      <c r="N385" s="16"/>
      <c r="O385" s="16"/>
      <c r="P385" s="17"/>
      <c r="Q385" s="17"/>
    </row>
    <row r="386" spans="1:17" ht="22.5" customHeight="1" thickTop="1" thickBot="1" x14ac:dyDescent="0.25">
      <c r="A386" s="16" t="e">
        <f>#REF!</f>
        <v>#REF!</v>
      </c>
      <c r="B386" s="16" t="e">
        <f>#REF!</f>
        <v>#REF!</v>
      </c>
      <c r="C386" s="16" t="e">
        <f>#REF!</f>
        <v>#REF!</v>
      </c>
      <c r="D386" s="16" t="e">
        <f>#REF!</f>
        <v>#REF!</v>
      </c>
      <c r="E386" s="16" t="e">
        <f>#REF!</f>
        <v>#REF!</v>
      </c>
      <c r="F386" s="16" t="e">
        <f>#REF!</f>
        <v>#REF!</v>
      </c>
      <c r="G386" s="16" t="e">
        <f>#REF!</f>
        <v>#REF!</v>
      </c>
      <c r="H386" s="16" t="e">
        <f>#REF!</f>
        <v>#REF!</v>
      </c>
      <c r="I386" s="16" t="e">
        <f>#REF!</f>
        <v>#REF!</v>
      </c>
      <c r="J386" s="16" t="e">
        <f>#REF!</f>
        <v>#REF!</v>
      </c>
      <c r="K386" s="16"/>
      <c r="L386" s="16"/>
      <c r="M386" s="16"/>
      <c r="N386" s="16"/>
      <c r="O386" s="16"/>
      <c r="P386" s="17"/>
      <c r="Q386" s="17"/>
    </row>
    <row r="387" spans="1:17" ht="22.5" customHeight="1" thickTop="1" thickBot="1" x14ac:dyDescent="0.25">
      <c r="A387" s="16" t="e">
        <f>#REF!</f>
        <v>#REF!</v>
      </c>
      <c r="B387" s="16" t="e">
        <f>#REF!</f>
        <v>#REF!</v>
      </c>
      <c r="C387" s="16" t="e">
        <f>#REF!</f>
        <v>#REF!</v>
      </c>
      <c r="D387" s="16" t="e">
        <f>#REF!</f>
        <v>#REF!</v>
      </c>
      <c r="E387" s="16" t="e">
        <f>#REF!</f>
        <v>#REF!</v>
      </c>
      <c r="F387" s="16" t="e">
        <f>#REF!</f>
        <v>#REF!</v>
      </c>
      <c r="G387" s="16" t="e">
        <f>#REF!</f>
        <v>#REF!</v>
      </c>
      <c r="H387" s="16" t="e">
        <f>#REF!</f>
        <v>#REF!</v>
      </c>
      <c r="I387" s="16" t="e">
        <f>#REF!</f>
        <v>#REF!</v>
      </c>
      <c r="J387" s="16" t="e">
        <f>#REF!</f>
        <v>#REF!</v>
      </c>
      <c r="K387" s="16"/>
      <c r="L387" s="16"/>
      <c r="M387" s="16"/>
      <c r="N387" s="16"/>
      <c r="O387" s="16"/>
      <c r="P387" s="19"/>
      <c r="Q387" s="19"/>
    </row>
    <row r="388" spans="1:17" ht="22.5" customHeight="1" thickTop="1" thickBot="1" x14ac:dyDescent="0.25">
      <c r="A388" s="16" t="e">
        <f>#REF!</f>
        <v>#REF!</v>
      </c>
      <c r="B388" s="16" t="e">
        <f>#REF!</f>
        <v>#REF!</v>
      </c>
      <c r="C388" s="16" t="e">
        <f>#REF!</f>
        <v>#REF!</v>
      </c>
      <c r="D388" s="16" t="e">
        <f>#REF!</f>
        <v>#REF!</v>
      </c>
      <c r="E388" s="16" t="e">
        <f>#REF!</f>
        <v>#REF!</v>
      </c>
      <c r="F388" s="16" t="e">
        <f>#REF!</f>
        <v>#REF!</v>
      </c>
      <c r="G388" s="16" t="e">
        <f>#REF!</f>
        <v>#REF!</v>
      </c>
      <c r="H388" s="16" t="e">
        <f>#REF!</f>
        <v>#REF!</v>
      </c>
      <c r="I388" s="16" t="e">
        <f>#REF!</f>
        <v>#REF!</v>
      </c>
      <c r="J388" s="16" t="e">
        <f>#REF!</f>
        <v>#REF!</v>
      </c>
      <c r="K388" s="16"/>
      <c r="L388" s="16"/>
      <c r="M388" s="16"/>
      <c r="N388" s="16"/>
      <c r="O388" s="16"/>
      <c r="P388" s="19"/>
      <c r="Q388" s="19"/>
    </row>
    <row r="389" spans="1:17" ht="22.5" customHeight="1" thickTop="1" thickBot="1" x14ac:dyDescent="0.25">
      <c r="A389" s="16" t="e">
        <f>#REF!</f>
        <v>#REF!</v>
      </c>
      <c r="B389" s="16" t="e">
        <f>#REF!</f>
        <v>#REF!</v>
      </c>
      <c r="C389" s="16" t="e">
        <f>#REF!</f>
        <v>#REF!</v>
      </c>
      <c r="D389" s="16" t="e">
        <f>#REF!</f>
        <v>#REF!</v>
      </c>
      <c r="E389" s="16" t="e">
        <f>#REF!</f>
        <v>#REF!</v>
      </c>
      <c r="F389" s="16" t="e">
        <f>#REF!</f>
        <v>#REF!</v>
      </c>
      <c r="G389" s="16" t="e">
        <f>#REF!</f>
        <v>#REF!</v>
      </c>
      <c r="H389" s="16" t="e">
        <f>#REF!</f>
        <v>#REF!</v>
      </c>
      <c r="I389" s="16" t="e">
        <f>#REF!</f>
        <v>#REF!</v>
      </c>
      <c r="J389" s="16" t="e">
        <f>#REF!</f>
        <v>#REF!</v>
      </c>
      <c r="K389" s="16"/>
      <c r="L389" s="16"/>
      <c r="M389" s="16"/>
      <c r="N389" s="16"/>
      <c r="O389" s="16"/>
      <c r="P389" s="17"/>
      <c r="Q389" s="17"/>
    </row>
    <row r="390" spans="1:17" ht="22.5" customHeight="1" thickTop="1" thickBot="1" x14ac:dyDescent="0.25">
      <c r="A390" s="16" t="e">
        <f>#REF!</f>
        <v>#REF!</v>
      </c>
      <c r="B390" s="16" t="e">
        <f>#REF!</f>
        <v>#REF!</v>
      </c>
      <c r="C390" s="16" t="e">
        <f>#REF!</f>
        <v>#REF!</v>
      </c>
      <c r="D390" s="16" t="e">
        <f>#REF!</f>
        <v>#REF!</v>
      </c>
      <c r="E390" s="16" t="e">
        <f>#REF!</f>
        <v>#REF!</v>
      </c>
      <c r="F390" s="16" t="e">
        <f>#REF!</f>
        <v>#REF!</v>
      </c>
      <c r="G390" s="16" t="e">
        <f>#REF!</f>
        <v>#REF!</v>
      </c>
      <c r="H390" s="16" t="e">
        <f>#REF!</f>
        <v>#REF!</v>
      </c>
      <c r="I390" s="16" t="e">
        <f>#REF!</f>
        <v>#REF!</v>
      </c>
      <c r="J390" s="16" t="e">
        <f>#REF!</f>
        <v>#REF!</v>
      </c>
      <c r="K390" s="16"/>
      <c r="L390" s="16"/>
      <c r="M390" s="16"/>
      <c r="N390" s="16"/>
      <c r="O390" s="16"/>
      <c r="P390" s="17"/>
      <c r="Q390" s="17"/>
    </row>
    <row r="391" spans="1:17" ht="22.5" customHeight="1" thickTop="1" thickBot="1" x14ac:dyDescent="0.25">
      <c r="A391" s="16" t="e">
        <f>#REF!</f>
        <v>#REF!</v>
      </c>
      <c r="B391" s="16" t="e">
        <f>#REF!</f>
        <v>#REF!</v>
      </c>
      <c r="C391" s="16" t="e">
        <f>#REF!</f>
        <v>#REF!</v>
      </c>
      <c r="D391" s="16" t="e">
        <f>#REF!</f>
        <v>#REF!</v>
      </c>
      <c r="E391" s="16" t="e">
        <f>#REF!</f>
        <v>#REF!</v>
      </c>
      <c r="F391" s="16" t="e">
        <f>#REF!</f>
        <v>#REF!</v>
      </c>
      <c r="G391" s="16" t="e">
        <f>#REF!</f>
        <v>#REF!</v>
      </c>
      <c r="H391" s="16" t="e">
        <f>#REF!</f>
        <v>#REF!</v>
      </c>
      <c r="I391" s="16" t="e">
        <f>#REF!</f>
        <v>#REF!</v>
      </c>
      <c r="J391" s="16" t="e">
        <f>#REF!</f>
        <v>#REF!</v>
      </c>
      <c r="K391" s="16"/>
      <c r="L391" s="16"/>
      <c r="M391" s="16"/>
      <c r="N391" s="16"/>
      <c r="O391" s="16"/>
      <c r="P391" s="17"/>
      <c r="Q391" s="17"/>
    </row>
    <row r="392" spans="1:17" ht="22.5" customHeight="1" thickTop="1" thickBot="1" x14ac:dyDescent="0.25">
      <c r="A392" s="16" t="e">
        <f>#REF!</f>
        <v>#REF!</v>
      </c>
      <c r="B392" s="16" t="e">
        <f>#REF!</f>
        <v>#REF!</v>
      </c>
      <c r="C392" s="16" t="e">
        <f>#REF!</f>
        <v>#REF!</v>
      </c>
      <c r="D392" s="16" t="e">
        <f>#REF!</f>
        <v>#REF!</v>
      </c>
      <c r="E392" s="16" t="e">
        <f>#REF!</f>
        <v>#REF!</v>
      </c>
      <c r="F392" s="16" t="e">
        <f>#REF!</f>
        <v>#REF!</v>
      </c>
      <c r="G392" s="16" t="e">
        <f>#REF!</f>
        <v>#REF!</v>
      </c>
      <c r="H392" s="16" t="e">
        <f>#REF!</f>
        <v>#REF!</v>
      </c>
      <c r="I392" s="16" t="e">
        <f>#REF!</f>
        <v>#REF!</v>
      </c>
      <c r="J392" s="16" t="e">
        <f>#REF!</f>
        <v>#REF!</v>
      </c>
      <c r="K392" s="16"/>
      <c r="L392" s="16"/>
      <c r="M392" s="16"/>
      <c r="N392" s="16"/>
      <c r="O392" s="16"/>
      <c r="P392" s="20"/>
      <c r="Q392" s="20"/>
    </row>
    <row r="393" spans="1:17" ht="22.5" customHeight="1" thickTop="1" thickBot="1" x14ac:dyDescent="0.25">
      <c r="A393" s="16" t="e">
        <f>#REF!</f>
        <v>#REF!</v>
      </c>
      <c r="B393" s="16" t="e">
        <f>#REF!</f>
        <v>#REF!</v>
      </c>
      <c r="C393" s="16" t="e">
        <f>#REF!</f>
        <v>#REF!</v>
      </c>
      <c r="D393" s="16" t="e">
        <f>#REF!</f>
        <v>#REF!</v>
      </c>
      <c r="E393" s="16" t="e">
        <f>#REF!</f>
        <v>#REF!</v>
      </c>
      <c r="F393" s="16" t="e">
        <f>#REF!</f>
        <v>#REF!</v>
      </c>
      <c r="G393" s="16" t="e">
        <f>#REF!</f>
        <v>#REF!</v>
      </c>
      <c r="H393" s="16" t="e">
        <f>#REF!</f>
        <v>#REF!</v>
      </c>
      <c r="I393" s="16" t="e">
        <f>#REF!</f>
        <v>#REF!</v>
      </c>
      <c r="J393" s="16" t="e">
        <f>#REF!</f>
        <v>#REF!</v>
      </c>
      <c r="K393" s="16"/>
      <c r="L393" s="16"/>
      <c r="M393" s="16"/>
      <c r="N393" s="16"/>
      <c r="O393" s="16"/>
      <c r="P393" s="20"/>
      <c r="Q393" s="20"/>
    </row>
    <row r="394" spans="1:17" ht="22.5" customHeight="1" thickTop="1" thickBot="1" x14ac:dyDescent="0.25">
      <c r="A394" s="16" t="e">
        <f>#REF!</f>
        <v>#REF!</v>
      </c>
      <c r="B394" s="16" t="e">
        <f>#REF!</f>
        <v>#REF!</v>
      </c>
      <c r="C394" s="16" t="e">
        <f>#REF!</f>
        <v>#REF!</v>
      </c>
      <c r="D394" s="16" t="e">
        <f>#REF!</f>
        <v>#REF!</v>
      </c>
      <c r="E394" s="16" t="e">
        <f>#REF!</f>
        <v>#REF!</v>
      </c>
      <c r="F394" s="16" t="e">
        <f>#REF!</f>
        <v>#REF!</v>
      </c>
      <c r="G394" s="16" t="e">
        <f>#REF!</f>
        <v>#REF!</v>
      </c>
      <c r="H394" s="16" t="e">
        <f>#REF!</f>
        <v>#REF!</v>
      </c>
      <c r="I394" s="16" t="e">
        <f>#REF!</f>
        <v>#REF!</v>
      </c>
      <c r="J394" s="16" t="e">
        <f>#REF!</f>
        <v>#REF!</v>
      </c>
      <c r="K394" s="16"/>
      <c r="L394" s="16"/>
      <c r="M394" s="16"/>
      <c r="N394" s="16"/>
      <c r="O394" s="16"/>
      <c r="P394" s="20"/>
      <c r="Q394" s="20"/>
    </row>
    <row r="395" spans="1:17" ht="22.5" customHeight="1" thickTop="1" thickBot="1" x14ac:dyDescent="0.25">
      <c r="A395" s="16" t="e">
        <f>#REF!</f>
        <v>#REF!</v>
      </c>
      <c r="B395" s="16" t="e">
        <f>#REF!</f>
        <v>#REF!</v>
      </c>
      <c r="C395" s="16" t="e">
        <f>#REF!</f>
        <v>#REF!</v>
      </c>
      <c r="D395" s="16" t="e">
        <f>#REF!</f>
        <v>#REF!</v>
      </c>
      <c r="E395" s="16" t="e">
        <f>#REF!</f>
        <v>#REF!</v>
      </c>
      <c r="F395" s="16" t="e">
        <f>#REF!</f>
        <v>#REF!</v>
      </c>
      <c r="G395" s="16" t="e">
        <f>#REF!</f>
        <v>#REF!</v>
      </c>
      <c r="H395" s="16" t="e">
        <f>#REF!</f>
        <v>#REF!</v>
      </c>
      <c r="I395" s="16" t="e">
        <f>#REF!</f>
        <v>#REF!</v>
      </c>
      <c r="J395" s="16" t="e">
        <f>#REF!</f>
        <v>#REF!</v>
      </c>
      <c r="K395" s="16"/>
      <c r="L395" s="16"/>
      <c r="M395" s="16"/>
      <c r="N395" s="16"/>
      <c r="O395" s="16"/>
      <c r="P395" s="20"/>
      <c r="Q395" s="20"/>
    </row>
    <row r="396" spans="1:17" ht="22.5" customHeight="1" thickTop="1" thickBot="1" x14ac:dyDescent="0.25">
      <c r="A396" s="16" t="e">
        <f>#REF!</f>
        <v>#REF!</v>
      </c>
      <c r="B396" s="16" t="e">
        <f>#REF!</f>
        <v>#REF!</v>
      </c>
      <c r="C396" s="16" t="e">
        <f>#REF!</f>
        <v>#REF!</v>
      </c>
      <c r="D396" s="16" t="e">
        <f>#REF!</f>
        <v>#REF!</v>
      </c>
      <c r="E396" s="16" t="e">
        <f>#REF!</f>
        <v>#REF!</v>
      </c>
      <c r="F396" s="16" t="e">
        <f>#REF!</f>
        <v>#REF!</v>
      </c>
      <c r="G396" s="16" t="e">
        <f>#REF!</f>
        <v>#REF!</v>
      </c>
      <c r="H396" s="16" t="e">
        <f>#REF!</f>
        <v>#REF!</v>
      </c>
      <c r="I396" s="16" t="e">
        <f>#REF!</f>
        <v>#REF!</v>
      </c>
      <c r="J396" s="16" t="e">
        <f>#REF!</f>
        <v>#REF!</v>
      </c>
      <c r="K396" s="16"/>
      <c r="L396" s="16"/>
      <c r="M396" s="16"/>
      <c r="N396" s="16"/>
      <c r="O396" s="16"/>
      <c r="P396" s="20"/>
      <c r="Q396" s="20"/>
    </row>
    <row r="397" spans="1:17" ht="22.5" customHeight="1" thickTop="1" thickBot="1" x14ac:dyDescent="0.25">
      <c r="A397" s="16" t="e">
        <f>#REF!</f>
        <v>#REF!</v>
      </c>
      <c r="B397" s="16" t="e">
        <f>#REF!</f>
        <v>#REF!</v>
      </c>
      <c r="C397" s="16" t="e">
        <f>#REF!</f>
        <v>#REF!</v>
      </c>
      <c r="D397" s="16" t="e">
        <f>#REF!</f>
        <v>#REF!</v>
      </c>
      <c r="E397" s="16" t="e">
        <f>#REF!</f>
        <v>#REF!</v>
      </c>
      <c r="F397" s="16" t="e">
        <f>#REF!</f>
        <v>#REF!</v>
      </c>
      <c r="G397" s="16" t="e">
        <f>#REF!</f>
        <v>#REF!</v>
      </c>
      <c r="H397" s="16" t="e">
        <f>#REF!</f>
        <v>#REF!</v>
      </c>
      <c r="I397" s="16" t="e">
        <f>#REF!</f>
        <v>#REF!</v>
      </c>
      <c r="J397" s="16" t="e">
        <f>#REF!</f>
        <v>#REF!</v>
      </c>
      <c r="K397" s="16"/>
      <c r="L397" s="16"/>
      <c r="M397" s="16"/>
      <c r="N397" s="16"/>
      <c r="O397" s="16"/>
      <c r="P397" s="17"/>
      <c r="Q397" s="17"/>
    </row>
    <row r="398" spans="1:17" ht="22.5" customHeight="1" thickTop="1" thickBot="1" x14ac:dyDescent="0.25">
      <c r="A398" s="16" t="e">
        <f>#REF!</f>
        <v>#REF!</v>
      </c>
      <c r="B398" s="16" t="e">
        <f>#REF!</f>
        <v>#REF!</v>
      </c>
      <c r="C398" s="16" t="e">
        <f>#REF!</f>
        <v>#REF!</v>
      </c>
      <c r="D398" s="16" t="e">
        <f>#REF!</f>
        <v>#REF!</v>
      </c>
      <c r="E398" s="16" t="e">
        <f>#REF!</f>
        <v>#REF!</v>
      </c>
      <c r="F398" s="16" t="e">
        <f>#REF!</f>
        <v>#REF!</v>
      </c>
      <c r="G398" s="16" t="e">
        <f>#REF!</f>
        <v>#REF!</v>
      </c>
      <c r="H398" s="16" t="e">
        <f>#REF!</f>
        <v>#REF!</v>
      </c>
      <c r="I398" s="16" t="e">
        <f>#REF!</f>
        <v>#REF!</v>
      </c>
      <c r="J398" s="16" t="e">
        <f>#REF!</f>
        <v>#REF!</v>
      </c>
      <c r="K398" s="16"/>
      <c r="L398" s="16"/>
      <c r="M398" s="16"/>
      <c r="N398" s="16"/>
      <c r="O398" s="16"/>
      <c r="P398" s="19"/>
      <c r="Q398" s="19"/>
    </row>
    <row r="399" spans="1:17" ht="22.5" customHeight="1" thickTop="1" thickBot="1" x14ac:dyDescent="0.25">
      <c r="A399" s="16" t="e">
        <f>#REF!</f>
        <v>#REF!</v>
      </c>
      <c r="B399" s="16" t="e">
        <f>#REF!</f>
        <v>#REF!</v>
      </c>
      <c r="C399" s="16" t="e">
        <f>#REF!</f>
        <v>#REF!</v>
      </c>
      <c r="D399" s="16" t="e">
        <f>#REF!</f>
        <v>#REF!</v>
      </c>
      <c r="E399" s="16" t="e">
        <f>#REF!</f>
        <v>#REF!</v>
      </c>
      <c r="F399" s="16" t="e">
        <f>#REF!</f>
        <v>#REF!</v>
      </c>
      <c r="G399" s="16" t="e">
        <f>#REF!</f>
        <v>#REF!</v>
      </c>
      <c r="H399" s="16" t="e">
        <f>#REF!</f>
        <v>#REF!</v>
      </c>
      <c r="I399" s="16" t="e">
        <f>#REF!</f>
        <v>#REF!</v>
      </c>
      <c r="J399" s="16" t="e">
        <f>#REF!</f>
        <v>#REF!</v>
      </c>
      <c r="K399" s="16"/>
      <c r="L399" s="16"/>
      <c r="M399" s="16"/>
      <c r="N399" s="16"/>
      <c r="O399" s="16"/>
      <c r="P399" s="19"/>
      <c r="Q399" s="19"/>
    </row>
    <row r="400" spans="1:17" ht="22.5" customHeight="1" thickTop="1" thickBot="1" x14ac:dyDescent="0.25">
      <c r="A400" s="16" t="e">
        <f>#REF!</f>
        <v>#REF!</v>
      </c>
      <c r="B400" s="16" t="e">
        <f>#REF!</f>
        <v>#REF!</v>
      </c>
      <c r="C400" s="16" t="e">
        <f>#REF!</f>
        <v>#REF!</v>
      </c>
      <c r="D400" s="16" t="e">
        <f>#REF!</f>
        <v>#REF!</v>
      </c>
      <c r="E400" s="16" t="e">
        <f>#REF!</f>
        <v>#REF!</v>
      </c>
      <c r="F400" s="16" t="e">
        <f>#REF!</f>
        <v>#REF!</v>
      </c>
      <c r="G400" s="16" t="e">
        <f>#REF!</f>
        <v>#REF!</v>
      </c>
      <c r="H400" s="16" t="e">
        <f>#REF!</f>
        <v>#REF!</v>
      </c>
      <c r="I400" s="16" t="e">
        <f>#REF!</f>
        <v>#REF!</v>
      </c>
      <c r="J400" s="16" t="e">
        <f>#REF!</f>
        <v>#REF!</v>
      </c>
      <c r="K400" s="16"/>
      <c r="L400" s="16"/>
      <c r="M400" s="16"/>
      <c r="N400" s="16"/>
      <c r="O400" s="16"/>
      <c r="P400" s="19"/>
      <c r="Q400" s="19"/>
    </row>
    <row r="401" spans="1:17" ht="22.5" customHeight="1" thickTop="1" thickBot="1" x14ac:dyDescent="0.25">
      <c r="A401" s="16" t="e">
        <f>#REF!</f>
        <v>#REF!</v>
      </c>
      <c r="B401" s="16" t="e">
        <f>#REF!</f>
        <v>#REF!</v>
      </c>
      <c r="C401" s="16" t="e">
        <f>#REF!</f>
        <v>#REF!</v>
      </c>
      <c r="D401" s="16" t="e">
        <f>#REF!</f>
        <v>#REF!</v>
      </c>
      <c r="E401" s="16" t="e">
        <f>#REF!</f>
        <v>#REF!</v>
      </c>
      <c r="F401" s="16" t="e">
        <f>#REF!</f>
        <v>#REF!</v>
      </c>
      <c r="G401" s="16" t="e">
        <f>#REF!</f>
        <v>#REF!</v>
      </c>
      <c r="H401" s="16" t="e">
        <f>#REF!</f>
        <v>#REF!</v>
      </c>
      <c r="I401" s="16" t="e">
        <f>#REF!</f>
        <v>#REF!</v>
      </c>
      <c r="J401" s="16" t="e">
        <f>#REF!</f>
        <v>#REF!</v>
      </c>
      <c r="K401" s="16" t="s">
        <v>744</v>
      </c>
      <c r="L401" s="16"/>
      <c r="M401" s="16"/>
      <c r="N401" s="16"/>
      <c r="O401" s="16"/>
      <c r="P401" s="19"/>
      <c r="Q401" s="19"/>
    </row>
    <row r="402" spans="1:17" ht="22.5" customHeight="1" thickTop="1" thickBot="1" x14ac:dyDescent="0.25">
      <c r="A402" s="16" t="e">
        <f>#REF!</f>
        <v>#REF!</v>
      </c>
      <c r="B402" s="16" t="e">
        <f>#REF!</f>
        <v>#REF!</v>
      </c>
      <c r="C402" s="16" t="e">
        <f>#REF!</f>
        <v>#REF!</v>
      </c>
      <c r="D402" s="16" t="e">
        <f>#REF!</f>
        <v>#REF!</v>
      </c>
      <c r="E402" s="16" t="e">
        <f>#REF!</f>
        <v>#REF!</v>
      </c>
      <c r="F402" s="16" t="e">
        <f>#REF!</f>
        <v>#REF!</v>
      </c>
      <c r="G402" s="16" t="e">
        <f>#REF!</f>
        <v>#REF!</v>
      </c>
      <c r="H402" s="16" t="e">
        <f>#REF!</f>
        <v>#REF!</v>
      </c>
      <c r="I402" s="16" t="e">
        <f>#REF!</f>
        <v>#REF!</v>
      </c>
      <c r="J402" s="16" t="e">
        <f>#REF!</f>
        <v>#REF!</v>
      </c>
      <c r="K402" s="16"/>
      <c r="L402" s="16"/>
      <c r="M402" s="16"/>
      <c r="N402" s="16"/>
      <c r="O402" s="16"/>
      <c r="P402" s="19"/>
      <c r="Q402" s="19"/>
    </row>
    <row r="403" spans="1:17" ht="22.5" customHeight="1" thickTop="1" thickBot="1" x14ac:dyDescent="0.25">
      <c r="A403" s="16" t="e">
        <f>#REF!</f>
        <v>#REF!</v>
      </c>
      <c r="B403" s="16" t="e">
        <f>#REF!</f>
        <v>#REF!</v>
      </c>
      <c r="C403" s="16" t="e">
        <f>#REF!</f>
        <v>#REF!</v>
      </c>
      <c r="D403" s="16" t="e">
        <f>#REF!</f>
        <v>#REF!</v>
      </c>
      <c r="E403" s="16" t="e">
        <f>#REF!</f>
        <v>#REF!</v>
      </c>
      <c r="F403" s="16" t="e">
        <f>#REF!</f>
        <v>#REF!</v>
      </c>
      <c r="G403" s="16" t="e">
        <f>#REF!</f>
        <v>#REF!</v>
      </c>
      <c r="H403" s="16" t="e">
        <f>#REF!</f>
        <v>#REF!</v>
      </c>
      <c r="I403" s="16" t="e">
        <f>#REF!</f>
        <v>#REF!</v>
      </c>
      <c r="J403" s="16" t="e">
        <f>#REF!</f>
        <v>#REF!</v>
      </c>
      <c r="K403" s="16" t="s">
        <v>744</v>
      </c>
      <c r="L403" s="16"/>
      <c r="M403" s="16"/>
      <c r="N403" s="16"/>
      <c r="O403" s="16"/>
      <c r="P403" s="20"/>
      <c r="Q403" s="20"/>
    </row>
    <row r="404" spans="1:17" ht="22.5" customHeight="1" thickTop="1" thickBot="1" x14ac:dyDescent="0.25">
      <c r="A404" s="16" t="e">
        <f>#REF!</f>
        <v>#REF!</v>
      </c>
      <c r="B404" s="16" t="e">
        <f>#REF!</f>
        <v>#REF!</v>
      </c>
      <c r="C404" s="16" t="e">
        <f>#REF!</f>
        <v>#REF!</v>
      </c>
      <c r="D404" s="16" t="e">
        <f>#REF!</f>
        <v>#REF!</v>
      </c>
      <c r="E404" s="16" t="e">
        <f>#REF!</f>
        <v>#REF!</v>
      </c>
      <c r="F404" s="16" t="e">
        <f>#REF!</f>
        <v>#REF!</v>
      </c>
      <c r="G404" s="16" t="e">
        <f>#REF!</f>
        <v>#REF!</v>
      </c>
      <c r="H404" s="16" t="e">
        <f>#REF!</f>
        <v>#REF!</v>
      </c>
      <c r="I404" s="16" t="e">
        <f>#REF!</f>
        <v>#REF!</v>
      </c>
      <c r="J404" s="16" t="e">
        <f>#REF!</f>
        <v>#REF!</v>
      </c>
      <c r="K404" s="16" t="s">
        <v>744</v>
      </c>
      <c r="L404" s="16"/>
      <c r="M404" s="16"/>
      <c r="N404" s="16"/>
      <c r="O404" s="16"/>
      <c r="P404" s="20"/>
      <c r="Q404" s="20"/>
    </row>
    <row r="405" spans="1:17" ht="22.5" customHeight="1" thickTop="1" thickBot="1" x14ac:dyDescent="0.25">
      <c r="A405" s="16" t="e">
        <f>#REF!</f>
        <v>#REF!</v>
      </c>
      <c r="B405" s="16" t="e">
        <f>#REF!</f>
        <v>#REF!</v>
      </c>
      <c r="C405" s="16" t="e">
        <f>#REF!</f>
        <v>#REF!</v>
      </c>
      <c r="D405" s="16" t="e">
        <f>#REF!</f>
        <v>#REF!</v>
      </c>
      <c r="E405" s="16" t="e">
        <f>#REF!</f>
        <v>#REF!</v>
      </c>
      <c r="F405" s="16" t="e">
        <f>#REF!</f>
        <v>#REF!</v>
      </c>
      <c r="G405" s="16" t="e">
        <f>#REF!</f>
        <v>#REF!</v>
      </c>
      <c r="H405" s="16" t="e">
        <f>#REF!</f>
        <v>#REF!</v>
      </c>
      <c r="I405" s="16" t="e">
        <f>#REF!</f>
        <v>#REF!</v>
      </c>
      <c r="J405" s="16" t="e">
        <f>#REF!</f>
        <v>#REF!</v>
      </c>
      <c r="K405" s="16"/>
      <c r="L405" s="16"/>
      <c r="M405" s="16"/>
      <c r="N405" s="16"/>
      <c r="O405" s="16"/>
      <c r="P405" s="20"/>
      <c r="Q405" s="20"/>
    </row>
    <row r="406" spans="1:17" ht="22.5" customHeight="1" thickTop="1" thickBot="1" x14ac:dyDescent="0.25">
      <c r="A406" s="16" t="e">
        <f>#REF!</f>
        <v>#REF!</v>
      </c>
      <c r="B406" s="16" t="e">
        <f>#REF!</f>
        <v>#REF!</v>
      </c>
      <c r="C406" s="16" t="e">
        <f>#REF!</f>
        <v>#REF!</v>
      </c>
      <c r="D406" s="16" t="e">
        <f>#REF!</f>
        <v>#REF!</v>
      </c>
      <c r="E406" s="16" t="e">
        <f>#REF!</f>
        <v>#REF!</v>
      </c>
      <c r="F406" s="16" t="e">
        <f>#REF!</f>
        <v>#REF!</v>
      </c>
      <c r="G406" s="16" t="e">
        <f>#REF!</f>
        <v>#REF!</v>
      </c>
      <c r="H406" s="16" t="e">
        <f>#REF!</f>
        <v>#REF!</v>
      </c>
      <c r="I406" s="16" t="e">
        <f>#REF!</f>
        <v>#REF!</v>
      </c>
      <c r="J406" s="16" t="e">
        <f>#REF!</f>
        <v>#REF!</v>
      </c>
      <c r="K406" s="16" t="s">
        <v>744</v>
      </c>
      <c r="L406" s="16"/>
      <c r="M406" s="16"/>
      <c r="N406" s="16"/>
      <c r="O406" s="16"/>
      <c r="P406" s="17"/>
      <c r="Q406" s="17"/>
    </row>
    <row r="407" spans="1:17" ht="22.5" customHeight="1" thickTop="1" thickBot="1" x14ac:dyDescent="0.25">
      <c r="A407" s="16" t="e">
        <f>#REF!</f>
        <v>#REF!</v>
      </c>
      <c r="B407" s="16" t="e">
        <f>#REF!</f>
        <v>#REF!</v>
      </c>
      <c r="C407" s="16" t="e">
        <f>#REF!</f>
        <v>#REF!</v>
      </c>
      <c r="D407" s="16" t="e">
        <f>#REF!</f>
        <v>#REF!</v>
      </c>
      <c r="E407" s="16" t="e">
        <f>#REF!</f>
        <v>#REF!</v>
      </c>
      <c r="F407" s="16" t="e">
        <f>#REF!</f>
        <v>#REF!</v>
      </c>
      <c r="G407" s="16" t="e">
        <f>#REF!</f>
        <v>#REF!</v>
      </c>
      <c r="H407" s="16" t="e">
        <f>#REF!</f>
        <v>#REF!</v>
      </c>
      <c r="I407" s="16" t="e">
        <f>#REF!</f>
        <v>#REF!</v>
      </c>
      <c r="J407" s="16" t="e">
        <f>#REF!</f>
        <v>#REF!</v>
      </c>
      <c r="K407" s="16"/>
      <c r="L407" s="16"/>
      <c r="M407" s="16"/>
      <c r="N407" s="16"/>
      <c r="O407" s="16"/>
      <c r="P407" s="17"/>
      <c r="Q407" s="17"/>
    </row>
    <row r="408" spans="1:17" ht="22.5" customHeight="1" thickTop="1" thickBot="1" x14ac:dyDescent="0.25">
      <c r="A408" s="16" t="e">
        <f>#REF!</f>
        <v>#REF!</v>
      </c>
      <c r="B408" s="16" t="e">
        <f>#REF!</f>
        <v>#REF!</v>
      </c>
      <c r="C408" s="16" t="e">
        <f>#REF!</f>
        <v>#REF!</v>
      </c>
      <c r="D408" s="16" t="e">
        <f>#REF!</f>
        <v>#REF!</v>
      </c>
      <c r="E408" s="16" t="e">
        <f>#REF!</f>
        <v>#REF!</v>
      </c>
      <c r="F408" s="16" t="e">
        <f>#REF!</f>
        <v>#REF!</v>
      </c>
      <c r="G408" s="16" t="e">
        <f>#REF!</f>
        <v>#REF!</v>
      </c>
      <c r="H408" s="16" t="e">
        <f>#REF!</f>
        <v>#REF!</v>
      </c>
      <c r="I408" s="16" t="e">
        <f>#REF!</f>
        <v>#REF!</v>
      </c>
      <c r="J408" s="16" t="e">
        <f>#REF!</f>
        <v>#REF!</v>
      </c>
      <c r="K408" s="16" t="s">
        <v>744</v>
      </c>
      <c r="L408" s="16"/>
      <c r="M408" s="16"/>
      <c r="N408" s="16"/>
      <c r="O408" s="16"/>
      <c r="P408" s="20"/>
      <c r="Q408" s="20"/>
    </row>
    <row r="409" spans="1:17" ht="22.5" customHeight="1" thickTop="1" thickBot="1" x14ac:dyDescent="0.25">
      <c r="A409" s="16" t="e">
        <f>#REF!</f>
        <v>#REF!</v>
      </c>
      <c r="B409" s="16" t="e">
        <f>#REF!</f>
        <v>#REF!</v>
      </c>
      <c r="C409" s="16" t="e">
        <f>#REF!</f>
        <v>#REF!</v>
      </c>
      <c r="D409" s="16" t="e">
        <f>#REF!</f>
        <v>#REF!</v>
      </c>
      <c r="E409" s="16" t="e">
        <f>#REF!</f>
        <v>#REF!</v>
      </c>
      <c r="F409" s="16" t="e">
        <f>#REF!</f>
        <v>#REF!</v>
      </c>
      <c r="G409" s="16" t="e">
        <f>#REF!</f>
        <v>#REF!</v>
      </c>
      <c r="H409" s="16" t="e">
        <f>#REF!</f>
        <v>#REF!</v>
      </c>
      <c r="I409" s="16" t="e">
        <f>#REF!</f>
        <v>#REF!</v>
      </c>
      <c r="J409" s="16" t="e">
        <f>#REF!</f>
        <v>#REF!</v>
      </c>
      <c r="K409" s="16"/>
      <c r="L409" s="16"/>
      <c r="M409" s="16"/>
      <c r="N409" s="16"/>
      <c r="O409" s="16"/>
      <c r="P409" s="20"/>
      <c r="Q409" s="20"/>
    </row>
    <row r="410" spans="1:17" ht="22.5" customHeight="1" thickTop="1" thickBot="1" x14ac:dyDescent="0.25">
      <c r="A410" s="16" t="e">
        <f>#REF!</f>
        <v>#REF!</v>
      </c>
      <c r="B410" s="16" t="e">
        <f>#REF!</f>
        <v>#REF!</v>
      </c>
      <c r="C410" s="16" t="e">
        <f>#REF!</f>
        <v>#REF!</v>
      </c>
      <c r="D410" s="16" t="e">
        <f>#REF!</f>
        <v>#REF!</v>
      </c>
      <c r="E410" s="16" t="e">
        <f>#REF!</f>
        <v>#REF!</v>
      </c>
      <c r="F410" s="16" t="e">
        <f>#REF!</f>
        <v>#REF!</v>
      </c>
      <c r="G410" s="16" t="e">
        <f>#REF!</f>
        <v>#REF!</v>
      </c>
      <c r="H410" s="16" t="e">
        <f>#REF!</f>
        <v>#REF!</v>
      </c>
      <c r="I410" s="16" t="e">
        <f>#REF!</f>
        <v>#REF!</v>
      </c>
      <c r="J410" s="16" t="e">
        <f>#REF!</f>
        <v>#REF!</v>
      </c>
      <c r="K410" s="16" t="s">
        <v>744</v>
      </c>
      <c r="L410" s="16"/>
      <c r="M410" s="16"/>
      <c r="N410" s="16"/>
      <c r="O410" s="16"/>
      <c r="P410" s="20"/>
      <c r="Q410" s="20"/>
    </row>
    <row r="411" spans="1:17" ht="22.5" customHeight="1" thickTop="1" thickBot="1" x14ac:dyDescent="0.25">
      <c r="A411" s="16" t="e">
        <f>#REF!</f>
        <v>#REF!</v>
      </c>
      <c r="B411" s="16" t="e">
        <f>#REF!</f>
        <v>#REF!</v>
      </c>
      <c r="C411" s="16" t="e">
        <f>#REF!</f>
        <v>#REF!</v>
      </c>
      <c r="D411" s="16" t="e">
        <f>#REF!</f>
        <v>#REF!</v>
      </c>
      <c r="E411" s="16" t="e">
        <f>#REF!</f>
        <v>#REF!</v>
      </c>
      <c r="F411" s="16" t="e">
        <f>#REF!</f>
        <v>#REF!</v>
      </c>
      <c r="G411" s="16" t="e">
        <f>#REF!</f>
        <v>#REF!</v>
      </c>
      <c r="H411" s="16" t="e">
        <f>#REF!</f>
        <v>#REF!</v>
      </c>
      <c r="I411" s="16" t="e">
        <f>#REF!</f>
        <v>#REF!</v>
      </c>
      <c r="J411" s="16" t="e">
        <f>#REF!</f>
        <v>#REF!</v>
      </c>
      <c r="K411" s="16"/>
      <c r="L411" s="16"/>
      <c r="M411" s="16"/>
      <c r="N411" s="16"/>
      <c r="O411" s="16"/>
      <c r="P411" s="20"/>
      <c r="Q411" s="20"/>
    </row>
    <row r="412" spans="1:17" ht="22.5" customHeight="1" thickTop="1" thickBot="1" x14ac:dyDescent="0.25">
      <c r="A412" s="16" t="e">
        <f>#REF!</f>
        <v>#REF!</v>
      </c>
      <c r="B412" s="16" t="e">
        <f>#REF!</f>
        <v>#REF!</v>
      </c>
      <c r="C412" s="16" t="e">
        <f>#REF!</f>
        <v>#REF!</v>
      </c>
      <c r="D412" s="16" t="e">
        <f>#REF!</f>
        <v>#REF!</v>
      </c>
      <c r="E412" s="16" t="e">
        <f>#REF!</f>
        <v>#REF!</v>
      </c>
      <c r="F412" s="16" t="e">
        <f>#REF!</f>
        <v>#REF!</v>
      </c>
      <c r="G412" s="16" t="e">
        <f>#REF!</f>
        <v>#REF!</v>
      </c>
      <c r="H412" s="16" t="e">
        <f>#REF!</f>
        <v>#REF!</v>
      </c>
      <c r="I412" s="16" t="e">
        <f>#REF!</f>
        <v>#REF!</v>
      </c>
      <c r="J412" s="16" t="e">
        <f>#REF!</f>
        <v>#REF!</v>
      </c>
      <c r="K412" s="16" t="s">
        <v>744</v>
      </c>
      <c r="L412" s="16"/>
      <c r="M412" s="16"/>
      <c r="N412" s="16"/>
      <c r="O412" s="16"/>
      <c r="P412" s="20"/>
      <c r="Q412" s="20"/>
    </row>
    <row r="413" spans="1:17" ht="22.5" customHeight="1" thickTop="1" thickBot="1" x14ac:dyDescent="0.25">
      <c r="A413" s="16" t="e">
        <f>#REF!</f>
        <v>#REF!</v>
      </c>
      <c r="B413" s="16" t="e">
        <f>#REF!</f>
        <v>#REF!</v>
      </c>
      <c r="C413" s="16" t="e">
        <f>#REF!</f>
        <v>#REF!</v>
      </c>
      <c r="D413" s="16" t="e">
        <f>#REF!</f>
        <v>#REF!</v>
      </c>
      <c r="E413" s="16" t="e">
        <f>#REF!</f>
        <v>#REF!</v>
      </c>
      <c r="F413" s="16" t="e">
        <f>#REF!</f>
        <v>#REF!</v>
      </c>
      <c r="G413" s="16" t="e">
        <f>#REF!</f>
        <v>#REF!</v>
      </c>
      <c r="H413" s="16" t="e">
        <f>#REF!</f>
        <v>#REF!</v>
      </c>
      <c r="I413" s="16" t="e">
        <f>#REF!</f>
        <v>#REF!</v>
      </c>
      <c r="J413" s="16" t="e">
        <f>#REF!</f>
        <v>#REF!</v>
      </c>
      <c r="K413" s="16"/>
      <c r="L413" s="16"/>
      <c r="M413" s="16"/>
      <c r="N413" s="16"/>
      <c r="O413" s="16"/>
      <c r="P413" s="20"/>
      <c r="Q413" s="20"/>
    </row>
    <row r="414" spans="1:17" ht="22.5" customHeight="1" thickTop="1" thickBot="1" x14ac:dyDescent="0.25">
      <c r="A414" s="16" t="e">
        <f>#REF!</f>
        <v>#REF!</v>
      </c>
      <c r="B414" s="16" t="e">
        <f>#REF!</f>
        <v>#REF!</v>
      </c>
      <c r="C414" s="16" t="e">
        <f>#REF!</f>
        <v>#REF!</v>
      </c>
      <c r="D414" s="16" t="e">
        <f>#REF!</f>
        <v>#REF!</v>
      </c>
      <c r="E414" s="16" t="e">
        <f>#REF!</f>
        <v>#REF!</v>
      </c>
      <c r="F414" s="16" t="e">
        <f>#REF!</f>
        <v>#REF!</v>
      </c>
      <c r="G414" s="16" t="e">
        <f>#REF!</f>
        <v>#REF!</v>
      </c>
      <c r="H414" s="16" t="e">
        <f>#REF!</f>
        <v>#REF!</v>
      </c>
      <c r="I414" s="16" t="e">
        <f>#REF!</f>
        <v>#REF!</v>
      </c>
      <c r="J414" s="16" t="e">
        <f>#REF!</f>
        <v>#REF!</v>
      </c>
      <c r="K414" s="16" t="s">
        <v>744</v>
      </c>
      <c r="L414" s="16"/>
      <c r="M414" s="16"/>
      <c r="N414" s="16"/>
      <c r="O414" s="16"/>
      <c r="P414" s="20"/>
      <c r="Q414" s="20"/>
    </row>
    <row r="415" spans="1:17" ht="22.5" customHeight="1" thickTop="1" thickBot="1" x14ac:dyDescent="0.25">
      <c r="A415" s="16" t="e">
        <f>#REF!</f>
        <v>#REF!</v>
      </c>
      <c r="B415" s="16" t="e">
        <f>#REF!</f>
        <v>#REF!</v>
      </c>
      <c r="C415" s="16" t="e">
        <f>#REF!</f>
        <v>#REF!</v>
      </c>
      <c r="D415" s="16" t="e">
        <f>#REF!</f>
        <v>#REF!</v>
      </c>
      <c r="E415" s="16" t="e">
        <f>#REF!</f>
        <v>#REF!</v>
      </c>
      <c r="F415" s="16" t="e">
        <f>#REF!</f>
        <v>#REF!</v>
      </c>
      <c r="G415" s="16" t="e">
        <f>#REF!</f>
        <v>#REF!</v>
      </c>
      <c r="H415" s="16" t="e">
        <f>#REF!</f>
        <v>#REF!</v>
      </c>
      <c r="I415" s="16" t="e">
        <f>#REF!</f>
        <v>#REF!</v>
      </c>
      <c r="J415" s="16" t="e">
        <f>#REF!</f>
        <v>#REF!</v>
      </c>
      <c r="K415" s="16" t="s">
        <v>744</v>
      </c>
      <c r="L415" s="16"/>
      <c r="M415" s="16"/>
      <c r="N415" s="16"/>
      <c r="O415" s="16"/>
      <c r="P415" s="20"/>
      <c r="Q415" s="20"/>
    </row>
    <row r="416" spans="1:17" ht="22.5" customHeight="1" thickTop="1" thickBot="1" x14ac:dyDescent="0.25">
      <c r="A416" s="16" t="e">
        <f>#REF!</f>
        <v>#REF!</v>
      </c>
      <c r="B416" s="16" t="e">
        <f>#REF!</f>
        <v>#REF!</v>
      </c>
      <c r="C416" s="16" t="e">
        <f>#REF!</f>
        <v>#REF!</v>
      </c>
      <c r="D416" s="16" t="e">
        <f>#REF!</f>
        <v>#REF!</v>
      </c>
      <c r="E416" s="16" t="e">
        <f>#REF!</f>
        <v>#REF!</v>
      </c>
      <c r="F416" s="16" t="e">
        <f>#REF!</f>
        <v>#REF!</v>
      </c>
      <c r="G416" s="16" t="e">
        <f>#REF!</f>
        <v>#REF!</v>
      </c>
      <c r="H416" s="16" t="e">
        <f>#REF!</f>
        <v>#REF!</v>
      </c>
      <c r="I416" s="16" t="e">
        <f>#REF!</f>
        <v>#REF!</v>
      </c>
      <c r="J416" s="16" t="e">
        <f>#REF!</f>
        <v>#REF!</v>
      </c>
      <c r="K416" s="16"/>
      <c r="L416" s="16"/>
      <c r="M416" s="16"/>
      <c r="N416" s="16"/>
      <c r="O416" s="16"/>
      <c r="P416" s="17"/>
      <c r="Q416" s="17"/>
    </row>
    <row r="417" spans="1:17" ht="22.5" customHeight="1" thickTop="1" thickBot="1" x14ac:dyDescent="0.25">
      <c r="A417" s="16" t="e">
        <f>#REF!</f>
        <v>#REF!</v>
      </c>
      <c r="B417" s="16" t="e">
        <f>#REF!</f>
        <v>#REF!</v>
      </c>
      <c r="C417" s="16" t="e">
        <f>#REF!</f>
        <v>#REF!</v>
      </c>
      <c r="D417" s="16" t="e">
        <f>#REF!</f>
        <v>#REF!</v>
      </c>
      <c r="E417" s="16" t="e">
        <f>#REF!</f>
        <v>#REF!</v>
      </c>
      <c r="F417" s="16" t="e">
        <f>#REF!</f>
        <v>#REF!</v>
      </c>
      <c r="G417" s="16" t="e">
        <f>#REF!</f>
        <v>#REF!</v>
      </c>
      <c r="H417" s="16" t="e">
        <f>#REF!</f>
        <v>#REF!</v>
      </c>
      <c r="I417" s="16" t="e">
        <f>#REF!</f>
        <v>#REF!</v>
      </c>
      <c r="J417" s="16" t="e">
        <f>#REF!</f>
        <v>#REF!</v>
      </c>
      <c r="K417" s="16" t="s">
        <v>744</v>
      </c>
      <c r="L417" s="16"/>
      <c r="M417" s="16"/>
      <c r="N417" s="16"/>
      <c r="O417" s="16"/>
      <c r="P417" s="17"/>
      <c r="Q417" s="17"/>
    </row>
    <row r="418" spans="1:17" ht="22.5" customHeight="1" thickTop="1" thickBot="1" x14ac:dyDescent="0.25">
      <c r="A418" s="16" t="e">
        <f>#REF!</f>
        <v>#REF!</v>
      </c>
      <c r="B418" s="16" t="e">
        <f>#REF!</f>
        <v>#REF!</v>
      </c>
      <c r="C418" s="16" t="e">
        <f>#REF!</f>
        <v>#REF!</v>
      </c>
      <c r="D418" s="16" t="e">
        <f>#REF!</f>
        <v>#REF!</v>
      </c>
      <c r="E418" s="16" t="e">
        <f>#REF!</f>
        <v>#REF!</v>
      </c>
      <c r="F418" s="16" t="e">
        <f>#REF!</f>
        <v>#REF!</v>
      </c>
      <c r="G418" s="16" t="e">
        <f>#REF!</f>
        <v>#REF!</v>
      </c>
      <c r="H418" s="16" t="e">
        <f>#REF!</f>
        <v>#REF!</v>
      </c>
      <c r="I418" s="16" t="e">
        <f>#REF!</f>
        <v>#REF!</v>
      </c>
      <c r="J418" s="16" t="e">
        <f>#REF!</f>
        <v>#REF!</v>
      </c>
      <c r="K418" s="16"/>
      <c r="L418" s="16"/>
      <c r="M418" s="16"/>
      <c r="N418" s="16"/>
      <c r="O418" s="16"/>
      <c r="P418" s="20"/>
      <c r="Q418" s="20"/>
    </row>
    <row r="419" spans="1:17" ht="22.5" customHeight="1" thickTop="1" thickBot="1" x14ac:dyDescent="0.25">
      <c r="A419" s="16" t="e">
        <f>#REF!</f>
        <v>#REF!</v>
      </c>
      <c r="B419" s="16" t="e">
        <f>#REF!</f>
        <v>#REF!</v>
      </c>
      <c r="C419" s="16" t="e">
        <f>#REF!</f>
        <v>#REF!</v>
      </c>
      <c r="D419" s="16" t="e">
        <f>#REF!</f>
        <v>#REF!</v>
      </c>
      <c r="E419" s="16" t="e">
        <f>#REF!</f>
        <v>#REF!</v>
      </c>
      <c r="F419" s="16" t="e">
        <f>#REF!</f>
        <v>#REF!</v>
      </c>
      <c r="G419" s="16" t="e">
        <f>#REF!</f>
        <v>#REF!</v>
      </c>
      <c r="H419" s="16" t="e">
        <f>#REF!</f>
        <v>#REF!</v>
      </c>
      <c r="I419" s="16" t="e">
        <f>#REF!</f>
        <v>#REF!</v>
      </c>
      <c r="J419" s="16" t="e">
        <f>#REF!</f>
        <v>#REF!</v>
      </c>
      <c r="K419" s="16" t="s">
        <v>744</v>
      </c>
      <c r="L419" s="16"/>
      <c r="M419" s="16"/>
      <c r="N419" s="16"/>
      <c r="O419" s="16"/>
      <c r="P419" s="20"/>
      <c r="Q419" s="20"/>
    </row>
    <row r="420" spans="1:17" ht="22.5" customHeight="1" thickTop="1" thickBot="1" x14ac:dyDescent="0.25">
      <c r="A420" s="16" t="e">
        <f>#REF!</f>
        <v>#REF!</v>
      </c>
      <c r="B420" s="16" t="e">
        <f>#REF!</f>
        <v>#REF!</v>
      </c>
      <c r="C420" s="16" t="e">
        <f>#REF!</f>
        <v>#REF!</v>
      </c>
      <c r="D420" s="16" t="e">
        <f>#REF!</f>
        <v>#REF!</v>
      </c>
      <c r="E420" s="16" t="e">
        <f>#REF!</f>
        <v>#REF!</v>
      </c>
      <c r="F420" s="16" t="e">
        <f>#REF!</f>
        <v>#REF!</v>
      </c>
      <c r="G420" s="16" t="e">
        <f>#REF!</f>
        <v>#REF!</v>
      </c>
      <c r="H420" s="16" t="e">
        <f>#REF!</f>
        <v>#REF!</v>
      </c>
      <c r="I420" s="16" t="e">
        <f>#REF!</f>
        <v>#REF!</v>
      </c>
      <c r="J420" s="16" t="e">
        <f>#REF!</f>
        <v>#REF!</v>
      </c>
      <c r="K420" s="16"/>
      <c r="L420" s="16"/>
      <c r="M420" s="16"/>
      <c r="N420" s="16"/>
      <c r="O420" s="16"/>
      <c r="P420" s="17"/>
      <c r="Q420" s="17"/>
    </row>
    <row r="421" spans="1:17" ht="22.5" customHeight="1" thickTop="1" thickBot="1" x14ac:dyDescent="0.25">
      <c r="A421" s="16" t="e">
        <f>#REF!</f>
        <v>#REF!</v>
      </c>
      <c r="B421" s="16" t="e">
        <f>#REF!</f>
        <v>#REF!</v>
      </c>
      <c r="C421" s="16" t="e">
        <f>#REF!</f>
        <v>#REF!</v>
      </c>
      <c r="D421" s="16" t="e">
        <f>#REF!</f>
        <v>#REF!</v>
      </c>
      <c r="E421" s="16" t="e">
        <f>#REF!</f>
        <v>#REF!</v>
      </c>
      <c r="F421" s="16" t="e">
        <f>#REF!</f>
        <v>#REF!</v>
      </c>
      <c r="G421" s="16" t="e">
        <f>#REF!</f>
        <v>#REF!</v>
      </c>
      <c r="H421" s="16" t="e">
        <f>#REF!</f>
        <v>#REF!</v>
      </c>
      <c r="I421" s="16" t="e">
        <f>#REF!</f>
        <v>#REF!</v>
      </c>
      <c r="J421" s="16" t="e">
        <f>#REF!</f>
        <v>#REF!</v>
      </c>
      <c r="K421" s="16" t="s">
        <v>744</v>
      </c>
      <c r="L421" s="16"/>
      <c r="M421" s="16"/>
      <c r="N421" s="16"/>
      <c r="O421" s="16"/>
      <c r="P421" s="17"/>
      <c r="Q421" s="17"/>
    </row>
    <row r="422" spans="1:17" ht="22.5" customHeight="1" thickTop="1" thickBot="1" x14ac:dyDescent="0.25">
      <c r="A422" s="16" t="e">
        <f>#REF!</f>
        <v>#REF!</v>
      </c>
      <c r="B422" s="16" t="e">
        <f>#REF!</f>
        <v>#REF!</v>
      </c>
      <c r="C422" s="16" t="e">
        <f>#REF!</f>
        <v>#REF!</v>
      </c>
      <c r="D422" s="16" t="e">
        <f>#REF!</f>
        <v>#REF!</v>
      </c>
      <c r="E422" s="16" t="e">
        <f>#REF!</f>
        <v>#REF!</v>
      </c>
      <c r="F422" s="16" t="e">
        <f>#REF!</f>
        <v>#REF!</v>
      </c>
      <c r="G422" s="16" t="e">
        <f>#REF!</f>
        <v>#REF!</v>
      </c>
      <c r="H422" s="16" t="e">
        <f>#REF!</f>
        <v>#REF!</v>
      </c>
      <c r="I422" s="16" t="e">
        <f>#REF!</f>
        <v>#REF!</v>
      </c>
      <c r="J422" s="16" t="e">
        <f>#REF!</f>
        <v>#REF!</v>
      </c>
      <c r="K422" s="16"/>
      <c r="L422" s="16"/>
      <c r="M422" s="16"/>
      <c r="N422" s="16"/>
      <c r="O422" s="16"/>
      <c r="P422" s="17"/>
      <c r="Q422" s="17"/>
    </row>
    <row r="423" spans="1:17" ht="22.5" customHeight="1" thickTop="1" thickBot="1" x14ac:dyDescent="0.25">
      <c r="A423" s="16" t="e">
        <f>#REF!</f>
        <v>#REF!</v>
      </c>
      <c r="B423" s="16" t="e">
        <f>#REF!</f>
        <v>#REF!</v>
      </c>
      <c r="C423" s="16" t="e">
        <f>#REF!</f>
        <v>#REF!</v>
      </c>
      <c r="D423" s="16" t="e">
        <f>#REF!</f>
        <v>#REF!</v>
      </c>
      <c r="E423" s="16" t="e">
        <f>#REF!</f>
        <v>#REF!</v>
      </c>
      <c r="F423" s="16" t="e">
        <f>#REF!</f>
        <v>#REF!</v>
      </c>
      <c r="G423" s="16" t="e">
        <f>#REF!</f>
        <v>#REF!</v>
      </c>
      <c r="H423" s="16" t="e">
        <f>#REF!</f>
        <v>#REF!</v>
      </c>
      <c r="I423" s="16" t="e">
        <f>#REF!</f>
        <v>#REF!</v>
      </c>
      <c r="J423" s="16" t="e">
        <f>#REF!</f>
        <v>#REF!</v>
      </c>
      <c r="K423" s="16" t="s">
        <v>744</v>
      </c>
      <c r="L423" s="16"/>
      <c r="M423" s="16"/>
      <c r="N423" s="16"/>
      <c r="O423" s="16"/>
      <c r="P423" s="17"/>
      <c r="Q423" s="17"/>
    </row>
    <row r="424" spans="1:17" ht="22.5" customHeight="1" thickTop="1" thickBot="1" x14ac:dyDescent="0.25">
      <c r="A424" s="16" t="e">
        <f>#REF!</f>
        <v>#REF!</v>
      </c>
      <c r="B424" s="16" t="e">
        <f>#REF!</f>
        <v>#REF!</v>
      </c>
      <c r="C424" s="16" t="e">
        <f>#REF!</f>
        <v>#REF!</v>
      </c>
      <c r="D424" s="16" t="e">
        <f>#REF!</f>
        <v>#REF!</v>
      </c>
      <c r="E424" s="16" t="e">
        <f>#REF!</f>
        <v>#REF!</v>
      </c>
      <c r="F424" s="16" t="e">
        <f>#REF!</f>
        <v>#REF!</v>
      </c>
      <c r="G424" s="16" t="e">
        <f>#REF!</f>
        <v>#REF!</v>
      </c>
      <c r="H424" s="16" t="e">
        <f>#REF!</f>
        <v>#REF!</v>
      </c>
      <c r="I424" s="16" t="e">
        <f>#REF!</f>
        <v>#REF!</v>
      </c>
      <c r="J424" s="16" t="e">
        <f>#REF!</f>
        <v>#REF!</v>
      </c>
      <c r="K424" s="16"/>
      <c r="L424" s="16"/>
      <c r="M424" s="16"/>
      <c r="N424" s="16"/>
      <c r="O424" s="16"/>
      <c r="P424" s="17"/>
      <c r="Q424" s="17"/>
    </row>
    <row r="425" spans="1:17" ht="22.5" customHeight="1" thickTop="1" thickBot="1" x14ac:dyDescent="0.25">
      <c r="A425" s="16" t="e">
        <f>#REF!</f>
        <v>#REF!</v>
      </c>
      <c r="B425" s="16" t="e">
        <f>#REF!</f>
        <v>#REF!</v>
      </c>
      <c r="C425" s="16" t="e">
        <f>#REF!</f>
        <v>#REF!</v>
      </c>
      <c r="D425" s="16" t="e">
        <f>#REF!</f>
        <v>#REF!</v>
      </c>
      <c r="E425" s="16" t="e">
        <f>#REF!</f>
        <v>#REF!</v>
      </c>
      <c r="F425" s="16" t="e">
        <f>#REF!</f>
        <v>#REF!</v>
      </c>
      <c r="G425" s="16" t="e">
        <f>#REF!</f>
        <v>#REF!</v>
      </c>
      <c r="H425" s="16" t="e">
        <f>#REF!</f>
        <v>#REF!</v>
      </c>
      <c r="I425" s="16" t="e">
        <f>#REF!</f>
        <v>#REF!</v>
      </c>
      <c r="J425" s="16" t="e">
        <f>#REF!</f>
        <v>#REF!</v>
      </c>
      <c r="K425" s="16" t="s">
        <v>744</v>
      </c>
      <c r="L425" s="16"/>
      <c r="M425" s="16"/>
      <c r="N425" s="16"/>
      <c r="O425" s="16"/>
      <c r="P425" s="20"/>
      <c r="Q425" s="20"/>
    </row>
    <row r="426" spans="1:17" ht="22.5" customHeight="1" thickTop="1" thickBot="1" x14ac:dyDescent="0.25">
      <c r="A426" s="16" t="e">
        <f>#REF!</f>
        <v>#REF!</v>
      </c>
      <c r="B426" s="16" t="e">
        <f>#REF!</f>
        <v>#REF!</v>
      </c>
      <c r="C426" s="16" t="e">
        <f>#REF!</f>
        <v>#REF!</v>
      </c>
      <c r="D426" s="16" t="e">
        <f>#REF!</f>
        <v>#REF!</v>
      </c>
      <c r="E426" s="16" t="e">
        <f>#REF!</f>
        <v>#REF!</v>
      </c>
      <c r="F426" s="16" t="e">
        <f>#REF!</f>
        <v>#REF!</v>
      </c>
      <c r="G426" s="16" t="e">
        <f>#REF!</f>
        <v>#REF!</v>
      </c>
      <c r="H426" s="16" t="e">
        <f>#REF!</f>
        <v>#REF!</v>
      </c>
      <c r="I426" s="16" t="e">
        <f>#REF!</f>
        <v>#REF!</v>
      </c>
      <c r="J426" s="16" t="e">
        <f>#REF!</f>
        <v>#REF!</v>
      </c>
      <c r="K426" s="16"/>
      <c r="L426" s="16"/>
      <c r="M426" s="16"/>
      <c r="N426" s="16"/>
      <c r="O426" s="16"/>
      <c r="P426" s="20"/>
      <c r="Q426" s="20"/>
    </row>
    <row r="427" spans="1:17" ht="22.5" customHeight="1" thickTop="1" thickBot="1" x14ac:dyDescent="0.25">
      <c r="A427" s="16" t="e">
        <f>#REF!</f>
        <v>#REF!</v>
      </c>
      <c r="B427" s="16" t="e">
        <f>#REF!</f>
        <v>#REF!</v>
      </c>
      <c r="C427" s="16" t="e">
        <f>#REF!</f>
        <v>#REF!</v>
      </c>
      <c r="D427" s="16" t="e">
        <f>#REF!</f>
        <v>#REF!</v>
      </c>
      <c r="E427" s="16" t="e">
        <f>#REF!</f>
        <v>#REF!</v>
      </c>
      <c r="F427" s="16" t="e">
        <f>#REF!</f>
        <v>#REF!</v>
      </c>
      <c r="G427" s="16" t="e">
        <f>#REF!</f>
        <v>#REF!</v>
      </c>
      <c r="H427" s="16" t="e">
        <f>#REF!</f>
        <v>#REF!</v>
      </c>
      <c r="I427" s="16" t="e">
        <f>#REF!</f>
        <v>#REF!</v>
      </c>
      <c r="J427" s="16" t="e">
        <f>#REF!</f>
        <v>#REF!</v>
      </c>
      <c r="K427" s="16"/>
      <c r="L427" s="16"/>
      <c r="M427" s="16"/>
      <c r="N427" s="16"/>
      <c r="O427" s="16"/>
      <c r="P427" s="17"/>
      <c r="Q427" s="17"/>
    </row>
    <row r="428" spans="1:17" ht="22.5" customHeight="1" thickTop="1" thickBot="1" x14ac:dyDescent="0.25">
      <c r="A428" s="16" t="e">
        <f>#REF!</f>
        <v>#REF!</v>
      </c>
      <c r="B428" s="16" t="e">
        <f>#REF!</f>
        <v>#REF!</v>
      </c>
      <c r="C428" s="16" t="e">
        <f>#REF!</f>
        <v>#REF!</v>
      </c>
      <c r="D428" s="16" t="e">
        <f>#REF!</f>
        <v>#REF!</v>
      </c>
      <c r="E428" s="16" t="e">
        <f>#REF!</f>
        <v>#REF!</v>
      </c>
      <c r="F428" s="16" t="e">
        <f>#REF!</f>
        <v>#REF!</v>
      </c>
      <c r="G428" s="16" t="e">
        <f>#REF!</f>
        <v>#REF!</v>
      </c>
      <c r="H428" s="16" t="e">
        <f>#REF!</f>
        <v>#REF!</v>
      </c>
      <c r="I428" s="16" t="e">
        <f>#REF!</f>
        <v>#REF!</v>
      </c>
      <c r="J428" s="16" t="e">
        <f>#REF!</f>
        <v>#REF!</v>
      </c>
      <c r="K428" s="16"/>
      <c r="L428" s="16"/>
      <c r="M428" s="16"/>
      <c r="N428" s="16"/>
      <c r="O428" s="16"/>
      <c r="P428" s="17"/>
      <c r="Q428" s="17" t="s">
        <v>795</v>
      </c>
    </row>
    <row r="429" spans="1:17" ht="22.5" customHeight="1" thickTop="1" thickBot="1" x14ac:dyDescent="0.25">
      <c r="A429" s="16" t="e">
        <f>#REF!</f>
        <v>#REF!</v>
      </c>
      <c r="B429" s="16" t="e">
        <f>#REF!</f>
        <v>#REF!</v>
      </c>
      <c r="C429" s="16" t="e">
        <f>#REF!</f>
        <v>#REF!</v>
      </c>
      <c r="D429" s="16" t="e">
        <f>#REF!</f>
        <v>#REF!</v>
      </c>
      <c r="E429" s="16" t="e">
        <f>#REF!</f>
        <v>#REF!</v>
      </c>
      <c r="F429" s="16" t="e">
        <f>#REF!</f>
        <v>#REF!</v>
      </c>
      <c r="G429" s="16" t="e">
        <f>#REF!</f>
        <v>#REF!</v>
      </c>
      <c r="H429" s="16" t="e">
        <f>#REF!</f>
        <v>#REF!</v>
      </c>
      <c r="I429" s="16" t="e">
        <f>#REF!</f>
        <v>#REF!</v>
      </c>
      <c r="J429" s="16" t="e">
        <f>#REF!</f>
        <v>#REF!</v>
      </c>
      <c r="K429" s="16"/>
      <c r="L429" s="16"/>
      <c r="M429" s="16"/>
      <c r="N429" s="16"/>
      <c r="O429" s="16"/>
      <c r="P429" s="17"/>
      <c r="Q429" s="17" t="s">
        <v>795</v>
      </c>
    </row>
    <row r="430" spans="1:17" ht="22.5" customHeight="1" thickTop="1" thickBot="1" x14ac:dyDescent="0.25">
      <c r="A430" s="16" t="e">
        <f>#REF!</f>
        <v>#REF!</v>
      </c>
      <c r="B430" s="16" t="e">
        <f>#REF!</f>
        <v>#REF!</v>
      </c>
      <c r="C430" s="16" t="e">
        <f>#REF!</f>
        <v>#REF!</v>
      </c>
      <c r="D430" s="16" t="e">
        <f>#REF!</f>
        <v>#REF!</v>
      </c>
      <c r="E430" s="16" t="e">
        <f>#REF!</f>
        <v>#REF!</v>
      </c>
      <c r="F430" s="16" t="e">
        <f>#REF!</f>
        <v>#REF!</v>
      </c>
      <c r="G430" s="16" t="e">
        <f>#REF!</f>
        <v>#REF!</v>
      </c>
      <c r="H430" s="16" t="e">
        <f>#REF!</f>
        <v>#REF!</v>
      </c>
      <c r="I430" s="16" t="e">
        <f>#REF!</f>
        <v>#REF!</v>
      </c>
      <c r="J430" s="16" t="e">
        <f>#REF!</f>
        <v>#REF!</v>
      </c>
      <c r="K430" s="16" t="s">
        <v>744</v>
      </c>
      <c r="L430" s="16"/>
      <c r="M430" s="16"/>
      <c r="N430" s="16"/>
      <c r="O430" s="16"/>
      <c r="P430" s="17"/>
      <c r="Q430" s="17"/>
    </row>
    <row r="431" spans="1:17" ht="22.5" customHeight="1" thickTop="1" thickBot="1" x14ac:dyDescent="0.25">
      <c r="A431" s="16" t="e">
        <f>#REF!</f>
        <v>#REF!</v>
      </c>
      <c r="B431" s="16" t="e">
        <f>#REF!</f>
        <v>#REF!</v>
      </c>
      <c r="C431" s="16" t="e">
        <f>#REF!</f>
        <v>#REF!</v>
      </c>
      <c r="D431" s="16" t="e">
        <f>#REF!</f>
        <v>#REF!</v>
      </c>
      <c r="E431" s="16" t="e">
        <f>#REF!</f>
        <v>#REF!</v>
      </c>
      <c r="F431" s="16" t="e">
        <f>#REF!</f>
        <v>#REF!</v>
      </c>
      <c r="G431" s="16" t="e">
        <f>#REF!</f>
        <v>#REF!</v>
      </c>
      <c r="H431" s="16" t="e">
        <f>#REF!</f>
        <v>#REF!</v>
      </c>
      <c r="I431" s="16" t="e">
        <f>#REF!</f>
        <v>#REF!</v>
      </c>
      <c r="J431" s="16" t="e">
        <f>#REF!</f>
        <v>#REF!</v>
      </c>
      <c r="K431" s="16" t="s">
        <v>744</v>
      </c>
      <c r="L431" s="16"/>
      <c r="M431" s="16"/>
      <c r="N431" s="16"/>
      <c r="O431" s="16"/>
      <c r="P431" s="17"/>
      <c r="Q431" s="17"/>
    </row>
    <row r="432" spans="1:17" ht="22.5" customHeight="1" thickTop="1" thickBot="1" x14ac:dyDescent="0.25">
      <c r="A432" s="16" t="e">
        <f>#REF!</f>
        <v>#REF!</v>
      </c>
      <c r="B432" s="16" t="e">
        <f>#REF!</f>
        <v>#REF!</v>
      </c>
      <c r="C432" s="16" t="e">
        <f>#REF!</f>
        <v>#REF!</v>
      </c>
      <c r="D432" s="16" t="e">
        <f>#REF!</f>
        <v>#REF!</v>
      </c>
      <c r="E432" s="16" t="e">
        <f>#REF!</f>
        <v>#REF!</v>
      </c>
      <c r="F432" s="16" t="e">
        <f>#REF!</f>
        <v>#REF!</v>
      </c>
      <c r="G432" s="16" t="e">
        <f>#REF!</f>
        <v>#REF!</v>
      </c>
      <c r="H432" s="16" t="e">
        <f>#REF!</f>
        <v>#REF!</v>
      </c>
      <c r="I432" s="16" t="e">
        <f>#REF!</f>
        <v>#REF!</v>
      </c>
      <c r="J432" s="16" t="e">
        <f>#REF!</f>
        <v>#REF!</v>
      </c>
      <c r="K432" s="16" t="s">
        <v>744</v>
      </c>
      <c r="L432" s="16"/>
      <c r="M432" s="16"/>
      <c r="N432" s="16"/>
      <c r="O432" s="16"/>
      <c r="P432" s="17"/>
      <c r="Q432" s="17"/>
    </row>
    <row r="433" spans="1:17" ht="22.5" customHeight="1" thickTop="1" thickBot="1" x14ac:dyDescent="0.25">
      <c r="A433" s="16" t="e">
        <f>#REF!</f>
        <v>#REF!</v>
      </c>
      <c r="B433" s="16" t="e">
        <f>#REF!</f>
        <v>#REF!</v>
      </c>
      <c r="C433" s="16" t="e">
        <f>#REF!</f>
        <v>#REF!</v>
      </c>
      <c r="D433" s="16" t="e">
        <f>#REF!</f>
        <v>#REF!</v>
      </c>
      <c r="E433" s="16" t="e">
        <f>#REF!</f>
        <v>#REF!</v>
      </c>
      <c r="F433" s="16" t="e">
        <f>#REF!</f>
        <v>#REF!</v>
      </c>
      <c r="G433" s="16" t="e">
        <f>#REF!</f>
        <v>#REF!</v>
      </c>
      <c r="H433" s="16" t="e">
        <f>#REF!</f>
        <v>#REF!</v>
      </c>
      <c r="I433" s="16" t="e">
        <f>#REF!</f>
        <v>#REF!</v>
      </c>
      <c r="J433" s="16" t="e">
        <f>#REF!</f>
        <v>#REF!</v>
      </c>
      <c r="K433" s="16"/>
      <c r="L433" s="16"/>
      <c r="M433" s="16"/>
      <c r="N433" s="16"/>
      <c r="O433" s="16"/>
      <c r="P433" s="17"/>
      <c r="Q433" s="17"/>
    </row>
    <row r="434" spans="1:17" ht="22.5" customHeight="1" thickTop="1" thickBot="1" x14ac:dyDescent="0.25">
      <c r="A434" s="16" t="e">
        <f>#REF!</f>
        <v>#REF!</v>
      </c>
      <c r="B434" s="16" t="e">
        <f>#REF!</f>
        <v>#REF!</v>
      </c>
      <c r="C434" s="16" t="e">
        <f>#REF!</f>
        <v>#REF!</v>
      </c>
      <c r="D434" s="16" t="e">
        <f>#REF!</f>
        <v>#REF!</v>
      </c>
      <c r="E434" s="16" t="e">
        <f>#REF!</f>
        <v>#REF!</v>
      </c>
      <c r="F434" s="16" t="e">
        <f>#REF!</f>
        <v>#REF!</v>
      </c>
      <c r="G434" s="16" t="e">
        <f>#REF!</f>
        <v>#REF!</v>
      </c>
      <c r="H434" s="16" t="e">
        <f>#REF!</f>
        <v>#REF!</v>
      </c>
      <c r="I434" s="16" t="e">
        <f>#REF!</f>
        <v>#REF!</v>
      </c>
      <c r="J434" s="16" t="e">
        <f>#REF!</f>
        <v>#REF!</v>
      </c>
      <c r="K434" s="16" t="s">
        <v>744</v>
      </c>
      <c r="L434" s="16"/>
      <c r="M434" s="16"/>
      <c r="N434" s="16"/>
      <c r="O434" s="16"/>
      <c r="P434" s="17"/>
      <c r="Q434" s="17"/>
    </row>
    <row r="435" spans="1:17" ht="22.5" customHeight="1" thickTop="1" thickBot="1" x14ac:dyDescent="0.25">
      <c r="A435" s="16" t="e">
        <f>#REF!</f>
        <v>#REF!</v>
      </c>
      <c r="B435" s="16" t="e">
        <f>#REF!</f>
        <v>#REF!</v>
      </c>
      <c r="C435" s="16" t="e">
        <f>#REF!</f>
        <v>#REF!</v>
      </c>
      <c r="D435" s="16" t="e">
        <f>#REF!</f>
        <v>#REF!</v>
      </c>
      <c r="E435" s="16" t="e">
        <f>#REF!</f>
        <v>#REF!</v>
      </c>
      <c r="F435" s="16" t="e">
        <f>#REF!</f>
        <v>#REF!</v>
      </c>
      <c r="G435" s="16" t="e">
        <f>#REF!</f>
        <v>#REF!</v>
      </c>
      <c r="H435" s="16" t="e">
        <f>#REF!</f>
        <v>#REF!</v>
      </c>
      <c r="I435" s="16" t="e">
        <f>#REF!</f>
        <v>#REF!</v>
      </c>
      <c r="J435" s="16" t="e">
        <f>#REF!</f>
        <v>#REF!</v>
      </c>
      <c r="K435" s="16"/>
      <c r="L435" s="16"/>
      <c r="M435" s="16"/>
      <c r="N435" s="16"/>
      <c r="O435" s="16"/>
      <c r="P435" s="18"/>
      <c r="Q435" s="18"/>
    </row>
    <row r="436" spans="1:17" ht="22.5" customHeight="1" thickTop="1" thickBot="1" x14ac:dyDescent="0.25">
      <c r="A436" s="16" t="e">
        <f>#REF!</f>
        <v>#REF!</v>
      </c>
      <c r="B436" s="16" t="e">
        <f>#REF!</f>
        <v>#REF!</v>
      </c>
      <c r="C436" s="16" t="e">
        <f>#REF!</f>
        <v>#REF!</v>
      </c>
      <c r="D436" s="16" t="e">
        <f>#REF!</f>
        <v>#REF!</v>
      </c>
      <c r="E436" s="16" t="e">
        <f>#REF!</f>
        <v>#REF!</v>
      </c>
      <c r="F436" s="16" t="e">
        <f>#REF!</f>
        <v>#REF!</v>
      </c>
      <c r="G436" s="16" t="e">
        <f>#REF!</f>
        <v>#REF!</v>
      </c>
      <c r="H436" s="16" t="e">
        <f>#REF!</f>
        <v>#REF!</v>
      </c>
      <c r="I436" s="16" t="e">
        <f>#REF!</f>
        <v>#REF!</v>
      </c>
      <c r="J436" s="16" t="e">
        <f>#REF!</f>
        <v>#REF!</v>
      </c>
      <c r="K436" s="16"/>
      <c r="L436" s="16"/>
      <c r="M436" s="16"/>
      <c r="N436" s="16"/>
      <c r="O436" s="16"/>
      <c r="P436" s="18"/>
      <c r="Q436" s="18"/>
    </row>
    <row r="437" spans="1:17" ht="22.5" customHeight="1" thickTop="1" thickBot="1" x14ac:dyDescent="0.25">
      <c r="A437" s="16" t="e">
        <f>#REF!</f>
        <v>#REF!</v>
      </c>
      <c r="B437" s="16" t="e">
        <f>#REF!</f>
        <v>#REF!</v>
      </c>
      <c r="C437" s="16" t="e">
        <f>#REF!</f>
        <v>#REF!</v>
      </c>
      <c r="D437" s="16" t="e">
        <f>#REF!</f>
        <v>#REF!</v>
      </c>
      <c r="E437" s="16" t="e">
        <f>#REF!</f>
        <v>#REF!</v>
      </c>
      <c r="F437" s="16" t="e">
        <f>#REF!</f>
        <v>#REF!</v>
      </c>
      <c r="G437" s="16" t="e">
        <f>#REF!</f>
        <v>#REF!</v>
      </c>
      <c r="H437" s="16" t="e">
        <f>#REF!</f>
        <v>#REF!</v>
      </c>
      <c r="I437" s="16" t="e">
        <f>#REF!</f>
        <v>#REF!</v>
      </c>
      <c r="J437" s="16" t="e">
        <f>#REF!</f>
        <v>#REF!</v>
      </c>
      <c r="K437" s="16"/>
      <c r="L437" s="16"/>
      <c r="M437" s="16"/>
      <c r="N437" s="16"/>
      <c r="O437" s="16"/>
      <c r="P437" s="20"/>
      <c r="Q437" s="20"/>
    </row>
    <row r="438" spans="1:17" ht="22.5" customHeight="1" thickTop="1" thickBot="1" x14ac:dyDescent="0.25">
      <c r="A438" s="16" t="e">
        <f>#REF!</f>
        <v>#REF!</v>
      </c>
      <c r="B438" s="16" t="e">
        <f>#REF!</f>
        <v>#REF!</v>
      </c>
      <c r="C438" s="16" t="e">
        <f>#REF!</f>
        <v>#REF!</v>
      </c>
      <c r="D438" s="16" t="e">
        <f>#REF!</f>
        <v>#REF!</v>
      </c>
      <c r="E438" s="16" t="e">
        <f>#REF!</f>
        <v>#REF!</v>
      </c>
      <c r="F438" s="16" t="e">
        <f>#REF!</f>
        <v>#REF!</v>
      </c>
      <c r="G438" s="16" t="e">
        <f>#REF!</f>
        <v>#REF!</v>
      </c>
      <c r="H438" s="16" t="e">
        <f>#REF!</f>
        <v>#REF!</v>
      </c>
      <c r="I438" s="16" t="e">
        <f>#REF!</f>
        <v>#REF!</v>
      </c>
      <c r="J438" s="16" t="e">
        <f>#REF!</f>
        <v>#REF!</v>
      </c>
      <c r="K438" s="16" t="s">
        <v>744</v>
      </c>
      <c r="L438" s="16"/>
      <c r="M438" s="16"/>
      <c r="N438" s="16"/>
      <c r="O438" s="16"/>
      <c r="P438" s="20"/>
      <c r="Q438" s="20"/>
    </row>
    <row r="439" spans="1:17" ht="22.5" customHeight="1" thickTop="1" thickBot="1" x14ac:dyDescent="0.25">
      <c r="A439" s="16" t="e">
        <f>#REF!</f>
        <v>#REF!</v>
      </c>
      <c r="B439" s="16" t="e">
        <f>#REF!</f>
        <v>#REF!</v>
      </c>
      <c r="C439" s="16" t="e">
        <f>#REF!</f>
        <v>#REF!</v>
      </c>
      <c r="D439" s="16" t="e">
        <f>#REF!</f>
        <v>#REF!</v>
      </c>
      <c r="E439" s="16" t="e">
        <f>#REF!</f>
        <v>#REF!</v>
      </c>
      <c r="F439" s="16" t="e">
        <f>#REF!</f>
        <v>#REF!</v>
      </c>
      <c r="G439" s="16" t="e">
        <f>#REF!</f>
        <v>#REF!</v>
      </c>
      <c r="H439" s="16" t="e">
        <f>#REF!</f>
        <v>#REF!</v>
      </c>
      <c r="I439" s="16" t="e">
        <f>#REF!</f>
        <v>#REF!</v>
      </c>
      <c r="J439" s="16" t="e">
        <f>#REF!</f>
        <v>#REF!</v>
      </c>
      <c r="K439" s="16"/>
      <c r="L439" s="16"/>
      <c r="M439" s="16"/>
      <c r="N439" s="16"/>
      <c r="O439" s="16"/>
      <c r="P439" s="20"/>
      <c r="Q439" s="20"/>
    </row>
    <row r="440" spans="1:17" ht="22.5" customHeight="1" thickTop="1" thickBot="1" x14ac:dyDescent="0.25">
      <c r="A440" s="16" t="e">
        <f>#REF!</f>
        <v>#REF!</v>
      </c>
      <c r="B440" s="16" t="e">
        <f>#REF!</f>
        <v>#REF!</v>
      </c>
      <c r="C440" s="16" t="e">
        <f>#REF!</f>
        <v>#REF!</v>
      </c>
      <c r="D440" s="16" t="e">
        <f>#REF!</f>
        <v>#REF!</v>
      </c>
      <c r="E440" s="16" t="e">
        <f>#REF!</f>
        <v>#REF!</v>
      </c>
      <c r="F440" s="16" t="e">
        <f>#REF!</f>
        <v>#REF!</v>
      </c>
      <c r="G440" s="16" t="e">
        <f>#REF!</f>
        <v>#REF!</v>
      </c>
      <c r="H440" s="16" t="e">
        <f>#REF!</f>
        <v>#REF!</v>
      </c>
      <c r="I440" s="16" t="e">
        <f>#REF!</f>
        <v>#REF!</v>
      </c>
      <c r="J440" s="16" t="e">
        <f>#REF!</f>
        <v>#REF!</v>
      </c>
      <c r="K440" s="16" t="s">
        <v>744</v>
      </c>
      <c r="L440" s="16"/>
      <c r="M440" s="16"/>
      <c r="N440" s="16"/>
      <c r="O440" s="16"/>
      <c r="P440" s="17"/>
      <c r="Q440" s="17"/>
    </row>
    <row r="441" spans="1:17" ht="22.5" customHeight="1" thickTop="1" thickBot="1" x14ac:dyDescent="0.25">
      <c r="A441" s="16" t="e">
        <f>#REF!</f>
        <v>#REF!</v>
      </c>
      <c r="B441" s="16" t="e">
        <f>#REF!</f>
        <v>#REF!</v>
      </c>
      <c r="C441" s="16" t="e">
        <f>#REF!</f>
        <v>#REF!</v>
      </c>
      <c r="D441" s="16" t="e">
        <f>#REF!</f>
        <v>#REF!</v>
      </c>
      <c r="E441" s="16" t="e">
        <f>#REF!</f>
        <v>#REF!</v>
      </c>
      <c r="F441" s="16" t="e">
        <f>#REF!</f>
        <v>#REF!</v>
      </c>
      <c r="G441" s="16" t="e">
        <f>#REF!</f>
        <v>#REF!</v>
      </c>
      <c r="H441" s="16" t="e">
        <f>#REF!</f>
        <v>#REF!</v>
      </c>
      <c r="I441" s="16" t="e">
        <f>#REF!</f>
        <v>#REF!</v>
      </c>
      <c r="J441" s="16" t="e">
        <f>#REF!</f>
        <v>#REF!</v>
      </c>
      <c r="K441" s="16"/>
      <c r="L441" s="16"/>
      <c r="M441" s="16"/>
      <c r="N441" s="16"/>
      <c r="O441" s="16"/>
      <c r="P441" s="17"/>
      <c r="Q441" s="17"/>
    </row>
    <row r="442" spans="1:17" ht="22.5" customHeight="1" thickTop="1" thickBot="1" x14ac:dyDescent="0.25">
      <c r="A442" s="16" t="e">
        <f>#REF!</f>
        <v>#REF!</v>
      </c>
      <c r="B442" s="16" t="e">
        <f>#REF!</f>
        <v>#REF!</v>
      </c>
      <c r="C442" s="16" t="e">
        <f>#REF!</f>
        <v>#REF!</v>
      </c>
      <c r="D442" s="16" t="e">
        <f>#REF!</f>
        <v>#REF!</v>
      </c>
      <c r="E442" s="16" t="e">
        <f>#REF!</f>
        <v>#REF!</v>
      </c>
      <c r="F442" s="16" t="e">
        <f>#REF!</f>
        <v>#REF!</v>
      </c>
      <c r="G442" s="16" t="e">
        <f>#REF!</f>
        <v>#REF!</v>
      </c>
      <c r="H442" s="16" t="e">
        <f>#REF!</f>
        <v>#REF!</v>
      </c>
      <c r="I442" s="16" t="e">
        <f>#REF!</f>
        <v>#REF!</v>
      </c>
      <c r="J442" s="16" t="e">
        <f>#REF!</f>
        <v>#REF!</v>
      </c>
      <c r="K442" s="16" t="s">
        <v>744</v>
      </c>
      <c r="L442" s="16"/>
      <c r="M442" s="16"/>
      <c r="N442" s="16"/>
      <c r="O442" s="16"/>
      <c r="P442" s="17"/>
      <c r="Q442" s="17"/>
    </row>
    <row r="443" spans="1:17" ht="22.5" customHeight="1" thickTop="1" thickBot="1" x14ac:dyDescent="0.25">
      <c r="A443" s="16" t="e">
        <f>#REF!</f>
        <v>#REF!</v>
      </c>
      <c r="B443" s="16" t="e">
        <f>#REF!</f>
        <v>#REF!</v>
      </c>
      <c r="C443" s="16" t="e">
        <f>#REF!</f>
        <v>#REF!</v>
      </c>
      <c r="D443" s="16" t="e">
        <f>#REF!</f>
        <v>#REF!</v>
      </c>
      <c r="E443" s="16" t="e">
        <f>#REF!</f>
        <v>#REF!</v>
      </c>
      <c r="F443" s="16" t="e">
        <f>#REF!</f>
        <v>#REF!</v>
      </c>
      <c r="G443" s="16" t="e">
        <f>#REF!</f>
        <v>#REF!</v>
      </c>
      <c r="H443" s="16" t="e">
        <f>#REF!</f>
        <v>#REF!</v>
      </c>
      <c r="I443" s="16" t="e">
        <f>#REF!</f>
        <v>#REF!</v>
      </c>
      <c r="J443" s="16" t="e">
        <f>#REF!</f>
        <v>#REF!</v>
      </c>
      <c r="K443" s="16"/>
      <c r="L443" s="16"/>
      <c r="M443" s="16"/>
      <c r="N443" s="16"/>
      <c r="O443" s="16"/>
      <c r="P443" s="17"/>
      <c r="Q443" s="17"/>
    </row>
    <row r="444" spans="1:17" ht="22.5" customHeight="1" thickTop="1" thickBot="1" x14ac:dyDescent="0.25">
      <c r="A444" s="16" t="e">
        <f>#REF!</f>
        <v>#REF!</v>
      </c>
      <c r="B444" s="16" t="e">
        <f>#REF!</f>
        <v>#REF!</v>
      </c>
      <c r="C444" s="16" t="e">
        <f>#REF!</f>
        <v>#REF!</v>
      </c>
      <c r="D444" s="16" t="e">
        <f>#REF!</f>
        <v>#REF!</v>
      </c>
      <c r="E444" s="16" t="e">
        <f>#REF!</f>
        <v>#REF!</v>
      </c>
      <c r="F444" s="16" t="e">
        <f>#REF!</f>
        <v>#REF!</v>
      </c>
      <c r="G444" s="16" t="e">
        <f>#REF!</f>
        <v>#REF!</v>
      </c>
      <c r="H444" s="16" t="e">
        <f>#REF!</f>
        <v>#REF!</v>
      </c>
      <c r="I444" s="16" t="e">
        <f>#REF!</f>
        <v>#REF!</v>
      </c>
      <c r="J444" s="16" t="e">
        <f>#REF!</f>
        <v>#REF!</v>
      </c>
      <c r="K444" s="16" t="s">
        <v>744</v>
      </c>
      <c r="L444" s="16"/>
      <c r="M444" s="16"/>
      <c r="N444" s="16"/>
      <c r="O444" s="16"/>
      <c r="P444" s="17"/>
      <c r="Q444" s="17"/>
    </row>
    <row r="445" spans="1:17" ht="22.5" customHeight="1" thickTop="1" thickBot="1" x14ac:dyDescent="0.25">
      <c r="A445" s="16" t="e">
        <f>#REF!</f>
        <v>#REF!</v>
      </c>
      <c r="B445" s="16" t="e">
        <f>#REF!</f>
        <v>#REF!</v>
      </c>
      <c r="C445" s="16" t="e">
        <f>#REF!</f>
        <v>#REF!</v>
      </c>
      <c r="D445" s="16" t="e">
        <f>#REF!</f>
        <v>#REF!</v>
      </c>
      <c r="E445" s="16" t="e">
        <f>#REF!</f>
        <v>#REF!</v>
      </c>
      <c r="F445" s="16" t="e">
        <f>#REF!</f>
        <v>#REF!</v>
      </c>
      <c r="G445" s="16" t="e">
        <f>#REF!</f>
        <v>#REF!</v>
      </c>
      <c r="H445" s="16" t="e">
        <f>#REF!</f>
        <v>#REF!</v>
      </c>
      <c r="I445" s="16" t="e">
        <f>#REF!</f>
        <v>#REF!</v>
      </c>
      <c r="J445" s="16" t="e">
        <f>#REF!</f>
        <v>#REF!</v>
      </c>
      <c r="K445" s="16"/>
      <c r="L445" s="16"/>
      <c r="M445" s="16"/>
      <c r="N445" s="16"/>
      <c r="O445" s="16"/>
      <c r="P445" s="17"/>
      <c r="Q445" s="17"/>
    </row>
    <row r="446" spans="1:17" ht="22.5" customHeight="1" thickTop="1" thickBot="1" x14ac:dyDescent="0.25">
      <c r="A446" s="16" t="e">
        <f>#REF!</f>
        <v>#REF!</v>
      </c>
      <c r="B446" s="16" t="e">
        <f>#REF!</f>
        <v>#REF!</v>
      </c>
      <c r="C446" s="16" t="e">
        <f>#REF!</f>
        <v>#REF!</v>
      </c>
      <c r="D446" s="16" t="e">
        <f>#REF!</f>
        <v>#REF!</v>
      </c>
      <c r="E446" s="16" t="e">
        <f>#REF!</f>
        <v>#REF!</v>
      </c>
      <c r="F446" s="16" t="e">
        <f>#REF!</f>
        <v>#REF!</v>
      </c>
      <c r="G446" s="16" t="e">
        <f>#REF!</f>
        <v>#REF!</v>
      </c>
      <c r="H446" s="16" t="e">
        <f>#REF!</f>
        <v>#REF!</v>
      </c>
      <c r="I446" s="16" t="e">
        <f>#REF!</f>
        <v>#REF!</v>
      </c>
      <c r="J446" s="16" t="e">
        <f>#REF!</f>
        <v>#REF!</v>
      </c>
      <c r="K446" s="16" t="s">
        <v>744</v>
      </c>
      <c r="L446" s="16"/>
      <c r="M446" s="16"/>
      <c r="N446" s="16"/>
      <c r="O446" s="16"/>
      <c r="P446" s="17"/>
      <c r="Q446" s="17"/>
    </row>
    <row r="447" spans="1:17" ht="22.5" customHeight="1" thickTop="1" thickBot="1" x14ac:dyDescent="0.25">
      <c r="A447" s="16" t="e">
        <f>#REF!</f>
        <v>#REF!</v>
      </c>
      <c r="B447" s="16" t="e">
        <f>#REF!</f>
        <v>#REF!</v>
      </c>
      <c r="C447" s="16" t="e">
        <f>#REF!</f>
        <v>#REF!</v>
      </c>
      <c r="D447" s="16" t="e">
        <f>#REF!</f>
        <v>#REF!</v>
      </c>
      <c r="E447" s="16" t="e">
        <f>#REF!</f>
        <v>#REF!</v>
      </c>
      <c r="F447" s="16" t="e">
        <f>#REF!</f>
        <v>#REF!</v>
      </c>
      <c r="G447" s="16" t="e">
        <f>#REF!</f>
        <v>#REF!</v>
      </c>
      <c r="H447" s="16" t="e">
        <f>#REF!</f>
        <v>#REF!</v>
      </c>
      <c r="I447" s="16" t="e">
        <f>#REF!</f>
        <v>#REF!</v>
      </c>
      <c r="J447" s="16" t="e">
        <f>#REF!</f>
        <v>#REF!</v>
      </c>
      <c r="K447" s="16"/>
      <c r="L447" s="16"/>
      <c r="M447" s="16"/>
      <c r="N447" s="16"/>
      <c r="O447" s="16"/>
      <c r="P447" s="29"/>
      <c r="Q447" s="29"/>
    </row>
    <row r="448" spans="1:17" ht="22.5" customHeight="1" thickTop="1" thickBot="1" x14ac:dyDescent="0.25">
      <c r="A448" s="16" t="e">
        <f>#REF!</f>
        <v>#REF!</v>
      </c>
      <c r="B448" s="16" t="e">
        <f>#REF!</f>
        <v>#REF!</v>
      </c>
      <c r="C448" s="16" t="e">
        <f>#REF!</f>
        <v>#REF!</v>
      </c>
      <c r="D448" s="16" t="e">
        <f>#REF!</f>
        <v>#REF!</v>
      </c>
      <c r="E448" s="16" t="e">
        <f>#REF!</f>
        <v>#REF!</v>
      </c>
      <c r="F448" s="16" t="e">
        <f>#REF!</f>
        <v>#REF!</v>
      </c>
      <c r="G448" s="16" t="e">
        <f>#REF!</f>
        <v>#REF!</v>
      </c>
      <c r="H448" s="16" t="e">
        <f>#REF!</f>
        <v>#REF!</v>
      </c>
      <c r="I448" s="16" t="e">
        <f>#REF!</f>
        <v>#REF!</v>
      </c>
      <c r="J448" s="16" t="e">
        <f>#REF!</f>
        <v>#REF!</v>
      </c>
      <c r="K448" s="16" t="s">
        <v>744</v>
      </c>
      <c r="L448" s="16"/>
      <c r="M448" s="16"/>
      <c r="N448" s="16"/>
      <c r="O448" s="16"/>
      <c r="P448" s="29"/>
      <c r="Q448" s="29"/>
    </row>
    <row r="449" spans="1:17" ht="22.5" customHeight="1" thickTop="1" thickBot="1" x14ac:dyDescent="0.25">
      <c r="A449" s="16" t="e">
        <f>#REF!</f>
        <v>#REF!</v>
      </c>
      <c r="B449" s="16" t="e">
        <f>#REF!</f>
        <v>#REF!</v>
      </c>
      <c r="C449" s="16" t="e">
        <f>#REF!</f>
        <v>#REF!</v>
      </c>
      <c r="D449" s="16" t="e">
        <f>#REF!</f>
        <v>#REF!</v>
      </c>
      <c r="E449" s="16" t="e">
        <f>#REF!</f>
        <v>#REF!</v>
      </c>
      <c r="F449" s="16" t="e">
        <f>#REF!</f>
        <v>#REF!</v>
      </c>
      <c r="G449" s="16" t="e">
        <f>#REF!</f>
        <v>#REF!</v>
      </c>
      <c r="H449" s="16" t="e">
        <f>#REF!</f>
        <v>#REF!</v>
      </c>
      <c r="I449" s="16" t="e">
        <f>#REF!</f>
        <v>#REF!</v>
      </c>
      <c r="J449" s="16" t="e">
        <f>#REF!</f>
        <v>#REF!</v>
      </c>
      <c r="K449" s="16"/>
      <c r="L449" s="16"/>
      <c r="M449" s="16"/>
      <c r="N449" s="16"/>
      <c r="O449" s="16"/>
      <c r="P449" s="29"/>
      <c r="Q449" s="29"/>
    </row>
    <row r="450" spans="1:17" ht="22.5" customHeight="1" thickTop="1" thickBot="1" x14ac:dyDescent="0.25">
      <c r="A450" s="16" t="e">
        <f>#REF!</f>
        <v>#REF!</v>
      </c>
      <c r="B450" s="16" t="e">
        <f>#REF!</f>
        <v>#REF!</v>
      </c>
      <c r="C450" s="16" t="e">
        <f>#REF!</f>
        <v>#REF!</v>
      </c>
      <c r="D450" s="16" t="e">
        <f>#REF!</f>
        <v>#REF!</v>
      </c>
      <c r="E450" s="16" t="e">
        <f>#REF!</f>
        <v>#REF!</v>
      </c>
      <c r="F450" s="16" t="e">
        <f>#REF!</f>
        <v>#REF!</v>
      </c>
      <c r="G450" s="16" t="e">
        <f>#REF!</f>
        <v>#REF!</v>
      </c>
      <c r="H450" s="16" t="e">
        <f>#REF!</f>
        <v>#REF!</v>
      </c>
      <c r="I450" s="16" t="e">
        <f>#REF!</f>
        <v>#REF!</v>
      </c>
      <c r="J450" s="16" t="e">
        <f>#REF!</f>
        <v>#REF!</v>
      </c>
      <c r="K450" s="16" t="s">
        <v>744</v>
      </c>
      <c r="L450" s="16"/>
      <c r="M450" s="16"/>
      <c r="N450" s="16"/>
      <c r="O450" s="16"/>
      <c r="P450" s="29"/>
      <c r="Q450" s="29"/>
    </row>
    <row r="451" spans="1:17" ht="22.5" customHeight="1" thickTop="1" thickBot="1" x14ac:dyDescent="0.25">
      <c r="A451" s="16" t="e">
        <f>#REF!</f>
        <v>#REF!</v>
      </c>
      <c r="B451" s="16" t="e">
        <f>#REF!</f>
        <v>#REF!</v>
      </c>
      <c r="C451" s="16" t="e">
        <f>#REF!</f>
        <v>#REF!</v>
      </c>
      <c r="D451" s="16" t="e">
        <f>#REF!</f>
        <v>#REF!</v>
      </c>
      <c r="E451" s="16" t="e">
        <f>#REF!</f>
        <v>#REF!</v>
      </c>
      <c r="F451" s="16" t="e">
        <f>#REF!</f>
        <v>#REF!</v>
      </c>
      <c r="G451" s="16" t="e">
        <f>#REF!</f>
        <v>#REF!</v>
      </c>
      <c r="H451" s="16" t="e">
        <f>#REF!</f>
        <v>#REF!</v>
      </c>
      <c r="I451" s="16" t="e">
        <f>#REF!</f>
        <v>#REF!</v>
      </c>
      <c r="J451" s="16" t="e">
        <f>#REF!</f>
        <v>#REF!</v>
      </c>
      <c r="K451" s="16"/>
      <c r="L451" s="16"/>
      <c r="M451" s="16"/>
      <c r="N451" s="16"/>
      <c r="O451" s="16"/>
      <c r="P451" s="29"/>
      <c r="Q451" s="29"/>
    </row>
    <row r="452" spans="1:17" ht="22.5" customHeight="1" thickTop="1" thickBot="1" x14ac:dyDescent="0.25">
      <c r="A452" s="16" t="e">
        <f>#REF!</f>
        <v>#REF!</v>
      </c>
      <c r="B452" s="16" t="e">
        <f>#REF!</f>
        <v>#REF!</v>
      </c>
      <c r="C452" s="16" t="e">
        <f>#REF!</f>
        <v>#REF!</v>
      </c>
      <c r="D452" s="16" t="e">
        <f>#REF!</f>
        <v>#REF!</v>
      </c>
      <c r="E452" s="16" t="e">
        <f>#REF!</f>
        <v>#REF!</v>
      </c>
      <c r="F452" s="16" t="e">
        <f>#REF!</f>
        <v>#REF!</v>
      </c>
      <c r="G452" s="16" t="e">
        <f>#REF!</f>
        <v>#REF!</v>
      </c>
      <c r="H452" s="16" t="e">
        <f>#REF!</f>
        <v>#REF!</v>
      </c>
      <c r="I452" s="16" t="e">
        <f>#REF!</f>
        <v>#REF!</v>
      </c>
      <c r="J452" s="16" t="e">
        <f>#REF!</f>
        <v>#REF!</v>
      </c>
      <c r="K452" s="16" t="s">
        <v>744</v>
      </c>
      <c r="L452" s="16"/>
      <c r="M452" s="16"/>
      <c r="N452" s="16"/>
      <c r="O452" s="16"/>
      <c r="P452" s="20"/>
      <c r="Q452" s="20"/>
    </row>
    <row r="453" spans="1:17" ht="22.5" customHeight="1" thickTop="1" thickBot="1" x14ac:dyDescent="0.25">
      <c r="A453" s="16" t="e">
        <f>#REF!</f>
        <v>#REF!</v>
      </c>
      <c r="B453" s="16" t="e">
        <f>#REF!</f>
        <v>#REF!</v>
      </c>
      <c r="C453" s="16" t="e">
        <f>#REF!</f>
        <v>#REF!</v>
      </c>
      <c r="D453" s="16" t="e">
        <f>#REF!</f>
        <v>#REF!</v>
      </c>
      <c r="E453" s="16" t="e">
        <f>#REF!</f>
        <v>#REF!</v>
      </c>
      <c r="F453" s="16" t="e">
        <f>#REF!</f>
        <v>#REF!</v>
      </c>
      <c r="G453" s="16" t="e">
        <f>#REF!</f>
        <v>#REF!</v>
      </c>
      <c r="H453" s="16" t="e">
        <f>#REF!</f>
        <v>#REF!</v>
      </c>
      <c r="I453" s="16" t="e">
        <f>#REF!</f>
        <v>#REF!</v>
      </c>
      <c r="J453" s="16" t="e">
        <f>#REF!</f>
        <v>#REF!</v>
      </c>
      <c r="K453" s="16"/>
      <c r="L453" s="16"/>
      <c r="M453" s="16"/>
      <c r="N453" s="16"/>
      <c r="O453" s="16"/>
      <c r="P453" s="20"/>
      <c r="Q453" s="20"/>
    </row>
    <row r="454" spans="1:17" ht="22.5" customHeight="1" thickTop="1" thickBot="1" x14ac:dyDescent="0.25">
      <c r="A454" s="16" t="e">
        <f>#REF!</f>
        <v>#REF!</v>
      </c>
      <c r="B454" s="16" t="e">
        <f>#REF!</f>
        <v>#REF!</v>
      </c>
      <c r="C454" s="16" t="e">
        <f>#REF!</f>
        <v>#REF!</v>
      </c>
      <c r="D454" s="16" t="e">
        <f>#REF!</f>
        <v>#REF!</v>
      </c>
      <c r="E454" s="16" t="e">
        <f>#REF!</f>
        <v>#REF!</v>
      </c>
      <c r="F454" s="16" t="e">
        <f>#REF!</f>
        <v>#REF!</v>
      </c>
      <c r="G454" s="16" t="e">
        <f>#REF!</f>
        <v>#REF!</v>
      </c>
      <c r="H454" s="16" t="e">
        <f>#REF!</f>
        <v>#REF!</v>
      </c>
      <c r="I454" s="16" t="e">
        <f>#REF!</f>
        <v>#REF!</v>
      </c>
      <c r="J454" s="16" t="e">
        <f>#REF!</f>
        <v>#REF!</v>
      </c>
      <c r="K454" s="16" t="s">
        <v>744</v>
      </c>
      <c r="L454" s="16"/>
      <c r="M454" s="16"/>
      <c r="N454" s="16"/>
      <c r="O454" s="16"/>
      <c r="P454" s="20"/>
      <c r="Q454" s="20"/>
    </row>
    <row r="455" spans="1:17" ht="22.5" customHeight="1" thickTop="1" thickBot="1" x14ac:dyDescent="0.25">
      <c r="A455" s="16" t="e">
        <f>#REF!</f>
        <v>#REF!</v>
      </c>
      <c r="B455" s="16" t="e">
        <f>#REF!</f>
        <v>#REF!</v>
      </c>
      <c r="C455" s="16" t="e">
        <f>#REF!</f>
        <v>#REF!</v>
      </c>
      <c r="D455" s="16" t="e">
        <f>#REF!</f>
        <v>#REF!</v>
      </c>
      <c r="E455" s="16" t="e">
        <f>#REF!</f>
        <v>#REF!</v>
      </c>
      <c r="F455" s="16" t="e">
        <f>#REF!</f>
        <v>#REF!</v>
      </c>
      <c r="G455" s="16" t="e">
        <f>#REF!</f>
        <v>#REF!</v>
      </c>
      <c r="H455" s="16" t="e">
        <f>#REF!</f>
        <v>#REF!</v>
      </c>
      <c r="I455" s="16" t="e">
        <f>#REF!</f>
        <v>#REF!</v>
      </c>
      <c r="J455" s="16" t="e">
        <f>#REF!</f>
        <v>#REF!</v>
      </c>
      <c r="K455" s="16"/>
      <c r="L455" s="16"/>
      <c r="M455" s="16"/>
      <c r="N455" s="16"/>
      <c r="O455" s="16"/>
      <c r="P455" s="19"/>
      <c r="Q455" s="19"/>
    </row>
    <row r="456" spans="1:17" ht="22.5" customHeight="1" thickTop="1" thickBot="1" x14ac:dyDescent="0.25">
      <c r="A456" s="16" t="e">
        <f>#REF!</f>
        <v>#REF!</v>
      </c>
      <c r="B456" s="16" t="e">
        <f>#REF!</f>
        <v>#REF!</v>
      </c>
      <c r="C456" s="16" t="e">
        <f>#REF!</f>
        <v>#REF!</v>
      </c>
      <c r="D456" s="16" t="e">
        <f>#REF!</f>
        <v>#REF!</v>
      </c>
      <c r="E456" s="16" t="e">
        <f>#REF!</f>
        <v>#REF!</v>
      </c>
      <c r="F456" s="16" t="e">
        <f>#REF!</f>
        <v>#REF!</v>
      </c>
      <c r="G456" s="16" t="e">
        <f>#REF!</f>
        <v>#REF!</v>
      </c>
      <c r="H456" s="16" t="e">
        <f>#REF!</f>
        <v>#REF!</v>
      </c>
      <c r="I456" s="16" t="e">
        <f>#REF!</f>
        <v>#REF!</v>
      </c>
      <c r="J456" s="16" t="e">
        <f>#REF!</f>
        <v>#REF!</v>
      </c>
      <c r="K456" s="16" t="s">
        <v>744</v>
      </c>
      <c r="L456" s="16"/>
      <c r="M456" s="16"/>
      <c r="N456" s="16"/>
      <c r="O456" s="16"/>
      <c r="P456" s="19"/>
      <c r="Q456" s="19"/>
    </row>
    <row r="457" spans="1:17" ht="22.5" customHeight="1" thickTop="1" thickBot="1" x14ac:dyDescent="0.25">
      <c r="A457" s="16" t="e">
        <f>#REF!</f>
        <v>#REF!</v>
      </c>
      <c r="B457" s="16" t="e">
        <f>#REF!</f>
        <v>#REF!</v>
      </c>
      <c r="C457" s="16" t="e">
        <f>#REF!</f>
        <v>#REF!</v>
      </c>
      <c r="D457" s="16" t="e">
        <f>#REF!</f>
        <v>#REF!</v>
      </c>
      <c r="E457" s="16" t="e">
        <f>#REF!</f>
        <v>#REF!</v>
      </c>
      <c r="F457" s="16" t="e">
        <f>#REF!</f>
        <v>#REF!</v>
      </c>
      <c r="G457" s="16" t="e">
        <f>#REF!</f>
        <v>#REF!</v>
      </c>
      <c r="H457" s="16" t="e">
        <f>#REF!</f>
        <v>#REF!</v>
      </c>
      <c r="I457" s="16" t="e">
        <f>#REF!</f>
        <v>#REF!</v>
      </c>
      <c r="J457" s="16" t="e">
        <f>#REF!</f>
        <v>#REF!</v>
      </c>
      <c r="K457" s="16"/>
      <c r="L457" s="16"/>
      <c r="M457" s="16"/>
      <c r="N457" s="16"/>
      <c r="O457" s="16"/>
      <c r="P457" s="19"/>
      <c r="Q457" s="19"/>
    </row>
    <row r="458" spans="1:17" ht="22.5" customHeight="1" thickTop="1" thickBot="1" x14ac:dyDescent="0.25">
      <c r="A458" s="16" t="e">
        <f>#REF!</f>
        <v>#REF!</v>
      </c>
      <c r="B458" s="16" t="e">
        <f>#REF!</f>
        <v>#REF!</v>
      </c>
      <c r="C458" s="16" t="e">
        <f>#REF!</f>
        <v>#REF!</v>
      </c>
      <c r="D458" s="16" t="e">
        <f>#REF!</f>
        <v>#REF!</v>
      </c>
      <c r="E458" s="16" t="e">
        <f>#REF!</f>
        <v>#REF!</v>
      </c>
      <c r="F458" s="16" t="e">
        <f>#REF!</f>
        <v>#REF!</v>
      </c>
      <c r="G458" s="16" t="e">
        <f>#REF!</f>
        <v>#REF!</v>
      </c>
      <c r="H458" s="16" t="e">
        <f>#REF!</f>
        <v>#REF!</v>
      </c>
      <c r="I458" s="16" t="e">
        <f>#REF!</f>
        <v>#REF!</v>
      </c>
      <c r="J458" s="16" t="e">
        <f>#REF!</f>
        <v>#REF!</v>
      </c>
      <c r="K458" s="16" t="s">
        <v>744</v>
      </c>
      <c r="L458" s="16"/>
      <c r="M458" s="16"/>
      <c r="N458" s="16"/>
      <c r="O458" s="16"/>
      <c r="P458" s="19"/>
      <c r="Q458" s="19"/>
    </row>
    <row r="459" spans="1:17" ht="22.5" customHeight="1" thickTop="1" thickBot="1" x14ac:dyDescent="0.25">
      <c r="A459" s="16" t="e">
        <f>#REF!</f>
        <v>#REF!</v>
      </c>
      <c r="B459" s="16" t="e">
        <f>#REF!</f>
        <v>#REF!</v>
      </c>
      <c r="C459" s="16" t="e">
        <f>#REF!</f>
        <v>#REF!</v>
      </c>
      <c r="D459" s="16" t="e">
        <f>#REF!</f>
        <v>#REF!</v>
      </c>
      <c r="E459" s="16" t="e">
        <f>#REF!</f>
        <v>#REF!</v>
      </c>
      <c r="F459" s="16" t="e">
        <f>#REF!</f>
        <v>#REF!</v>
      </c>
      <c r="G459" s="16" t="e">
        <f>#REF!</f>
        <v>#REF!</v>
      </c>
      <c r="H459" s="16" t="e">
        <f>#REF!</f>
        <v>#REF!</v>
      </c>
      <c r="I459" s="16" t="e">
        <f>#REF!</f>
        <v>#REF!</v>
      </c>
      <c r="J459" s="16" t="e">
        <f>#REF!</f>
        <v>#REF!</v>
      </c>
      <c r="K459" s="16"/>
      <c r="L459" s="16"/>
      <c r="M459" s="16"/>
      <c r="N459" s="16"/>
      <c r="O459" s="16"/>
      <c r="P459" s="19"/>
      <c r="Q459" s="19"/>
    </row>
    <row r="460" spans="1:17" ht="22.5" customHeight="1" thickTop="1" thickBot="1" x14ac:dyDescent="0.25">
      <c r="A460" s="16" t="e">
        <f>#REF!</f>
        <v>#REF!</v>
      </c>
      <c r="B460" s="16" t="e">
        <f>#REF!</f>
        <v>#REF!</v>
      </c>
      <c r="C460" s="16" t="e">
        <f>#REF!</f>
        <v>#REF!</v>
      </c>
      <c r="D460" s="16" t="e">
        <f>#REF!</f>
        <v>#REF!</v>
      </c>
      <c r="E460" s="16" t="e">
        <f>#REF!</f>
        <v>#REF!</v>
      </c>
      <c r="F460" s="16" t="e">
        <f>#REF!</f>
        <v>#REF!</v>
      </c>
      <c r="G460" s="16" t="e">
        <f>#REF!</f>
        <v>#REF!</v>
      </c>
      <c r="H460" s="16" t="e">
        <f>#REF!</f>
        <v>#REF!</v>
      </c>
      <c r="I460" s="16" t="e">
        <f>#REF!</f>
        <v>#REF!</v>
      </c>
      <c r="J460" s="16" t="e">
        <f>#REF!</f>
        <v>#REF!</v>
      </c>
      <c r="K460" s="16" t="s">
        <v>744</v>
      </c>
      <c r="L460" s="16"/>
      <c r="M460" s="16"/>
      <c r="N460" s="16"/>
      <c r="O460" s="16"/>
      <c r="P460" s="19"/>
      <c r="Q460" s="19"/>
    </row>
    <row r="461" spans="1:17" ht="22.5" customHeight="1" thickTop="1" thickBot="1" x14ac:dyDescent="0.25">
      <c r="A461" s="16" t="e">
        <f>#REF!</f>
        <v>#REF!</v>
      </c>
      <c r="B461" s="16" t="e">
        <f>#REF!</f>
        <v>#REF!</v>
      </c>
      <c r="C461" s="16" t="e">
        <f>#REF!</f>
        <v>#REF!</v>
      </c>
      <c r="D461" s="16" t="e">
        <f>#REF!</f>
        <v>#REF!</v>
      </c>
      <c r="E461" s="16" t="e">
        <f>#REF!</f>
        <v>#REF!</v>
      </c>
      <c r="F461" s="16" t="e">
        <f>#REF!</f>
        <v>#REF!</v>
      </c>
      <c r="G461" s="16" t="e">
        <f>#REF!</f>
        <v>#REF!</v>
      </c>
      <c r="H461" s="16" t="e">
        <f>#REF!</f>
        <v>#REF!</v>
      </c>
      <c r="I461" s="16" t="e">
        <f>#REF!</f>
        <v>#REF!</v>
      </c>
      <c r="J461" s="16" t="e">
        <f>#REF!</f>
        <v>#REF!</v>
      </c>
      <c r="K461" s="16"/>
      <c r="L461" s="16"/>
      <c r="M461" s="16"/>
      <c r="N461" s="16"/>
      <c r="O461" s="16"/>
      <c r="P461" s="19"/>
      <c r="Q461" s="19"/>
    </row>
    <row r="462" spans="1:17" ht="22.5" customHeight="1" thickTop="1" thickBot="1" x14ac:dyDescent="0.25">
      <c r="A462" s="16" t="e">
        <f>#REF!</f>
        <v>#REF!</v>
      </c>
      <c r="B462" s="16" t="e">
        <f>#REF!</f>
        <v>#REF!</v>
      </c>
      <c r="C462" s="16" t="e">
        <f>#REF!</f>
        <v>#REF!</v>
      </c>
      <c r="D462" s="16" t="e">
        <f>#REF!</f>
        <v>#REF!</v>
      </c>
      <c r="E462" s="16" t="e">
        <f>#REF!</f>
        <v>#REF!</v>
      </c>
      <c r="F462" s="16" t="e">
        <f>#REF!</f>
        <v>#REF!</v>
      </c>
      <c r="G462" s="16" t="e">
        <f>#REF!</f>
        <v>#REF!</v>
      </c>
      <c r="H462" s="16" t="e">
        <f>#REF!</f>
        <v>#REF!</v>
      </c>
      <c r="I462" s="16" t="e">
        <f>#REF!</f>
        <v>#REF!</v>
      </c>
      <c r="J462" s="16" t="e">
        <f>#REF!</f>
        <v>#REF!</v>
      </c>
      <c r="K462" s="16" t="s">
        <v>744</v>
      </c>
      <c r="L462" s="16"/>
      <c r="M462" s="16"/>
      <c r="N462" s="16"/>
      <c r="O462" s="16"/>
      <c r="P462" s="17"/>
      <c r="Q462" s="17"/>
    </row>
    <row r="463" spans="1:17" ht="22.5" customHeight="1" thickTop="1" thickBot="1" x14ac:dyDescent="0.25">
      <c r="A463" s="16" t="e">
        <f>#REF!</f>
        <v>#REF!</v>
      </c>
      <c r="B463" s="16" t="e">
        <f>#REF!</f>
        <v>#REF!</v>
      </c>
      <c r="C463" s="16" t="e">
        <f>#REF!</f>
        <v>#REF!</v>
      </c>
      <c r="D463" s="16" t="e">
        <f>#REF!</f>
        <v>#REF!</v>
      </c>
      <c r="E463" s="16" t="e">
        <f>#REF!</f>
        <v>#REF!</v>
      </c>
      <c r="F463" s="16" t="e">
        <f>#REF!</f>
        <v>#REF!</v>
      </c>
      <c r="G463" s="16" t="e">
        <f>#REF!</f>
        <v>#REF!</v>
      </c>
      <c r="H463" s="16" t="e">
        <f>#REF!</f>
        <v>#REF!</v>
      </c>
      <c r="I463" s="16" t="e">
        <f>#REF!</f>
        <v>#REF!</v>
      </c>
      <c r="J463" s="16" t="e">
        <f>#REF!</f>
        <v>#REF!</v>
      </c>
      <c r="K463" s="16"/>
      <c r="L463" s="16"/>
      <c r="M463" s="16"/>
      <c r="N463" s="16"/>
      <c r="O463" s="16"/>
      <c r="P463" s="17"/>
      <c r="Q463" s="17"/>
    </row>
    <row r="464" spans="1:17" ht="22.5" customHeight="1" thickTop="1" thickBot="1" x14ac:dyDescent="0.25">
      <c r="A464" s="16" t="e">
        <f>#REF!</f>
        <v>#REF!</v>
      </c>
      <c r="B464" s="16" t="e">
        <f>#REF!</f>
        <v>#REF!</v>
      </c>
      <c r="C464" s="16" t="e">
        <f>#REF!</f>
        <v>#REF!</v>
      </c>
      <c r="D464" s="16" t="e">
        <f>#REF!</f>
        <v>#REF!</v>
      </c>
      <c r="E464" s="16" t="e">
        <f>#REF!</f>
        <v>#REF!</v>
      </c>
      <c r="F464" s="16" t="e">
        <f>#REF!</f>
        <v>#REF!</v>
      </c>
      <c r="G464" s="16" t="e">
        <f>#REF!</f>
        <v>#REF!</v>
      </c>
      <c r="H464" s="16" t="e">
        <f>#REF!</f>
        <v>#REF!</v>
      </c>
      <c r="I464" s="16" t="e">
        <f>#REF!</f>
        <v>#REF!</v>
      </c>
      <c r="J464" s="16" t="e">
        <f>#REF!</f>
        <v>#REF!</v>
      </c>
      <c r="K464" s="16" t="s">
        <v>744</v>
      </c>
      <c r="L464" s="16"/>
      <c r="M464" s="16"/>
      <c r="N464" s="16"/>
      <c r="O464" s="16"/>
      <c r="P464" s="17"/>
      <c r="Q464" s="17"/>
    </row>
    <row r="465" spans="1:17" ht="22.5" customHeight="1" thickTop="1" thickBot="1" x14ac:dyDescent="0.25">
      <c r="A465" s="16" t="e">
        <f>#REF!</f>
        <v>#REF!</v>
      </c>
      <c r="B465" s="16" t="e">
        <f>#REF!</f>
        <v>#REF!</v>
      </c>
      <c r="C465" s="16" t="e">
        <f>#REF!</f>
        <v>#REF!</v>
      </c>
      <c r="D465" s="16" t="e">
        <f>#REF!</f>
        <v>#REF!</v>
      </c>
      <c r="E465" s="16" t="e">
        <f>#REF!</f>
        <v>#REF!</v>
      </c>
      <c r="F465" s="16" t="e">
        <f>#REF!</f>
        <v>#REF!</v>
      </c>
      <c r="G465" s="16" t="e">
        <f>#REF!</f>
        <v>#REF!</v>
      </c>
      <c r="H465" s="16" t="e">
        <f>#REF!</f>
        <v>#REF!</v>
      </c>
      <c r="I465" s="16" t="e">
        <f>#REF!</f>
        <v>#REF!</v>
      </c>
      <c r="J465" s="16" t="e">
        <f>#REF!</f>
        <v>#REF!</v>
      </c>
      <c r="K465" s="16"/>
      <c r="L465" s="16"/>
      <c r="M465" s="16"/>
      <c r="N465" s="16"/>
      <c r="O465" s="16"/>
      <c r="P465" s="17"/>
      <c r="Q465" s="17"/>
    </row>
    <row r="466" spans="1:17" ht="22.5" customHeight="1" thickTop="1" thickBot="1" x14ac:dyDescent="0.25">
      <c r="A466" s="16" t="e">
        <f>#REF!</f>
        <v>#REF!</v>
      </c>
      <c r="B466" s="16" t="e">
        <f>#REF!</f>
        <v>#REF!</v>
      </c>
      <c r="C466" s="16" t="e">
        <f>#REF!</f>
        <v>#REF!</v>
      </c>
      <c r="D466" s="16" t="e">
        <f>#REF!</f>
        <v>#REF!</v>
      </c>
      <c r="E466" s="16" t="e">
        <f>#REF!</f>
        <v>#REF!</v>
      </c>
      <c r="F466" s="16" t="e">
        <f>#REF!</f>
        <v>#REF!</v>
      </c>
      <c r="G466" s="16" t="e">
        <f>#REF!</f>
        <v>#REF!</v>
      </c>
      <c r="H466" s="16" t="e">
        <f>#REF!</f>
        <v>#REF!</v>
      </c>
      <c r="I466" s="16" t="e">
        <f>#REF!</f>
        <v>#REF!</v>
      </c>
      <c r="J466" s="16" t="e">
        <f>#REF!</f>
        <v>#REF!</v>
      </c>
      <c r="K466" s="16" t="s">
        <v>744</v>
      </c>
      <c r="L466" s="16"/>
      <c r="M466" s="16"/>
      <c r="N466" s="16"/>
      <c r="O466" s="16"/>
      <c r="P466" s="19"/>
      <c r="Q466" s="19"/>
    </row>
    <row r="467" spans="1:17" ht="22.5" customHeight="1" thickTop="1" thickBot="1" x14ac:dyDescent="0.25">
      <c r="A467" s="16" t="e">
        <f>#REF!</f>
        <v>#REF!</v>
      </c>
      <c r="B467" s="16" t="e">
        <f>#REF!</f>
        <v>#REF!</v>
      </c>
      <c r="C467" s="16" t="e">
        <f>#REF!</f>
        <v>#REF!</v>
      </c>
      <c r="D467" s="16" t="e">
        <f>#REF!</f>
        <v>#REF!</v>
      </c>
      <c r="E467" s="16" t="e">
        <f>#REF!</f>
        <v>#REF!</v>
      </c>
      <c r="F467" s="16" t="e">
        <f>#REF!</f>
        <v>#REF!</v>
      </c>
      <c r="G467" s="16" t="e">
        <f>#REF!</f>
        <v>#REF!</v>
      </c>
      <c r="H467" s="16" t="e">
        <f>#REF!</f>
        <v>#REF!</v>
      </c>
      <c r="I467" s="16" t="e">
        <f>#REF!</f>
        <v>#REF!</v>
      </c>
      <c r="J467" s="16" t="e">
        <f>#REF!</f>
        <v>#REF!</v>
      </c>
      <c r="K467" s="16"/>
      <c r="L467" s="16"/>
      <c r="M467" s="16"/>
      <c r="N467" s="16"/>
      <c r="O467" s="16"/>
      <c r="P467" s="19"/>
      <c r="Q467" s="19"/>
    </row>
    <row r="468" spans="1:17" ht="22.5" customHeight="1" thickTop="1" thickBot="1" x14ac:dyDescent="0.25">
      <c r="A468" s="16" t="e">
        <f>#REF!</f>
        <v>#REF!</v>
      </c>
      <c r="B468" s="16" t="e">
        <f>#REF!</f>
        <v>#REF!</v>
      </c>
      <c r="C468" s="16" t="e">
        <f>#REF!</f>
        <v>#REF!</v>
      </c>
      <c r="D468" s="16" t="e">
        <f>#REF!</f>
        <v>#REF!</v>
      </c>
      <c r="E468" s="16" t="e">
        <f>#REF!</f>
        <v>#REF!</v>
      </c>
      <c r="F468" s="16" t="e">
        <f>#REF!</f>
        <v>#REF!</v>
      </c>
      <c r="G468" s="16" t="e">
        <f>#REF!</f>
        <v>#REF!</v>
      </c>
      <c r="H468" s="16" t="e">
        <f>#REF!</f>
        <v>#REF!</v>
      </c>
      <c r="I468" s="16" t="e">
        <f>#REF!</f>
        <v>#REF!</v>
      </c>
      <c r="J468" s="16" t="e">
        <f>#REF!</f>
        <v>#REF!</v>
      </c>
      <c r="K468" s="16" t="s">
        <v>744</v>
      </c>
      <c r="L468" s="16"/>
      <c r="M468" s="16"/>
      <c r="N468" s="16"/>
      <c r="O468" s="16"/>
      <c r="P468" s="19"/>
      <c r="Q468" s="19"/>
    </row>
    <row r="469" spans="1:17" ht="22.5" customHeight="1" thickTop="1" thickBot="1" x14ac:dyDescent="0.25">
      <c r="A469" s="16" t="e">
        <f>#REF!</f>
        <v>#REF!</v>
      </c>
      <c r="B469" s="16" t="e">
        <f>#REF!</f>
        <v>#REF!</v>
      </c>
      <c r="C469" s="16" t="e">
        <f>#REF!</f>
        <v>#REF!</v>
      </c>
      <c r="D469" s="16" t="e">
        <f>#REF!</f>
        <v>#REF!</v>
      </c>
      <c r="E469" s="16" t="e">
        <f>#REF!</f>
        <v>#REF!</v>
      </c>
      <c r="F469" s="16" t="e">
        <f>#REF!</f>
        <v>#REF!</v>
      </c>
      <c r="G469" s="16" t="e">
        <f>#REF!</f>
        <v>#REF!</v>
      </c>
      <c r="H469" s="16" t="e">
        <f>#REF!</f>
        <v>#REF!</v>
      </c>
      <c r="I469" s="16" t="e">
        <f>#REF!</f>
        <v>#REF!</v>
      </c>
      <c r="J469" s="16" t="e">
        <f>#REF!</f>
        <v>#REF!</v>
      </c>
      <c r="K469" s="16"/>
      <c r="L469" s="16"/>
      <c r="M469" s="16"/>
      <c r="N469" s="16"/>
      <c r="O469" s="16"/>
      <c r="P469" s="17"/>
      <c r="Q469" s="17"/>
    </row>
    <row r="470" spans="1:17" ht="22.5" customHeight="1" thickTop="1" thickBot="1" x14ac:dyDescent="0.25">
      <c r="A470" s="16" t="e">
        <f>#REF!</f>
        <v>#REF!</v>
      </c>
      <c r="B470" s="16" t="e">
        <f>#REF!</f>
        <v>#REF!</v>
      </c>
      <c r="C470" s="16" t="e">
        <f>#REF!</f>
        <v>#REF!</v>
      </c>
      <c r="D470" s="16" t="e">
        <f>#REF!</f>
        <v>#REF!</v>
      </c>
      <c r="E470" s="16" t="e">
        <f>#REF!</f>
        <v>#REF!</v>
      </c>
      <c r="F470" s="16" t="e">
        <f>#REF!</f>
        <v>#REF!</v>
      </c>
      <c r="G470" s="16" t="e">
        <f>#REF!</f>
        <v>#REF!</v>
      </c>
      <c r="H470" s="16" t="e">
        <f>#REF!</f>
        <v>#REF!</v>
      </c>
      <c r="I470" s="16" t="e">
        <f>#REF!</f>
        <v>#REF!</v>
      </c>
      <c r="J470" s="16" t="e">
        <f>#REF!</f>
        <v>#REF!</v>
      </c>
      <c r="K470" s="16" t="s">
        <v>744</v>
      </c>
      <c r="L470" s="16"/>
      <c r="M470" s="16"/>
      <c r="N470" s="16"/>
      <c r="O470" s="16"/>
      <c r="P470" s="17"/>
      <c r="Q470" s="17"/>
    </row>
    <row r="471" spans="1:17" ht="22.5" customHeight="1" thickTop="1" thickBot="1" x14ac:dyDescent="0.25">
      <c r="A471" s="16" t="e">
        <f>#REF!</f>
        <v>#REF!</v>
      </c>
      <c r="B471" s="16" t="e">
        <f>#REF!</f>
        <v>#REF!</v>
      </c>
      <c r="C471" s="16" t="e">
        <f>#REF!</f>
        <v>#REF!</v>
      </c>
      <c r="D471" s="16" t="e">
        <f>#REF!</f>
        <v>#REF!</v>
      </c>
      <c r="E471" s="16" t="e">
        <f>#REF!</f>
        <v>#REF!</v>
      </c>
      <c r="F471" s="16" t="e">
        <f>#REF!</f>
        <v>#REF!</v>
      </c>
      <c r="G471" s="16" t="e">
        <f>#REF!</f>
        <v>#REF!</v>
      </c>
      <c r="H471" s="16" t="e">
        <f>#REF!</f>
        <v>#REF!</v>
      </c>
      <c r="I471" s="16" t="e">
        <f>#REF!</f>
        <v>#REF!</v>
      </c>
      <c r="J471" s="16" t="e">
        <f>#REF!</f>
        <v>#REF!</v>
      </c>
      <c r="K471" s="16" t="s">
        <v>744</v>
      </c>
      <c r="L471" s="16"/>
      <c r="M471" s="16"/>
      <c r="N471" s="16"/>
      <c r="O471" s="16"/>
      <c r="P471" s="19"/>
      <c r="Q471" s="19"/>
    </row>
    <row r="472" spans="1:17" ht="22.5" customHeight="1" thickTop="1" thickBot="1" x14ac:dyDescent="0.25">
      <c r="A472" s="16" t="e">
        <f>#REF!</f>
        <v>#REF!</v>
      </c>
      <c r="B472" s="16" t="e">
        <f>#REF!</f>
        <v>#REF!</v>
      </c>
      <c r="C472" s="16" t="e">
        <f>#REF!</f>
        <v>#REF!</v>
      </c>
      <c r="D472" s="16" t="e">
        <f>#REF!</f>
        <v>#REF!</v>
      </c>
      <c r="E472" s="16" t="e">
        <f>#REF!</f>
        <v>#REF!</v>
      </c>
      <c r="F472" s="16" t="e">
        <f>#REF!</f>
        <v>#REF!</v>
      </c>
      <c r="G472" s="16" t="e">
        <f>#REF!</f>
        <v>#REF!</v>
      </c>
      <c r="H472" s="16" t="e">
        <f>#REF!</f>
        <v>#REF!</v>
      </c>
      <c r="I472" s="16" t="e">
        <f>#REF!</f>
        <v>#REF!</v>
      </c>
      <c r="J472" s="16" t="e">
        <f>#REF!</f>
        <v>#REF!</v>
      </c>
      <c r="K472" s="16"/>
      <c r="L472" s="16"/>
      <c r="M472" s="16"/>
      <c r="N472" s="16"/>
      <c r="O472" s="16"/>
      <c r="P472" s="19"/>
      <c r="Q472" s="19"/>
    </row>
    <row r="473" spans="1:17" ht="22.5" customHeight="1" thickTop="1" thickBot="1" x14ac:dyDescent="0.25">
      <c r="A473" s="16" t="e">
        <f>#REF!</f>
        <v>#REF!</v>
      </c>
      <c r="B473" s="16" t="e">
        <f>#REF!</f>
        <v>#REF!</v>
      </c>
      <c r="C473" s="16" t="e">
        <f>#REF!</f>
        <v>#REF!</v>
      </c>
      <c r="D473" s="16" t="e">
        <f>#REF!</f>
        <v>#REF!</v>
      </c>
      <c r="E473" s="16" t="e">
        <f>#REF!</f>
        <v>#REF!</v>
      </c>
      <c r="F473" s="16" t="e">
        <f>#REF!</f>
        <v>#REF!</v>
      </c>
      <c r="G473" s="16" t="e">
        <f>#REF!</f>
        <v>#REF!</v>
      </c>
      <c r="H473" s="16" t="e">
        <f>#REF!</f>
        <v>#REF!</v>
      </c>
      <c r="I473" s="16" t="e">
        <f>#REF!</f>
        <v>#REF!</v>
      </c>
      <c r="J473" s="16" t="e">
        <f>#REF!</f>
        <v>#REF!</v>
      </c>
      <c r="K473" s="16"/>
      <c r="L473" s="16"/>
      <c r="M473" s="16"/>
      <c r="N473" s="16"/>
      <c r="O473" s="16"/>
      <c r="P473" s="17"/>
      <c r="Q473" s="17"/>
    </row>
    <row r="474" spans="1:17" ht="22.5" customHeight="1" thickTop="1" thickBot="1" x14ac:dyDescent="0.25">
      <c r="A474" s="16" t="e">
        <f>#REF!</f>
        <v>#REF!</v>
      </c>
      <c r="B474" s="16" t="e">
        <f>#REF!</f>
        <v>#REF!</v>
      </c>
      <c r="C474" s="16" t="e">
        <f>#REF!</f>
        <v>#REF!</v>
      </c>
      <c r="D474" s="16" t="e">
        <f>#REF!</f>
        <v>#REF!</v>
      </c>
      <c r="E474" s="16" t="e">
        <f>#REF!</f>
        <v>#REF!</v>
      </c>
      <c r="F474" s="16" t="e">
        <f>#REF!</f>
        <v>#REF!</v>
      </c>
      <c r="G474" s="16" t="e">
        <f>#REF!</f>
        <v>#REF!</v>
      </c>
      <c r="H474" s="16" t="e">
        <f>#REF!</f>
        <v>#REF!</v>
      </c>
      <c r="I474" s="16" t="e">
        <f>#REF!</f>
        <v>#REF!</v>
      </c>
      <c r="J474" s="16" t="e">
        <f>#REF!</f>
        <v>#REF!</v>
      </c>
      <c r="K474" s="16"/>
      <c r="L474" s="16"/>
      <c r="M474" s="16"/>
      <c r="N474" s="16"/>
      <c r="O474" s="16"/>
      <c r="P474" s="18"/>
      <c r="Q474" s="18"/>
    </row>
    <row r="475" spans="1:17" ht="22.5" customHeight="1" thickTop="1" thickBot="1" x14ac:dyDescent="0.25">
      <c r="A475" s="16" t="e">
        <f>#REF!</f>
        <v>#REF!</v>
      </c>
      <c r="B475" s="16" t="e">
        <f>#REF!</f>
        <v>#REF!</v>
      </c>
      <c r="C475" s="16" t="e">
        <f>#REF!</f>
        <v>#REF!</v>
      </c>
      <c r="D475" s="16" t="e">
        <f>#REF!</f>
        <v>#REF!</v>
      </c>
      <c r="E475" s="16" t="e">
        <f>#REF!</f>
        <v>#REF!</v>
      </c>
      <c r="F475" s="16" t="e">
        <f>#REF!</f>
        <v>#REF!</v>
      </c>
      <c r="G475" s="16" t="e">
        <f>#REF!</f>
        <v>#REF!</v>
      </c>
      <c r="H475" s="16" t="e">
        <f>#REF!</f>
        <v>#REF!</v>
      </c>
      <c r="I475" s="16" t="e">
        <f>#REF!</f>
        <v>#REF!</v>
      </c>
      <c r="J475" s="16" t="e">
        <f>#REF!</f>
        <v>#REF!</v>
      </c>
      <c r="K475" s="16"/>
      <c r="L475" s="16"/>
      <c r="M475" s="16"/>
      <c r="N475" s="16"/>
      <c r="O475" s="16"/>
      <c r="P475" s="18"/>
      <c r="Q475" s="18"/>
    </row>
    <row r="476" spans="1:17" ht="22.5" customHeight="1" thickTop="1" thickBot="1" x14ac:dyDescent="0.25">
      <c r="A476" s="16" t="e">
        <f>#REF!</f>
        <v>#REF!</v>
      </c>
      <c r="B476" s="16" t="e">
        <f>#REF!</f>
        <v>#REF!</v>
      </c>
      <c r="C476" s="16" t="e">
        <f>#REF!</f>
        <v>#REF!</v>
      </c>
      <c r="D476" s="16" t="e">
        <f>#REF!</f>
        <v>#REF!</v>
      </c>
      <c r="E476" s="16" t="e">
        <f>#REF!</f>
        <v>#REF!</v>
      </c>
      <c r="F476" s="16" t="e">
        <f>#REF!</f>
        <v>#REF!</v>
      </c>
      <c r="G476" s="16" t="e">
        <f>#REF!</f>
        <v>#REF!</v>
      </c>
      <c r="H476" s="16" t="e">
        <f>#REF!</f>
        <v>#REF!</v>
      </c>
      <c r="I476" s="16" t="e">
        <f>#REF!</f>
        <v>#REF!</v>
      </c>
      <c r="J476" s="16" t="e">
        <f>#REF!</f>
        <v>#REF!</v>
      </c>
      <c r="K476" s="16"/>
      <c r="L476" s="16"/>
      <c r="M476" s="16"/>
      <c r="N476" s="16"/>
      <c r="O476" s="16"/>
      <c r="P476" s="24"/>
      <c r="Q476" s="24"/>
    </row>
    <row r="477" spans="1:17" ht="22.5" customHeight="1" thickTop="1" thickBot="1" x14ac:dyDescent="0.25">
      <c r="A477" s="16" t="e">
        <f>#REF!</f>
        <v>#REF!</v>
      </c>
      <c r="B477" s="16" t="e">
        <f>#REF!</f>
        <v>#REF!</v>
      </c>
      <c r="C477" s="16" t="e">
        <f>#REF!</f>
        <v>#REF!</v>
      </c>
      <c r="D477" s="16" t="e">
        <f>#REF!</f>
        <v>#REF!</v>
      </c>
      <c r="E477" s="16" t="e">
        <f>#REF!</f>
        <v>#REF!</v>
      </c>
      <c r="F477" s="16" t="e">
        <f>#REF!</f>
        <v>#REF!</v>
      </c>
      <c r="G477" s="16" t="e">
        <f>#REF!</f>
        <v>#REF!</v>
      </c>
      <c r="H477" s="16" t="e">
        <f>#REF!</f>
        <v>#REF!</v>
      </c>
      <c r="I477" s="16" t="e">
        <f>#REF!</f>
        <v>#REF!</v>
      </c>
      <c r="J477" s="16" t="e">
        <f>#REF!</f>
        <v>#REF!</v>
      </c>
      <c r="K477" s="16" t="s">
        <v>744</v>
      </c>
      <c r="L477" s="16"/>
      <c r="M477" s="16"/>
      <c r="N477" s="16"/>
      <c r="O477" s="16"/>
      <c r="P477" s="19"/>
      <c r="Q477" s="19"/>
    </row>
    <row r="478" spans="1:17" ht="22.5" customHeight="1" thickTop="1" thickBot="1" x14ac:dyDescent="0.25">
      <c r="A478" s="16" t="e">
        <f>#REF!</f>
        <v>#REF!</v>
      </c>
      <c r="B478" s="16" t="e">
        <f>#REF!</f>
        <v>#REF!</v>
      </c>
      <c r="C478" s="16" t="e">
        <f>#REF!</f>
        <v>#REF!</v>
      </c>
      <c r="D478" s="16" t="e">
        <f>#REF!</f>
        <v>#REF!</v>
      </c>
      <c r="E478" s="16" t="e">
        <f>#REF!</f>
        <v>#REF!</v>
      </c>
      <c r="F478" s="16" t="e">
        <f>#REF!</f>
        <v>#REF!</v>
      </c>
      <c r="G478" s="16" t="e">
        <f>#REF!</f>
        <v>#REF!</v>
      </c>
      <c r="H478" s="16" t="e">
        <f>#REF!</f>
        <v>#REF!</v>
      </c>
      <c r="I478" s="16" t="e">
        <f>#REF!</f>
        <v>#REF!</v>
      </c>
      <c r="J478" s="16" t="e">
        <f>#REF!</f>
        <v>#REF!</v>
      </c>
      <c r="K478" s="16"/>
      <c r="L478" s="16"/>
      <c r="M478" s="16"/>
      <c r="N478" s="16"/>
      <c r="O478" s="16"/>
      <c r="P478" s="20"/>
      <c r="Q478" s="20"/>
    </row>
    <row r="479" spans="1:17" ht="22.5" customHeight="1" thickTop="1" thickBot="1" x14ac:dyDescent="0.25">
      <c r="A479" s="16" t="e">
        <f>#REF!</f>
        <v>#REF!</v>
      </c>
      <c r="B479" s="16" t="e">
        <f>#REF!</f>
        <v>#REF!</v>
      </c>
      <c r="C479" s="16" t="e">
        <f>#REF!</f>
        <v>#REF!</v>
      </c>
      <c r="D479" s="16" t="e">
        <f>#REF!</f>
        <v>#REF!</v>
      </c>
      <c r="E479" s="16" t="e">
        <f>#REF!</f>
        <v>#REF!</v>
      </c>
      <c r="F479" s="16" t="e">
        <f>#REF!</f>
        <v>#REF!</v>
      </c>
      <c r="G479" s="16" t="e">
        <f>#REF!</f>
        <v>#REF!</v>
      </c>
      <c r="H479" s="16" t="e">
        <f>#REF!</f>
        <v>#REF!</v>
      </c>
      <c r="I479" s="16" t="e">
        <f>#REF!</f>
        <v>#REF!</v>
      </c>
      <c r="J479" s="16" t="e">
        <f>#REF!</f>
        <v>#REF!</v>
      </c>
      <c r="K479" s="16" t="s">
        <v>744</v>
      </c>
      <c r="L479" s="16"/>
      <c r="M479" s="16"/>
      <c r="N479" s="16"/>
      <c r="O479" s="16"/>
      <c r="P479" s="20"/>
      <c r="Q479" s="20"/>
    </row>
    <row r="480" spans="1:17" ht="22.5" customHeight="1" thickTop="1" thickBot="1" x14ac:dyDescent="0.25">
      <c r="A480" s="16" t="e">
        <f>#REF!</f>
        <v>#REF!</v>
      </c>
      <c r="B480" s="16" t="e">
        <f>#REF!</f>
        <v>#REF!</v>
      </c>
      <c r="C480" s="16" t="e">
        <f>#REF!</f>
        <v>#REF!</v>
      </c>
      <c r="D480" s="16" t="e">
        <f>#REF!</f>
        <v>#REF!</v>
      </c>
      <c r="E480" s="16" t="e">
        <f>#REF!</f>
        <v>#REF!</v>
      </c>
      <c r="F480" s="16" t="e">
        <f>#REF!</f>
        <v>#REF!</v>
      </c>
      <c r="G480" s="16" t="e">
        <f>#REF!</f>
        <v>#REF!</v>
      </c>
      <c r="H480" s="16" t="e">
        <f>#REF!</f>
        <v>#REF!</v>
      </c>
      <c r="I480" s="16" t="e">
        <f>#REF!</f>
        <v>#REF!</v>
      </c>
      <c r="J480" s="16" t="e">
        <f>#REF!</f>
        <v>#REF!</v>
      </c>
      <c r="K480" s="16"/>
      <c r="L480" s="16"/>
      <c r="M480" s="16"/>
      <c r="N480" s="16"/>
      <c r="O480" s="16"/>
      <c r="P480" s="20"/>
      <c r="Q480" s="20"/>
    </row>
    <row r="481" spans="1:17" ht="22.5" customHeight="1" thickTop="1" thickBot="1" x14ac:dyDescent="0.25">
      <c r="A481" s="16" t="e">
        <f>#REF!</f>
        <v>#REF!</v>
      </c>
      <c r="B481" s="16" t="e">
        <f>#REF!</f>
        <v>#REF!</v>
      </c>
      <c r="C481" s="16" t="e">
        <f>#REF!</f>
        <v>#REF!</v>
      </c>
      <c r="D481" s="16" t="e">
        <f>#REF!</f>
        <v>#REF!</v>
      </c>
      <c r="E481" s="16" t="e">
        <f>#REF!</f>
        <v>#REF!</v>
      </c>
      <c r="F481" s="16" t="e">
        <f>#REF!</f>
        <v>#REF!</v>
      </c>
      <c r="G481" s="16" t="e">
        <f>#REF!</f>
        <v>#REF!</v>
      </c>
      <c r="H481" s="16" t="e">
        <f>#REF!</f>
        <v>#REF!</v>
      </c>
      <c r="I481" s="16" t="e">
        <f>#REF!</f>
        <v>#REF!</v>
      </c>
      <c r="J481" s="16" t="e">
        <f>#REF!</f>
        <v>#REF!</v>
      </c>
      <c r="K481" s="16" t="s">
        <v>744</v>
      </c>
      <c r="L481" s="16"/>
      <c r="M481" s="16"/>
      <c r="N481" s="16"/>
      <c r="O481" s="16"/>
      <c r="P481" s="20"/>
      <c r="Q481" s="20"/>
    </row>
    <row r="482" spans="1:17" ht="22.5" customHeight="1" thickTop="1" thickBot="1" x14ac:dyDescent="0.25">
      <c r="A482" s="16" t="e">
        <f>#REF!</f>
        <v>#REF!</v>
      </c>
      <c r="B482" s="16" t="e">
        <f>#REF!</f>
        <v>#REF!</v>
      </c>
      <c r="C482" s="16" t="e">
        <f>#REF!</f>
        <v>#REF!</v>
      </c>
      <c r="D482" s="16" t="e">
        <f>#REF!</f>
        <v>#REF!</v>
      </c>
      <c r="E482" s="16" t="e">
        <f>#REF!</f>
        <v>#REF!</v>
      </c>
      <c r="F482" s="16" t="e">
        <f>#REF!</f>
        <v>#REF!</v>
      </c>
      <c r="G482" s="16" t="e">
        <f>#REF!</f>
        <v>#REF!</v>
      </c>
      <c r="H482" s="16" t="e">
        <f>#REF!</f>
        <v>#REF!</v>
      </c>
      <c r="I482" s="16" t="e">
        <f>#REF!</f>
        <v>#REF!</v>
      </c>
      <c r="J482" s="16" t="e">
        <f>#REF!</f>
        <v>#REF!</v>
      </c>
      <c r="K482" s="16"/>
      <c r="L482" s="16"/>
      <c r="M482" s="16"/>
      <c r="N482" s="16"/>
      <c r="O482" s="16"/>
      <c r="P482" s="20"/>
      <c r="Q482" s="20"/>
    </row>
    <row r="483" spans="1:17" ht="22.5" customHeight="1" thickTop="1" thickBot="1" x14ac:dyDescent="0.25">
      <c r="A483" s="16" t="e">
        <f>#REF!</f>
        <v>#REF!</v>
      </c>
      <c r="B483" s="16" t="e">
        <f>#REF!</f>
        <v>#REF!</v>
      </c>
      <c r="C483" s="16" t="e">
        <f>#REF!</f>
        <v>#REF!</v>
      </c>
      <c r="D483" s="16" t="e">
        <f>#REF!</f>
        <v>#REF!</v>
      </c>
      <c r="E483" s="16" t="e">
        <f>#REF!</f>
        <v>#REF!</v>
      </c>
      <c r="F483" s="16" t="e">
        <f>#REF!</f>
        <v>#REF!</v>
      </c>
      <c r="G483" s="16" t="e">
        <f>#REF!</f>
        <v>#REF!</v>
      </c>
      <c r="H483" s="16" t="e">
        <f>#REF!</f>
        <v>#REF!</v>
      </c>
      <c r="I483" s="16" t="e">
        <f>#REF!</f>
        <v>#REF!</v>
      </c>
      <c r="J483" s="16" t="e">
        <f>#REF!</f>
        <v>#REF!</v>
      </c>
      <c r="K483" s="16" t="s">
        <v>744</v>
      </c>
      <c r="L483" s="16"/>
      <c r="M483" s="16"/>
      <c r="N483" s="16"/>
      <c r="O483" s="16"/>
      <c r="P483" s="17"/>
      <c r="Q483" s="17"/>
    </row>
    <row r="484" spans="1:17" ht="22.5" customHeight="1" thickTop="1" thickBot="1" x14ac:dyDescent="0.25">
      <c r="A484" s="16" t="e">
        <f>#REF!</f>
        <v>#REF!</v>
      </c>
      <c r="B484" s="16" t="e">
        <f>#REF!</f>
        <v>#REF!</v>
      </c>
      <c r="C484" s="16" t="e">
        <f>#REF!</f>
        <v>#REF!</v>
      </c>
      <c r="D484" s="16" t="e">
        <f>#REF!</f>
        <v>#REF!</v>
      </c>
      <c r="E484" s="16" t="e">
        <f>#REF!</f>
        <v>#REF!</v>
      </c>
      <c r="F484" s="16" t="e">
        <f>#REF!</f>
        <v>#REF!</v>
      </c>
      <c r="G484" s="16" t="e">
        <f>#REF!</f>
        <v>#REF!</v>
      </c>
      <c r="H484" s="16" t="e">
        <f>#REF!</f>
        <v>#REF!</v>
      </c>
      <c r="I484" s="16" t="e">
        <f>#REF!</f>
        <v>#REF!</v>
      </c>
      <c r="J484" s="16" t="e">
        <f>#REF!</f>
        <v>#REF!</v>
      </c>
      <c r="K484" s="16"/>
      <c r="L484" s="16"/>
      <c r="M484" s="16"/>
      <c r="N484" s="16"/>
      <c r="O484" s="16"/>
      <c r="P484" s="17"/>
      <c r="Q484" s="17"/>
    </row>
    <row r="485" spans="1:17" ht="22.5" customHeight="1" thickTop="1" thickBot="1" x14ac:dyDescent="0.25">
      <c r="A485" s="16" t="e">
        <f>#REF!</f>
        <v>#REF!</v>
      </c>
      <c r="B485" s="16" t="e">
        <f>#REF!</f>
        <v>#REF!</v>
      </c>
      <c r="C485" s="16" t="e">
        <f>#REF!</f>
        <v>#REF!</v>
      </c>
      <c r="D485" s="16" t="e">
        <f>#REF!</f>
        <v>#REF!</v>
      </c>
      <c r="E485" s="16" t="e">
        <f>#REF!</f>
        <v>#REF!</v>
      </c>
      <c r="F485" s="16" t="e">
        <f>#REF!</f>
        <v>#REF!</v>
      </c>
      <c r="G485" s="16" t="e">
        <f>#REF!</f>
        <v>#REF!</v>
      </c>
      <c r="H485" s="16" t="e">
        <f>#REF!</f>
        <v>#REF!</v>
      </c>
      <c r="I485" s="16" t="e">
        <f>#REF!</f>
        <v>#REF!</v>
      </c>
      <c r="J485" s="16" t="e">
        <f>#REF!</f>
        <v>#REF!</v>
      </c>
      <c r="K485" s="16" t="s">
        <v>744</v>
      </c>
      <c r="L485" s="16"/>
      <c r="M485" s="16"/>
      <c r="N485" s="16"/>
      <c r="O485" s="16"/>
      <c r="P485" s="29"/>
      <c r="Q485" s="29"/>
    </row>
    <row r="486" spans="1:17" ht="22.5" customHeight="1" thickTop="1" thickBot="1" x14ac:dyDescent="0.25">
      <c r="A486" s="16" t="e">
        <f>#REF!</f>
        <v>#REF!</v>
      </c>
      <c r="B486" s="16" t="e">
        <f>#REF!</f>
        <v>#REF!</v>
      </c>
      <c r="C486" s="16" t="e">
        <f>#REF!</f>
        <v>#REF!</v>
      </c>
      <c r="D486" s="16" t="e">
        <f>#REF!</f>
        <v>#REF!</v>
      </c>
      <c r="E486" s="16" t="e">
        <f>#REF!</f>
        <v>#REF!</v>
      </c>
      <c r="F486" s="16" t="e">
        <f>#REF!</f>
        <v>#REF!</v>
      </c>
      <c r="G486" s="16" t="e">
        <f>#REF!</f>
        <v>#REF!</v>
      </c>
      <c r="H486" s="16" t="e">
        <f>#REF!</f>
        <v>#REF!</v>
      </c>
      <c r="I486" s="16" t="e">
        <f>#REF!</f>
        <v>#REF!</v>
      </c>
      <c r="J486" s="16" t="e">
        <f>#REF!</f>
        <v>#REF!</v>
      </c>
      <c r="K486" s="16"/>
      <c r="L486" s="16"/>
      <c r="M486" s="16"/>
      <c r="N486" s="16"/>
      <c r="O486" s="16"/>
      <c r="P486" s="29"/>
      <c r="Q486" s="29"/>
    </row>
    <row r="487" spans="1:17" ht="22.5" customHeight="1" thickTop="1" thickBot="1" x14ac:dyDescent="0.25">
      <c r="A487" s="16" t="e">
        <f>#REF!</f>
        <v>#REF!</v>
      </c>
      <c r="B487" s="16" t="e">
        <f>#REF!</f>
        <v>#REF!</v>
      </c>
      <c r="C487" s="16" t="e">
        <f>#REF!</f>
        <v>#REF!</v>
      </c>
      <c r="D487" s="16" t="e">
        <f>#REF!</f>
        <v>#REF!</v>
      </c>
      <c r="E487" s="16" t="e">
        <f>#REF!</f>
        <v>#REF!</v>
      </c>
      <c r="F487" s="16" t="e">
        <f>#REF!</f>
        <v>#REF!</v>
      </c>
      <c r="G487" s="16" t="e">
        <f>#REF!</f>
        <v>#REF!</v>
      </c>
      <c r="H487" s="16" t="e">
        <f>#REF!</f>
        <v>#REF!</v>
      </c>
      <c r="I487" s="16" t="e">
        <f>#REF!</f>
        <v>#REF!</v>
      </c>
      <c r="J487" s="16" t="e">
        <f>#REF!</f>
        <v>#REF!</v>
      </c>
      <c r="K487" s="16" t="s">
        <v>744</v>
      </c>
      <c r="L487" s="16"/>
      <c r="M487" s="16"/>
      <c r="N487" s="16"/>
      <c r="O487" s="16"/>
      <c r="P487" s="17"/>
      <c r="Q487" s="17"/>
    </row>
    <row r="488" spans="1:17" ht="22.5" customHeight="1" thickTop="1" thickBot="1" x14ac:dyDescent="0.25">
      <c r="A488" s="16" t="e">
        <f>#REF!</f>
        <v>#REF!</v>
      </c>
      <c r="B488" s="16" t="e">
        <f>#REF!</f>
        <v>#REF!</v>
      </c>
      <c r="C488" s="16" t="e">
        <f>#REF!</f>
        <v>#REF!</v>
      </c>
      <c r="D488" s="16" t="e">
        <f>#REF!</f>
        <v>#REF!</v>
      </c>
      <c r="E488" s="16" t="e">
        <f>#REF!</f>
        <v>#REF!</v>
      </c>
      <c r="F488" s="16" t="e">
        <f>#REF!</f>
        <v>#REF!</v>
      </c>
      <c r="G488" s="16" t="e">
        <f>#REF!</f>
        <v>#REF!</v>
      </c>
      <c r="H488" s="16" t="e">
        <f>#REF!</f>
        <v>#REF!</v>
      </c>
      <c r="I488" s="16" t="e">
        <f>#REF!</f>
        <v>#REF!</v>
      </c>
      <c r="J488" s="16" t="e">
        <f>#REF!</f>
        <v>#REF!</v>
      </c>
      <c r="K488" s="16" t="s">
        <v>744</v>
      </c>
      <c r="L488" s="16"/>
      <c r="M488" s="16"/>
      <c r="N488" s="16"/>
      <c r="O488" s="16"/>
    </row>
    <row r="489" spans="1:17" ht="22.5" customHeight="1" thickTop="1" thickBot="1" x14ac:dyDescent="0.25">
      <c r="A489" s="16" t="e">
        <f>#REF!</f>
        <v>#REF!</v>
      </c>
      <c r="B489" s="16" t="e">
        <f>#REF!</f>
        <v>#REF!</v>
      </c>
      <c r="C489" s="16" t="e">
        <f>#REF!</f>
        <v>#REF!</v>
      </c>
      <c r="D489" s="16" t="e">
        <f>#REF!</f>
        <v>#REF!</v>
      </c>
      <c r="E489" s="16" t="e">
        <f>#REF!</f>
        <v>#REF!</v>
      </c>
      <c r="F489" s="16" t="e">
        <f>#REF!</f>
        <v>#REF!</v>
      </c>
      <c r="G489" s="16" t="e">
        <f>#REF!</f>
        <v>#REF!</v>
      </c>
      <c r="H489" s="16" t="e">
        <f>#REF!</f>
        <v>#REF!</v>
      </c>
      <c r="I489" s="16" t="e">
        <f>#REF!</f>
        <v>#REF!</v>
      </c>
      <c r="J489" s="16" t="e">
        <f>#REF!</f>
        <v>#REF!</v>
      </c>
      <c r="K489" s="16" t="s">
        <v>744</v>
      </c>
      <c r="L489" s="16"/>
      <c r="M489" s="16"/>
      <c r="N489" s="16"/>
      <c r="O489" s="16"/>
    </row>
    <row r="490" spans="1:17" ht="22.5" customHeight="1" thickTop="1" thickBot="1" x14ac:dyDescent="0.25">
      <c r="A490" s="16" t="e">
        <f>#REF!</f>
        <v>#REF!</v>
      </c>
      <c r="B490" s="16" t="e">
        <f>#REF!</f>
        <v>#REF!</v>
      </c>
      <c r="C490" s="16" t="e">
        <f>#REF!</f>
        <v>#REF!</v>
      </c>
      <c r="D490" s="16" t="e">
        <f>#REF!</f>
        <v>#REF!</v>
      </c>
      <c r="E490" s="16" t="e">
        <f>#REF!</f>
        <v>#REF!</v>
      </c>
      <c r="F490" s="16" t="e">
        <f>#REF!</f>
        <v>#REF!</v>
      </c>
      <c r="G490" s="16" t="e">
        <f>#REF!</f>
        <v>#REF!</v>
      </c>
      <c r="H490" s="16" t="e">
        <f>#REF!</f>
        <v>#REF!</v>
      </c>
      <c r="I490" s="16" t="e">
        <f>#REF!</f>
        <v>#REF!</v>
      </c>
      <c r="J490" s="16" t="e">
        <f>#REF!</f>
        <v>#REF!</v>
      </c>
      <c r="K490" s="16"/>
      <c r="L490" s="16"/>
      <c r="M490" s="16"/>
      <c r="N490" s="16"/>
      <c r="O490" s="16"/>
    </row>
    <row r="491" spans="1:17" ht="22.5" customHeight="1" thickTop="1" thickBot="1" x14ac:dyDescent="0.25">
      <c r="A491" s="16" t="e">
        <f>#REF!</f>
        <v>#REF!</v>
      </c>
      <c r="B491" s="16" t="e">
        <f>#REF!</f>
        <v>#REF!</v>
      </c>
      <c r="C491" s="16" t="e">
        <f>#REF!</f>
        <v>#REF!</v>
      </c>
      <c r="D491" s="16" t="e">
        <f>#REF!</f>
        <v>#REF!</v>
      </c>
      <c r="E491" s="16" t="e">
        <f>#REF!</f>
        <v>#REF!</v>
      </c>
      <c r="F491" s="16" t="e">
        <f>#REF!</f>
        <v>#REF!</v>
      </c>
      <c r="G491" s="16" t="e">
        <f>#REF!</f>
        <v>#REF!</v>
      </c>
      <c r="H491" s="16" t="e">
        <f>#REF!</f>
        <v>#REF!</v>
      </c>
      <c r="I491" s="16" t="e">
        <f>#REF!</f>
        <v>#REF!</v>
      </c>
      <c r="J491" s="16" t="e">
        <f>#REF!</f>
        <v>#REF!</v>
      </c>
      <c r="K491" s="16"/>
      <c r="L491" s="16"/>
      <c r="M491" s="16"/>
      <c r="N491" s="16"/>
      <c r="O491" s="16"/>
      <c r="P491" s="17"/>
      <c r="Q491" s="17"/>
    </row>
    <row r="492" spans="1:17" ht="22.5" customHeight="1" thickTop="1" thickBot="1" x14ac:dyDescent="0.25">
      <c r="A492" s="16" t="e">
        <f>#REF!</f>
        <v>#REF!</v>
      </c>
      <c r="B492" s="16" t="e">
        <f>#REF!</f>
        <v>#REF!</v>
      </c>
      <c r="C492" s="16" t="e">
        <f>#REF!</f>
        <v>#REF!</v>
      </c>
      <c r="D492" s="16" t="e">
        <f>#REF!</f>
        <v>#REF!</v>
      </c>
      <c r="E492" s="16" t="e">
        <f>#REF!</f>
        <v>#REF!</v>
      </c>
      <c r="F492" s="16" t="e">
        <f>#REF!</f>
        <v>#REF!</v>
      </c>
      <c r="G492" s="16" t="e">
        <f>#REF!</f>
        <v>#REF!</v>
      </c>
      <c r="H492" s="16" t="e">
        <f>#REF!</f>
        <v>#REF!</v>
      </c>
      <c r="I492" s="16" t="e">
        <f>#REF!</f>
        <v>#REF!</v>
      </c>
      <c r="J492" s="16" t="e">
        <f>#REF!</f>
        <v>#REF!</v>
      </c>
      <c r="K492" s="16" t="s">
        <v>744</v>
      </c>
      <c r="L492" s="16"/>
      <c r="M492" s="16"/>
      <c r="N492" s="16"/>
      <c r="O492" s="16"/>
      <c r="P492" s="17"/>
      <c r="Q492" s="17"/>
    </row>
    <row r="493" spans="1:17" ht="22.5" customHeight="1" thickTop="1" thickBot="1" x14ac:dyDescent="0.25">
      <c r="A493" s="16" t="e">
        <f>#REF!</f>
        <v>#REF!</v>
      </c>
      <c r="B493" s="16" t="e">
        <f>#REF!</f>
        <v>#REF!</v>
      </c>
      <c r="C493" s="16" t="e">
        <f>#REF!</f>
        <v>#REF!</v>
      </c>
      <c r="D493" s="16" t="e">
        <f>#REF!</f>
        <v>#REF!</v>
      </c>
      <c r="E493" s="16" t="e">
        <f>#REF!</f>
        <v>#REF!</v>
      </c>
      <c r="F493" s="16" t="e">
        <f>#REF!</f>
        <v>#REF!</v>
      </c>
      <c r="G493" s="16" t="e">
        <f>#REF!</f>
        <v>#REF!</v>
      </c>
      <c r="H493" s="16" t="e">
        <f>#REF!</f>
        <v>#REF!</v>
      </c>
      <c r="I493" s="16" t="e">
        <f>#REF!</f>
        <v>#REF!</v>
      </c>
      <c r="J493" s="16" t="e">
        <f>#REF!</f>
        <v>#REF!</v>
      </c>
      <c r="K493" s="16"/>
      <c r="L493" s="16"/>
      <c r="M493" s="16"/>
      <c r="N493" s="16"/>
      <c r="O493" s="16"/>
      <c r="P493" s="17"/>
      <c r="Q493" s="17"/>
    </row>
    <row r="494" spans="1:17" ht="22.5" customHeight="1" thickTop="1" thickBot="1" x14ac:dyDescent="0.25">
      <c r="A494" s="16" t="e">
        <f>#REF!</f>
        <v>#REF!</v>
      </c>
      <c r="B494" s="16" t="e">
        <f>#REF!</f>
        <v>#REF!</v>
      </c>
      <c r="C494" s="16" t="e">
        <f>#REF!</f>
        <v>#REF!</v>
      </c>
      <c r="D494" s="16" t="e">
        <f>#REF!</f>
        <v>#REF!</v>
      </c>
      <c r="E494" s="16" t="e">
        <f>#REF!</f>
        <v>#REF!</v>
      </c>
      <c r="F494" s="16" t="e">
        <f>#REF!</f>
        <v>#REF!</v>
      </c>
      <c r="G494" s="16" t="e">
        <f>#REF!</f>
        <v>#REF!</v>
      </c>
      <c r="H494" s="16" t="e">
        <f>#REF!</f>
        <v>#REF!</v>
      </c>
      <c r="I494" s="16" t="e">
        <f>#REF!</f>
        <v>#REF!</v>
      </c>
      <c r="J494" s="16" t="e">
        <f>#REF!</f>
        <v>#REF!</v>
      </c>
      <c r="K494" s="16" t="s">
        <v>744</v>
      </c>
      <c r="L494" s="16"/>
      <c r="M494" s="16"/>
      <c r="N494" s="16"/>
      <c r="O494" s="16"/>
      <c r="P494" s="17"/>
      <c r="Q494" s="17"/>
    </row>
    <row r="495" spans="1:17" ht="22.5" customHeight="1" thickTop="1" thickBot="1" x14ac:dyDescent="0.25">
      <c r="A495" s="16" t="e">
        <f>#REF!</f>
        <v>#REF!</v>
      </c>
      <c r="B495" s="16" t="e">
        <f>#REF!</f>
        <v>#REF!</v>
      </c>
      <c r="C495" s="16" t="e">
        <f>#REF!</f>
        <v>#REF!</v>
      </c>
      <c r="D495" s="16" t="e">
        <f>#REF!</f>
        <v>#REF!</v>
      </c>
      <c r="E495" s="16" t="e">
        <f>#REF!</f>
        <v>#REF!</v>
      </c>
      <c r="F495" s="16" t="e">
        <f>#REF!</f>
        <v>#REF!</v>
      </c>
      <c r="G495" s="16" t="e">
        <f>#REF!</f>
        <v>#REF!</v>
      </c>
      <c r="H495" s="16" t="e">
        <f>#REF!</f>
        <v>#REF!</v>
      </c>
      <c r="I495" s="16" t="e">
        <f>#REF!</f>
        <v>#REF!</v>
      </c>
      <c r="J495" s="16" t="e">
        <f>#REF!</f>
        <v>#REF!</v>
      </c>
      <c r="K495" s="16" t="s">
        <v>744</v>
      </c>
      <c r="L495" s="16"/>
      <c r="M495" s="16"/>
      <c r="N495" s="16"/>
      <c r="O495" s="16"/>
      <c r="P495" s="17"/>
      <c r="Q495" s="17"/>
    </row>
    <row r="496" spans="1:17" ht="22.5" customHeight="1" thickTop="1" thickBot="1" x14ac:dyDescent="0.25">
      <c r="A496" s="16" t="e">
        <f>#REF!</f>
        <v>#REF!</v>
      </c>
      <c r="B496" s="16" t="e">
        <f>#REF!</f>
        <v>#REF!</v>
      </c>
      <c r="C496" s="16" t="e">
        <f>#REF!</f>
        <v>#REF!</v>
      </c>
      <c r="D496" s="16" t="e">
        <f>#REF!</f>
        <v>#REF!</v>
      </c>
      <c r="E496" s="16" t="e">
        <f>#REF!</f>
        <v>#REF!</v>
      </c>
      <c r="F496" s="16" t="e">
        <f>#REF!</f>
        <v>#REF!</v>
      </c>
      <c r="G496" s="16" t="e">
        <f>#REF!</f>
        <v>#REF!</v>
      </c>
      <c r="H496" s="16" t="e">
        <f>#REF!</f>
        <v>#REF!</v>
      </c>
      <c r="I496" s="16" t="e">
        <f>#REF!</f>
        <v>#REF!</v>
      </c>
      <c r="J496" s="16" t="e">
        <f>#REF!</f>
        <v>#REF!</v>
      </c>
      <c r="K496" s="16" t="s">
        <v>744</v>
      </c>
      <c r="L496" s="16"/>
      <c r="M496" s="16"/>
      <c r="N496" s="16"/>
      <c r="O496" s="16"/>
      <c r="P496" s="17"/>
      <c r="Q496" s="17"/>
    </row>
    <row r="497" spans="1:17" ht="22.5" customHeight="1" thickTop="1" thickBot="1" x14ac:dyDescent="0.25">
      <c r="A497" s="16" t="e">
        <f>#REF!</f>
        <v>#REF!</v>
      </c>
      <c r="B497" s="16" t="e">
        <f>#REF!</f>
        <v>#REF!</v>
      </c>
      <c r="C497" s="16" t="e">
        <f>#REF!</f>
        <v>#REF!</v>
      </c>
      <c r="D497" s="16" t="e">
        <f>#REF!</f>
        <v>#REF!</v>
      </c>
      <c r="E497" s="16" t="e">
        <f>#REF!</f>
        <v>#REF!</v>
      </c>
      <c r="F497" s="16" t="e">
        <f>#REF!</f>
        <v>#REF!</v>
      </c>
      <c r="G497" s="16" t="e">
        <f>#REF!</f>
        <v>#REF!</v>
      </c>
      <c r="H497" s="16" t="e">
        <f>#REF!</f>
        <v>#REF!</v>
      </c>
      <c r="I497" s="16" t="e">
        <f>#REF!</f>
        <v>#REF!</v>
      </c>
      <c r="J497" s="16" t="e">
        <f>#REF!</f>
        <v>#REF!</v>
      </c>
      <c r="K497" s="16"/>
      <c r="L497" s="16"/>
      <c r="M497" s="16"/>
      <c r="N497" s="16"/>
      <c r="O497" s="16"/>
      <c r="P497" s="17"/>
      <c r="Q497" s="17"/>
    </row>
    <row r="498" spans="1:17" ht="22.5" customHeight="1" thickTop="1" thickBot="1" x14ac:dyDescent="0.25">
      <c r="A498" s="16" t="e">
        <f>#REF!</f>
        <v>#REF!</v>
      </c>
      <c r="B498" s="16" t="e">
        <f>#REF!</f>
        <v>#REF!</v>
      </c>
      <c r="C498" s="16" t="e">
        <f>#REF!</f>
        <v>#REF!</v>
      </c>
      <c r="D498" s="16" t="e">
        <f>#REF!</f>
        <v>#REF!</v>
      </c>
      <c r="E498" s="16" t="e">
        <f>#REF!</f>
        <v>#REF!</v>
      </c>
      <c r="F498" s="16" t="e">
        <f>#REF!</f>
        <v>#REF!</v>
      </c>
      <c r="G498" s="16" t="e">
        <f>#REF!</f>
        <v>#REF!</v>
      </c>
      <c r="H498" s="16" t="e">
        <f>#REF!</f>
        <v>#REF!</v>
      </c>
      <c r="I498" s="16" t="e">
        <f>#REF!</f>
        <v>#REF!</v>
      </c>
      <c r="J498" s="16" t="e">
        <f>#REF!</f>
        <v>#REF!</v>
      </c>
      <c r="K498" s="16" t="s">
        <v>744</v>
      </c>
      <c r="L498" s="16"/>
      <c r="M498" s="16"/>
      <c r="N498" s="16"/>
      <c r="O498" s="16"/>
      <c r="P498" s="17"/>
      <c r="Q498" s="17"/>
    </row>
    <row r="499" spans="1:17" ht="22.5" customHeight="1" thickTop="1" thickBot="1" x14ac:dyDescent="0.25">
      <c r="A499" s="16" t="e">
        <f>#REF!</f>
        <v>#REF!</v>
      </c>
      <c r="B499" s="16" t="e">
        <f>#REF!</f>
        <v>#REF!</v>
      </c>
      <c r="C499" s="16" t="e">
        <f>#REF!</f>
        <v>#REF!</v>
      </c>
      <c r="D499" s="16" t="e">
        <f>#REF!</f>
        <v>#REF!</v>
      </c>
      <c r="E499" s="16" t="e">
        <f>#REF!</f>
        <v>#REF!</v>
      </c>
      <c r="F499" s="16" t="e">
        <f>#REF!</f>
        <v>#REF!</v>
      </c>
      <c r="G499" s="16" t="e">
        <f>#REF!</f>
        <v>#REF!</v>
      </c>
      <c r="H499" s="16" t="e">
        <f>#REF!</f>
        <v>#REF!</v>
      </c>
      <c r="I499" s="16" t="e">
        <f>#REF!</f>
        <v>#REF!</v>
      </c>
      <c r="J499" s="16" t="e">
        <f>#REF!</f>
        <v>#REF!</v>
      </c>
      <c r="K499" s="16"/>
      <c r="L499" s="16"/>
      <c r="M499" s="16"/>
      <c r="N499" s="16"/>
      <c r="O499" s="16"/>
      <c r="P499" s="17"/>
      <c r="Q499" s="17"/>
    </row>
    <row r="500" spans="1:17" ht="22.5" customHeight="1" thickTop="1" thickBot="1" x14ac:dyDescent="0.25">
      <c r="A500" s="16" t="e">
        <f>#REF!</f>
        <v>#REF!</v>
      </c>
      <c r="B500" s="16" t="e">
        <f>#REF!</f>
        <v>#REF!</v>
      </c>
      <c r="C500" s="16" t="e">
        <f>#REF!</f>
        <v>#REF!</v>
      </c>
      <c r="D500" s="16" t="e">
        <f>#REF!</f>
        <v>#REF!</v>
      </c>
      <c r="E500" s="16" t="e">
        <f>#REF!</f>
        <v>#REF!</v>
      </c>
      <c r="F500" s="16" t="e">
        <f>#REF!</f>
        <v>#REF!</v>
      </c>
      <c r="G500" s="16" t="e">
        <f>#REF!</f>
        <v>#REF!</v>
      </c>
      <c r="H500" s="16" t="e">
        <f>#REF!</f>
        <v>#REF!</v>
      </c>
      <c r="I500" s="16" t="e">
        <f>#REF!</f>
        <v>#REF!</v>
      </c>
      <c r="J500" s="16" t="e">
        <f>#REF!</f>
        <v>#REF!</v>
      </c>
      <c r="K500" s="16" t="s">
        <v>744</v>
      </c>
      <c r="L500" s="16"/>
      <c r="M500" s="16"/>
      <c r="N500" s="16"/>
      <c r="O500" s="16"/>
      <c r="P500" s="17"/>
      <c r="Q500" s="17" t="s">
        <v>789</v>
      </c>
    </row>
    <row r="501" spans="1:17" ht="22.5" customHeight="1" thickTop="1" thickBot="1" x14ac:dyDescent="0.25">
      <c r="A501" s="16" t="e">
        <f>#REF!</f>
        <v>#REF!</v>
      </c>
      <c r="B501" s="16" t="e">
        <f>#REF!</f>
        <v>#REF!</v>
      </c>
      <c r="C501" s="16" t="e">
        <f>#REF!</f>
        <v>#REF!</v>
      </c>
      <c r="D501" s="16" t="e">
        <f>#REF!</f>
        <v>#REF!</v>
      </c>
      <c r="E501" s="16" t="e">
        <f>#REF!</f>
        <v>#REF!</v>
      </c>
      <c r="F501" s="16" t="e">
        <f>#REF!</f>
        <v>#REF!</v>
      </c>
      <c r="G501" s="16" t="e">
        <f>#REF!</f>
        <v>#REF!</v>
      </c>
      <c r="H501" s="16" t="e">
        <f>#REF!</f>
        <v>#REF!</v>
      </c>
      <c r="I501" s="16" t="e">
        <f>#REF!</f>
        <v>#REF!</v>
      </c>
      <c r="J501" s="16" t="e">
        <f>#REF!</f>
        <v>#REF!</v>
      </c>
      <c r="K501" s="16"/>
      <c r="L501" s="16"/>
      <c r="M501" s="16"/>
      <c r="N501" s="16"/>
      <c r="O501" s="16"/>
      <c r="P501" s="24"/>
      <c r="Q501" s="17" t="s">
        <v>789</v>
      </c>
    </row>
    <row r="502" spans="1:17" ht="22.5" customHeight="1" thickTop="1" thickBot="1" x14ac:dyDescent="0.25">
      <c r="A502" s="16" t="e">
        <f>#REF!</f>
        <v>#REF!</v>
      </c>
      <c r="B502" s="16" t="e">
        <f>#REF!</f>
        <v>#REF!</v>
      </c>
      <c r="C502" s="16" t="e">
        <f>#REF!</f>
        <v>#REF!</v>
      </c>
      <c r="D502" s="16" t="e">
        <f>#REF!</f>
        <v>#REF!</v>
      </c>
      <c r="E502" s="16" t="e">
        <f>#REF!</f>
        <v>#REF!</v>
      </c>
      <c r="F502" s="16" t="e">
        <f>#REF!</f>
        <v>#REF!</v>
      </c>
      <c r="G502" s="16" t="e">
        <f>#REF!</f>
        <v>#REF!</v>
      </c>
      <c r="H502" s="16" t="e">
        <f>#REF!</f>
        <v>#REF!</v>
      </c>
      <c r="I502" s="16" t="e">
        <f>#REF!</f>
        <v>#REF!</v>
      </c>
      <c r="J502" s="16" t="e">
        <f>#REF!</f>
        <v>#REF!</v>
      </c>
      <c r="K502" s="16"/>
      <c r="L502" s="16"/>
      <c r="M502" s="16"/>
      <c r="N502" s="16"/>
      <c r="O502" s="16"/>
      <c r="P502" s="17"/>
      <c r="Q502" s="17"/>
    </row>
    <row r="503" spans="1:17" ht="22.5" customHeight="1" thickTop="1" thickBot="1" x14ac:dyDescent="0.25">
      <c r="A503" s="16" t="e">
        <f>#REF!</f>
        <v>#REF!</v>
      </c>
      <c r="B503" s="16" t="e">
        <f>#REF!</f>
        <v>#REF!</v>
      </c>
      <c r="C503" s="16" t="e">
        <f>#REF!</f>
        <v>#REF!</v>
      </c>
      <c r="D503" s="16" t="e">
        <f>#REF!</f>
        <v>#REF!</v>
      </c>
      <c r="E503" s="16" t="e">
        <f>#REF!</f>
        <v>#REF!</v>
      </c>
      <c r="F503" s="16" t="e">
        <f>#REF!</f>
        <v>#REF!</v>
      </c>
      <c r="G503" s="16" t="e">
        <f>#REF!</f>
        <v>#REF!</v>
      </c>
      <c r="H503" s="16" t="e">
        <f>#REF!</f>
        <v>#REF!</v>
      </c>
      <c r="I503" s="16" t="e">
        <f>#REF!</f>
        <v>#REF!</v>
      </c>
      <c r="J503" s="16" t="e">
        <f>#REF!</f>
        <v>#REF!</v>
      </c>
      <c r="K503" s="16"/>
      <c r="L503" s="16"/>
      <c r="M503" s="16"/>
      <c r="N503" s="16"/>
      <c r="O503" s="16"/>
      <c r="P503" s="17"/>
      <c r="Q503" s="17"/>
    </row>
    <row r="504" spans="1:17" ht="22.5" customHeight="1" thickTop="1" thickBot="1" x14ac:dyDescent="0.25">
      <c r="A504" s="16" t="e">
        <f>#REF!</f>
        <v>#REF!</v>
      </c>
      <c r="B504" s="16" t="e">
        <f>#REF!</f>
        <v>#REF!</v>
      </c>
      <c r="C504" s="16" t="e">
        <f>#REF!</f>
        <v>#REF!</v>
      </c>
      <c r="D504" s="16" t="e">
        <f>#REF!</f>
        <v>#REF!</v>
      </c>
      <c r="E504" s="16" t="e">
        <f>#REF!</f>
        <v>#REF!</v>
      </c>
      <c r="F504" s="16" t="e">
        <f>#REF!</f>
        <v>#REF!</v>
      </c>
      <c r="G504" s="16" t="e">
        <f>#REF!</f>
        <v>#REF!</v>
      </c>
      <c r="H504" s="16" t="e">
        <f>#REF!</f>
        <v>#REF!</v>
      </c>
      <c r="I504" s="16" t="e">
        <f>#REF!</f>
        <v>#REF!</v>
      </c>
      <c r="J504" s="16" t="e">
        <f>#REF!</f>
        <v>#REF!</v>
      </c>
      <c r="K504" s="16" t="s">
        <v>744</v>
      </c>
      <c r="L504" s="16"/>
      <c r="M504" s="16"/>
      <c r="N504" s="16"/>
      <c r="O504" s="16"/>
      <c r="P504" s="17"/>
      <c r="Q504" s="17"/>
    </row>
    <row r="505" spans="1:17" ht="22.5" customHeight="1" thickTop="1" thickBot="1" x14ac:dyDescent="0.25">
      <c r="A505" s="16" t="e">
        <f>#REF!</f>
        <v>#REF!</v>
      </c>
      <c r="B505" s="16" t="e">
        <f>#REF!</f>
        <v>#REF!</v>
      </c>
      <c r="C505" s="16" t="e">
        <f>#REF!</f>
        <v>#REF!</v>
      </c>
      <c r="D505" s="16" t="e">
        <f>#REF!</f>
        <v>#REF!</v>
      </c>
      <c r="E505" s="16" t="e">
        <f>#REF!</f>
        <v>#REF!</v>
      </c>
      <c r="F505" s="16" t="e">
        <f>#REF!</f>
        <v>#REF!</v>
      </c>
      <c r="G505" s="16" t="e">
        <f>#REF!</f>
        <v>#REF!</v>
      </c>
      <c r="H505" s="16" t="e">
        <f>#REF!</f>
        <v>#REF!</v>
      </c>
      <c r="I505" s="16" t="e">
        <f>#REF!</f>
        <v>#REF!</v>
      </c>
      <c r="J505" s="16" t="e">
        <f>#REF!</f>
        <v>#REF!</v>
      </c>
      <c r="K505" s="16"/>
      <c r="L505" s="16"/>
      <c r="M505" s="16"/>
      <c r="N505" s="16"/>
      <c r="O505" s="16"/>
      <c r="P505" s="17"/>
      <c r="Q505" s="17"/>
    </row>
    <row r="506" spans="1:17" ht="22.5" customHeight="1" thickTop="1" thickBot="1" x14ac:dyDescent="0.25">
      <c r="A506" s="16" t="e">
        <f>#REF!</f>
        <v>#REF!</v>
      </c>
      <c r="B506" s="16" t="e">
        <f>#REF!</f>
        <v>#REF!</v>
      </c>
      <c r="C506" s="16" t="e">
        <f>#REF!</f>
        <v>#REF!</v>
      </c>
      <c r="D506" s="16" t="e">
        <f>#REF!</f>
        <v>#REF!</v>
      </c>
      <c r="E506" s="16" t="e">
        <f>#REF!</f>
        <v>#REF!</v>
      </c>
      <c r="F506" s="16" t="e">
        <f>#REF!</f>
        <v>#REF!</v>
      </c>
      <c r="G506" s="16" t="e">
        <f>#REF!</f>
        <v>#REF!</v>
      </c>
      <c r="H506" s="16" t="e">
        <f>#REF!</f>
        <v>#REF!</v>
      </c>
      <c r="I506" s="16" t="e">
        <f>#REF!</f>
        <v>#REF!</v>
      </c>
      <c r="J506" s="16" t="e">
        <f>#REF!</f>
        <v>#REF!</v>
      </c>
      <c r="K506" s="16" t="s">
        <v>744</v>
      </c>
      <c r="L506" s="16"/>
      <c r="M506" s="16"/>
      <c r="N506" s="16"/>
      <c r="O506" s="16"/>
      <c r="P506" s="17"/>
      <c r="Q506" s="17"/>
    </row>
    <row r="507" spans="1:17" ht="22.5" customHeight="1" thickTop="1" thickBot="1" x14ac:dyDescent="0.25">
      <c r="A507" s="16" t="e">
        <f>#REF!</f>
        <v>#REF!</v>
      </c>
      <c r="B507" s="16" t="e">
        <f>#REF!</f>
        <v>#REF!</v>
      </c>
      <c r="C507" s="16" t="e">
        <f>#REF!</f>
        <v>#REF!</v>
      </c>
      <c r="D507" s="16" t="e">
        <f>#REF!</f>
        <v>#REF!</v>
      </c>
      <c r="E507" s="16" t="e">
        <f>#REF!</f>
        <v>#REF!</v>
      </c>
      <c r="F507" s="16" t="e">
        <f>#REF!</f>
        <v>#REF!</v>
      </c>
      <c r="G507" s="16" t="e">
        <f>#REF!</f>
        <v>#REF!</v>
      </c>
      <c r="H507" s="16" t="e">
        <f>#REF!</f>
        <v>#REF!</v>
      </c>
      <c r="I507" s="16" t="e">
        <f>#REF!</f>
        <v>#REF!</v>
      </c>
      <c r="J507" s="16" t="e">
        <f>#REF!</f>
        <v>#REF!</v>
      </c>
      <c r="K507" s="16" t="s">
        <v>744</v>
      </c>
      <c r="L507" s="16"/>
      <c r="M507" s="16"/>
      <c r="N507" s="16"/>
      <c r="O507" s="16"/>
      <c r="P507" s="17"/>
      <c r="Q507" s="17"/>
    </row>
    <row r="508" spans="1:17" ht="22.5" customHeight="1" thickTop="1" thickBot="1" x14ac:dyDescent="0.25">
      <c r="A508" s="16" t="e">
        <f>#REF!</f>
        <v>#REF!</v>
      </c>
      <c r="B508" s="16" t="e">
        <f>#REF!</f>
        <v>#REF!</v>
      </c>
      <c r="C508" s="16" t="e">
        <f>#REF!</f>
        <v>#REF!</v>
      </c>
      <c r="D508" s="16" t="e">
        <f>#REF!</f>
        <v>#REF!</v>
      </c>
      <c r="E508" s="16" t="e">
        <f>#REF!</f>
        <v>#REF!</v>
      </c>
      <c r="F508" s="16" t="e">
        <f>#REF!</f>
        <v>#REF!</v>
      </c>
      <c r="G508" s="16" t="e">
        <f>#REF!</f>
        <v>#REF!</v>
      </c>
      <c r="H508" s="16" t="e">
        <f>#REF!</f>
        <v>#REF!</v>
      </c>
      <c r="I508" s="16" t="e">
        <f>#REF!</f>
        <v>#REF!</v>
      </c>
      <c r="J508" s="16" t="e">
        <f>#REF!</f>
        <v>#REF!</v>
      </c>
      <c r="K508" s="16" t="s">
        <v>744</v>
      </c>
      <c r="L508" s="16"/>
      <c r="M508" s="16"/>
      <c r="N508" s="16"/>
      <c r="O508" s="16"/>
      <c r="P508" s="17"/>
      <c r="Q508" s="17"/>
    </row>
    <row r="509" spans="1:17" ht="22.5" customHeight="1" thickTop="1" thickBot="1" x14ac:dyDescent="0.25">
      <c r="A509" s="16" t="e">
        <f>#REF!</f>
        <v>#REF!</v>
      </c>
      <c r="B509" s="16" t="e">
        <f>#REF!</f>
        <v>#REF!</v>
      </c>
      <c r="C509" s="16" t="e">
        <f>#REF!</f>
        <v>#REF!</v>
      </c>
      <c r="D509" s="16" t="e">
        <f>#REF!</f>
        <v>#REF!</v>
      </c>
      <c r="E509" s="16" t="e">
        <f>#REF!</f>
        <v>#REF!</v>
      </c>
      <c r="F509" s="16" t="e">
        <f>#REF!</f>
        <v>#REF!</v>
      </c>
      <c r="G509" s="16" t="e">
        <f>#REF!</f>
        <v>#REF!</v>
      </c>
      <c r="H509" s="16" t="e">
        <f>#REF!</f>
        <v>#REF!</v>
      </c>
      <c r="I509" s="16" t="e">
        <f>#REF!</f>
        <v>#REF!</v>
      </c>
      <c r="J509" s="16" t="e">
        <f>#REF!</f>
        <v>#REF!</v>
      </c>
      <c r="K509" s="16" t="s">
        <v>744</v>
      </c>
      <c r="L509" s="16"/>
      <c r="M509" s="16"/>
      <c r="N509" s="16"/>
      <c r="O509" s="16"/>
      <c r="P509" s="17"/>
      <c r="Q509" s="17"/>
    </row>
    <row r="510" spans="1:17" ht="22.5" customHeight="1" thickTop="1" thickBot="1" x14ac:dyDescent="0.25">
      <c r="A510" s="16" t="e">
        <f>#REF!</f>
        <v>#REF!</v>
      </c>
      <c r="B510" s="16" t="e">
        <f>#REF!</f>
        <v>#REF!</v>
      </c>
      <c r="C510" s="16" t="e">
        <f>#REF!</f>
        <v>#REF!</v>
      </c>
      <c r="D510" s="16" t="e">
        <f>#REF!</f>
        <v>#REF!</v>
      </c>
      <c r="E510" s="16" t="e">
        <f>#REF!</f>
        <v>#REF!</v>
      </c>
      <c r="F510" s="16" t="e">
        <f>#REF!</f>
        <v>#REF!</v>
      </c>
      <c r="G510" s="16" t="e">
        <f>#REF!</f>
        <v>#REF!</v>
      </c>
      <c r="H510" s="16" t="e">
        <f>#REF!</f>
        <v>#REF!</v>
      </c>
      <c r="I510" s="16" t="e">
        <f>#REF!</f>
        <v>#REF!</v>
      </c>
      <c r="J510" s="16" t="e">
        <f>#REF!</f>
        <v>#REF!</v>
      </c>
      <c r="K510" s="16" t="s">
        <v>744</v>
      </c>
      <c r="L510" s="16"/>
      <c r="M510" s="16"/>
      <c r="N510" s="16"/>
      <c r="O510" s="16"/>
      <c r="P510" s="17"/>
      <c r="Q510" s="17"/>
    </row>
    <row r="511" spans="1:17" ht="22.5" customHeight="1" thickTop="1" thickBot="1" x14ac:dyDescent="0.25">
      <c r="A511" s="16" t="e">
        <f>#REF!</f>
        <v>#REF!</v>
      </c>
      <c r="B511" s="16" t="e">
        <f>#REF!</f>
        <v>#REF!</v>
      </c>
      <c r="C511" s="16" t="e">
        <f>#REF!</f>
        <v>#REF!</v>
      </c>
      <c r="D511" s="16" t="e">
        <f>#REF!</f>
        <v>#REF!</v>
      </c>
      <c r="E511" s="16" t="e">
        <f>#REF!</f>
        <v>#REF!</v>
      </c>
      <c r="F511" s="16" t="e">
        <f>#REF!</f>
        <v>#REF!</v>
      </c>
      <c r="G511" s="16" t="e">
        <f>#REF!</f>
        <v>#REF!</v>
      </c>
      <c r="H511" s="16" t="e">
        <f>#REF!</f>
        <v>#REF!</v>
      </c>
      <c r="I511" s="16" t="e">
        <f>#REF!</f>
        <v>#REF!</v>
      </c>
      <c r="J511" s="16" t="e">
        <f>#REF!</f>
        <v>#REF!</v>
      </c>
      <c r="K511" s="16" t="s">
        <v>744</v>
      </c>
      <c r="L511" s="16"/>
      <c r="M511" s="16"/>
      <c r="N511" s="16"/>
      <c r="O511" s="16"/>
      <c r="P511" s="20"/>
      <c r="Q511" s="20"/>
    </row>
    <row r="512" spans="1:17" ht="22.5" customHeight="1" thickTop="1" thickBot="1" x14ac:dyDescent="0.25">
      <c r="A512" s="16" t="e">
        <f>#REF!</f>
        <v>#REF!</v>
      </c>
      <c r="B512" s="16" t="e">
        <f>#REF!</f>
        <v>#REF!</v>
      </c>
      <c r="C512" s="16" t="e">
        <f>#REF!</f>
        <v>#REF!</v>
      </c>
      <c r="D512" s="16" t="e">
        <f>#REF!</f>
        <v>#REF!</v>
      </c>
      <c r="E512" s="16" t="e">
        <f>#REF!</f>
        <v>#REF!</v>
      </c>
      <c r="F512" s="16" t="e">
        <f>#REF!</f>
        <v>#REF!</v>
      </c>
      <c r="G512" s="16" t="e">
        <f>#REF!</f>
        <v>#REF!</v>
      </c>
      <c r="H512" s="16" t="e">
        <f>#REF!</f>
        <v>#REF!</v>
      </c>
      <c r="I512" s="16" t="e">
        <f>#REF!</f>
        <v>#REF!</v>
      </c>
      <c r="J512" s="16" t="e">
        <f>#REF!</f>
        <v>#REF!</v>
      </c>
      <c r="K512" s="16" t="s">
        <v>744</v>
      </c>
      <c r="L512" s="16"/>
      <c r="M512" s="16"/>
      <c r="N512" s="16"/>
      <c r="O512" s="16"/>
      <c r="P512" s="17"/>
      <c r="Q512" s="17"/>
    </row>
    <row r="513" spans="1:17" ht="22.5" customHeight="1" thickTop="1" thickBot="1" x14ac:dyDescent="0.25">
      <c r="A513" s="16" t="e">
        <f>#REF!</f>
        <v>#REF!</v>
      </c>
      <c r="B513" s="16" t="e">
        <f>#REF!</f>
        <v>#REF!</v>
      </c>
      <c r="C513" s="16" t="e">
        <f>#REF!</f>
        <v>#REF!</v>
      </c>
      <c r="D513" s="16" t="e">
        <f>#REF!</f>
        <v>#REF!</v>
      </c>
      <c r="E513" s="16" t="e">
        <f>#REF!</f>
        <v>#REF!</v>
      </c>
      <c r="F513" s="16" t="e">
        <f>#REF!</f>
        <v>#REF!</v>
      </c>
      <c r="G513" s="16" t="e">
        <f>#REF!</f>
        <v>#REF!</v>
      </c>
      <c r="H513" s="16" t="e">
        <f>#REF!</f>
        <v>#REF!</v>
      </c>
      <c r="I513" s="16" t="e">
        <f>#REF!</f>
        <v>#REF!</v>
      </c>
      <c r="J513" s="16" t="e">
        <f>#REF!</f>
        <v>#REF!</v>
      </c>
      <c r="K513" s="16" t="s">
        <v>744</v>
      </c>
      <c r="L513" s="16"/>
      <c r="M513" s="16"/>
      <c r="N513" s="16"/>
      <c r="O513" s="16"/>
      <c r="P513" s="17"/>
      <c r="Q513" s="17"/>
    </row>
    <row r="514" spans="1:17" ht="22.5" customHeight="1" thickTop="1" thickBot="1" x14ac:dyDescent="0.25">
      <c r="A514" s="16" t="e">
        <f>#REF!</f>
        <v>#REF!</v>
      </c>
      <c r="B514" s="16" t="e">
        <f>#REF!</f>
        <v>#REF!</v>
      </c>
      <c r="C514" s="16" t="e">
        <f>#REF!</f>
        <v>#REF!</v>
      </c>
      <c r="D514" s="16" t="e">
        <f>#REF!</f>
        <v>#REF!</v>
      </c>
      <c r="E514" s="16" t="e">
        <f>#REF!</f>
        <v>#REF!</v>
      </c>
      <c r="F514" s="16" t="e">
        <f>#REF!</f>
        <v>#REF!</v>
      </c>
      <c r="G514" s="16" t="e">
        <f>#REF!</f>
        <v>#REF!</v>
      </c>
      <c r="H514" s="16" t="e">
        <f>#REF!</f>
        <v>#REF!</v>
      </c>
      <c r="I514" s="16" t="e">
        <f>#REF!</f>
        <v>#REF!</v>
      </c>
      <c r="J514" s="16" t="e">
        <f>#REF!</f>
        <v>#REF!</v>
      </c>
      <c r="K514" s="16"/>
      <c r="L514" s="16"/>
      <c r="M514" s="16"/>
      <c r="N514" s="16"/>
      <c r="O514" s="16"/>
      <c r="P514" s="17"/>
      <c r="Q514" s="17"/>
    </row>
    <row r="515" spans="1:17" ht="22.5" customHeight="1" thickTop="1" thickBot="1" x14ac:dyDescent="0.25">
      <c r="A515" s="16" t="e">
        <f>#REF!</f>
        <v>#REF!</v>
      </c>
      <c r="B515" s="16" t="e">
        <f>#REF!</f>
        <v>#REF!</v>
      </c>
      <c r="C515" s="16" t="e">
        <f>#REF!</f>
        <v>#REF!</v>
      </c>
      <c r="D515" s="16" t="e">
        <f>#REF!</f>
        <v>#REF!</v>
      </c>
      <c r="E515" s="16" t="e">
        <f>#REF!</f>
        <v>#REF!</v>
      </c>
      <c r="F515" s="16" t="e">
        <f>#REF!</f>
        <v>#REF!</v>
      </c>
      <c r="G515" s="16" t="e">
        <f>#REF!</f>
        <v>#REF!</v>
      </c>
      <c r="H515" s="16" t="e">
        <f>#REF!</f>
        <v>#REF!</v>
      </c>
      <c r="I515" s="16" t="e">
        <f>#REF!</f>
        <v>#REF!</v>
      </c>
      <c r="J515" s="16" t="e">
        <f>#REF!</f>
        <v>#REF!</v>
      </c>
      <c r="K515" s="16" t="s">
        <v>744</v>
      </c>
      <c r="L515" s="16"/>
      <c r="M515" s="16"/>
      <c r="N515" s="16"/>
      <c r="O515" s="16"/>
      <c r="P515" s="19"/>
      <c r="Q515" s="19"/>
    </row>
    <row r="516" spans="1:17" ht="22.5" customHeight="1" thickTop="1" thickBot="1" x14ac:dyDescent="0.25">
      <c r="A516" s="16" t="e">
        <f>#REF!</f>
        <v>#REF!</v>
      </c>
      <c r="B516" s="16" t="e">
        <f>#REF!</f>
        <v>#REF!</v>
      </c>
      <c r="C516" s="16" t="e">
        <f>#REF!</f>
        <v>#REF!</v>
      </c>
      <c r="D516" s="16" t="e">
        <f>#REF!</f>
        <v>#REF!</v>
      </c>
      <c r="E516" s="16" t="e">
        <f>#REF!</f>
        <v>#REF!</v>
      </c>
      <c r="F516" s="16" t="e">
        <f>#REF!</f>
        <v>#REF!</v>
      </c>
      <c r="G516" s="16" t="e">
        <f>#REF!</f>
        <v>#REF!</v>
      </c>
      <c r="H516" s="16" t="e">
        <f>#REF!</f>
        <v>#REF!</v>
      </c>
      <c r="I516" s="16" t="e">
        <f>#REF!</f>
        <v>#REF!</v>
      </c>
      <c r="J516" s="16" t="e">
        <f>#REF!</f>
        <v>#REF!</v>
      </c>
      <c r="K516" s="16"/>
      <c r="L516" s="16"/>
      <c r="M516" s="16"/>
      <c r="N516" s="16"/>
      <c r="O516" s="16"/>
      <c r="P516" s="17"/>
      <c r="Q516" s="17"/>
    </row>
    <row r="517" spans="1:17" ht="22.5" customHeight="1" thickTop="1" thickBot="1" x14ac:dyDescent="0.25">
      <c r="A517" s="16" t="e">
        <f>#REF!</f>
        <v>#REF!</v>
      </c>
      <c r="B517" s="16" t="e">
        <f>#REF!</f>
        <v>#REF!</v>
      </c>
      <c r="C517" s="16" t="e">
        <f>#REF!</f>
        <v>#REF!</v>
      </c>
      <c r="D517" s="16" t="e">
        <f>#REF!</f>
        <v>#REF!</v>
      </c>
      <c r="E517" s="16" t="e">
        <f>#REF!</f>
        <v>#REF!</v>
      </c>
      <c r="F517" s="16" t="e">
        <f>#REF!</f>
        <v>#REF!</v>
      </c>
      <c r="G517" s="16" t="e">
        <f>#REF!</f>
        <v>#REF!</v>
      </c>
      <c r="H517" s="16" t="e">
        <f>#REF!</f>
        <v>#REF!</v>
      </c>
      <c r="I517" s="16" t="e">
        <f>#REF!</f>
        <v>#REF!</v>
      </c>
      <c r="J517" s="16" t="e">
        <f>#REF!</f>
        <v>#REF!</v>
      </c>
      <c r="K517" s="16"/>
      <c r="L517" s="16"/>
      <c r="M517" s="16"/>
      <c r="N517" s="16"/>
      <c r="O517" s="16"/>
      <c r="P517" s="17"/>
      <c r="Q517" s="17"/>
    </row>
    <row r="518" spans="1:17" ht="22.5" customHeight="1" thickTop="1" thickBot="1" x14ac:dyDescent="0.25">
      <c r="A518" s="16" t="e">
        <f>#REF!</f>
        <v>#REF!</v>
      </c>
      <c r="B518" s="16" t="e">
        <f>#REF!</f>
        <v>#REF!</v>
      </c>
      <c r="C518" s="16" t="e">
        <f>#REF!</f>
        <v>#REF!</v>
      </c>
      <c r="D518" s="16" t="e">
        <f>#REF!</f>
        <v>#REF!</v>
      </c>
      <c r="E518" s="16" t="e">
        <f>#REF!</f>
        <v>#REF!</v>
      </c>
      <c r="F518" s="16" t="e">
        <f>#REF!</f>
        <v>#REF!</v>
      </c>
      <c r="G518" s="16" t="e">
        <f>#REF!</f>
        <v>#REF!</v>
      </c>
      <c r="H518" s="16" t="e">
        <f>#REF!</f>
        <v>#REF!</v>
      </c>
      <c r="I518" s="16" t="e">
        <f>#REF!</f>
        <v>#REF!</v>
      </c>
      <c r="J518" s="16" t="e">
        <f>#REF!</f>
        <v>#REF!</v>
      </c>
      <c r="K518" s="16"/>
      <c r="L518" s="16"/>
      <c r="M518" s="16"/>
      <c r="N518" s="16"/>
      <c r="O518" s="16"/>
      <c r="P518" s="17"/>
      <c r="Q518" s="17"/>
    </row>
    <row r="519" spans="1:17" ht="22.5" customHeight="1" thickTop="1" thickBot="1" x14ac:dyDescent="0.25">
      <c r="A519" s="16" t="e">
        <f>#REF!</f>
        <v>#REF!</v>
      </c>
      <c r="B519" s="16" t="e">
        <f>#REF!</f>
        <v>#REF!</v>
      </c>
      <c r="C519" s="16" t="e">
        <f>#REF!</f>
        <v>#REF!</v>
      </c>
      <c r="D519" s="16" t="e">
        <f>#REF!</f>
        <v>#REF!</v>
      </c>
      <c r="E519" s="16" t="e">
        <f>#REF!</f>
        <v>#REF!</v>
      </c>
      <c r="F519" s="16" t="e">
        <f>#REF!</f>
        <v>#REF!</v>
      </c>
      <c r="G519" s="16" t="e">
        <f>#REF!</f>
        <v>#REF!</v>
      </c>
      <c r="H519" s="16" t="e">
        <f>#REF!</f>
        <v>#REF!</v>
      </c>
      <c r="I519" s="16" t="e">
        <f>#REF!</f>
        <v>#REF!</v>
      </c>
      <c r="J519" s="16" t="e">
        <f>#REF!</f>
        <v>#REF!</v>
      </c>
      <c r="K519" s="16" t="s">
        <v>752</v>
      </c>
      <c r="L519" s="16"/>
      <c r="M519" s="16"/>
      <c r="N519" s="16"/>
      <c r="O519" s="16"/>
      <c r="P519" s="17"/>
      <c r="Q519" s="17"/>
    </row>
    <row r="520" spans="1:17" ht="22.5" customHeight="1" thickTop="1" thickBot="1" x14ac:dyDescent="0.25">
      <c r="A520" s="16" t="e">
        <f>#REF!</f>
        <v>#REF!</v>
      </c>
      <c r="B520" s="16" t="e">
        <f>#REF!</f>
        <v>#REF!</v>
      </c>
      <c r="C520" s="16" t="e">
        <f>#REF!</f>
        <v>#REF!</v>
      </c>
      <c r="D520" s="16" t="e">
        <f>#REF!</f>
        <v>#REF!</v>
      </c>
      <c r="E520" s="16" t="e">
        <f>#REF!</f>
        <v>#REF!</v>
      </c>
      <c r="F520" s="16" t="e">
        <f>#REF!</f>
        <v>#REF!</v>
      </c>
      <c r="G520" s="16" t="e">
        <f>#REF!</f>
        <v>#REF!</v>
      </c>
      <c r="H520" s="16" t="e">
        <f>#REF!</f>
        <v>#REF!</v>
      </c>
      <c r="I520" s="16" t="e">
        <f>#REF!</f>
        <v>#REF!</v>
      </c>
      <c r="J520" s="16" t="e">
        <f>#REF!</f>
        <v>#REF!</v>
      </c>
      <c r="K520" s="16" t="s">
        <v>752</v>
      </c>
      <c r="L520" s="16"/>
      <c r="M520" s="16"/>
      <c r="N520" s="16"/>
      <c r="O520" s="16"/>
      <c r="P520" s="17"/>
      <c r="Q520" s="17"/>
    </row>
    <row r="521" spans="1:17" ht="22.5" customHeight="1" thickTop="1" thickBot="1" x14ac:dyDescent="0.25">
      <c r="A521" s="16" t="e">
        <f>#REF!</f>
        <v>#REF!</v>
      </c>
      <c r="B521" s="16" t="e">
        <f>#REF!</f>
        <v>#REF!</v>
      </c>
      <c r="C521" s="16" t="e">
        <f>#REF!</f>
        <v>#REF!</v>
      </c>
      <c r="D521" s="16" t="e">
        <f>#REF!</f>
        <v>#REF!</v>
      </c>
      <c r="E521" s="16" t="e">
        <f>#REF!</f>
        <v>#REF!</v>
      </c>
      <c r="F521" s="16" t="e">
        <f>#REF!</f>
        <v>#REF!</v>
      </c>
      <c r="G521" s="16" t="e">
        <f>#REF!</f>
        <v>#REF!</v>
      </c>
      <c r="H521" s="16" t="e">
        <f>#REF!</f>
        <v>#REF!</v>
      </c>
      <c r="I521" s="16" t="e">
        <f>#REF!</f>
        <v>#REF!</v>
      </c>
      <c r="J521" s="16" t="e">
        <f>#REF!</f>
        <v>#REF!</v>
      </c>
      <c r="K521" s="16" t="s">
        <v>752</v>
      </c>
      <c r="L521" s="16"/>
      <c r="M521" s="16"/>
      <c r="N521" s="16"/>
      <c r="O521" s="16"/>
      <c r="P521" s="19"/>
      <c r="Q521" s="19"/>
    </row>
    <row r="522" spans="1:17" ht="22.5" customHeight="1" thickTop="1" thickBot="1" x14ac:dyDescent="0.25">
      <c r="A522" s="16" t="e">
        <f>#REF!</f>
        <v>#REF!</v>
      </c>
      <c r="B522" s="16" t="e">
        <f>#REF!</f>
        <v>#REF!</v>
      </c>
      <c r="C522" s="16" t="e">
        <f>#REF!</f>
        <v>#REF!</v>
      </c>
      <c r="D522" s="16" t="e">
        <f>#REF!</f>
        <v>#REF!</v>
      </c>
      <c r="E522" s="16" t="e">
        <f>#REF!</f>
        <v>#REF!</v>
      </c>
      <c r="F522" s="16" t="e">
        <f>#REF!</f>
        <v>#REF!</v>
      </c>
      <c r="G522" s="16" t="e">
        <f>#REF!</f>
        <v>#REF!</v>
      </c>
      <c r="H522" s="16" t="e">
        <f>#REF!</f>
        <v>#REF!</v>
      </c>
      <c r="I522" s="16" t="e">
        <f>#REF!</f>
        <v>#REF!</v>
      </c>
      <c r="J522" s="16" t="e">
        <f>#REF!</f>
        <v>#REF!</v>
      </c>
      <c r="K522" s="16" t="s">
        <v>744</v>
      </c>
      <c r="L522" s="16"/>
      <c r="M522" s="16"/>
      <c r="N522" s="16"/>
      <c r="O522" s="16"/>
      <c r="P522" s="19"/>
      <c r="Q522" s="19"/>
    </row>
    <row r="523" spans="1:17" ht="22.5" customHeight="1" thickTop="1" thickBot="1" x14ac:dyDescent="0.25">
      <c r="A523" s="16" t="e">
        <f>#REF!</f>
        <v>#REF!</v>
      </c>
      <c r="B523" s="16" t="e">
        <f>#REF!</f>
        <v>#REF!</v>
      </c>
      <c r="C523" s="16" t="e">
        <f>#REF!</f>
        <v>#REF!</v>
      </c>
      <c r="D523" s="16" t="e">
        <f>#REF!</f>
        <v>#REF!</v>
      </c>
      <c r="E523" s="16" t="e">
        <f>#REF!</f>
        <v>#REF!</v>
      </c>
      <c r="F523" s="16" t="e">
        <f>#REF!</f>
        <v>#REF!</v>
      </c>
      <c r="G523" s="16" t="e">
        <f>#REF!</f>
        <v>#REF!</v>
      </c>
      <c r="H523" s="16" t="e">
        <f>#REF!</f>
        <v>#REF!</v>
      </c>
      <c r="I523" s="16" t="e">
        <f>#REF!</f>
        <v>#REF!</v>
      </c>
      <c r="J523" s="16" t="e">
        <f>#REF!</f>
        <v>#REF!</v>
      </c>
      <c r="K523" s="16" t="s">
        <v>744</v>
      </c>
      <c r="L523" s="16"/>
      <c r="M523" s="16"/>
      <c r="N523" s="16"/>
      <c r="O523" s="16"/>
      <c r="P523" s="17"/>
      <c r="Q523" s="17"/>
    </row>
    <row r="524" spans="1:17" ht="22.5" customHeight="1" thickTop="1" thickBot="1" x14ac:dyDescent="0.25">
      <c r="A524" s="16" t="e">
        <f>#REF!</f>
        <v>#REF!</v>
      </c>
      <c r="B524" s="16" t="e">
        <f>#REF!</f>
        <v>#REF!</v>
      </c>
      <c r="C524" s="16" t="e">
        <f>#REF!</f>
        <v>#REF!</v>
      </c>
      <c r="D524" s="16" t="e">
        <f>#REF!</f>
        <v>#REF!</v>
      </c>
      <c r="E524" s="16" t="e">
        <f>#REF!</f>
        <v>#REF!</v>
      </c>
      <c r="F524" s="16" t="e">
        <f>#REF!</f>
        <v>#REF!</v>
      </c>
      <c r="G524" s="16" t="e">
        <f>#REF!</f>
        <v>#REF!</v>
      </c>
      <c r="H524" s="16" t="e">
        <f>#REF!</f>
        <v>#REF!</v>
      </c>
      <c r="I524" s="16" t="e">
        <f>#REF!</f>
        <v>#REF!</v>
      </c>
      <c r="J524" s="16" t="e">
        <f>#REF!</f>
        <v>#REF!</v>
      </c>
      <c r="K524" s="16" t="s">
        <v>752</v>
      </c>
      <c r="L524" s="16"/>
      <c r="M524" s="16"/>
      <c r="N524" s="16"/>
      <c r="O524" s="16"/>
      <c r="P524" s="17"/>
      <c r="Q524" s="17"/>
    </row>
    <row r="525" spans="1:17" ht="22.5" customHeight="1" thickTop="1" thickBot="1" x14ac:dyDescent="0.25">
      <c r="A525" s="16" t="e">
        <f>#REF!</f>
        <v>#REF!</v>
      </c>
      <c r="B525" s="16" t="e">
        <f>#REF!</f>
        <v>#REF!</v>
      </c>
      <c r="C525" s="16" t="e">
        <f>#REF!</f>
        <v>#REF!</v>
      </c>
      <c r="D525" s="16" t="e">
        <f>#REF!</f>
        <v>#REF!</v>
      </c>
      <c r="E525" s="16" t="e">
        <f>#REF!</f>
        <v>#REF!</v>
      </c>
      <c r="F525" s="16" t="e">
        <f>#REF!</f>
        <v>#REF!</v>
      </c>
      <c r="G525" s="16" t="e">
        <f>#REF!</f>
        <v>#REF!</v>
      </c>
      <c r="H525" s="16" t="e">
        <f>#REF!</f>
        <v>#REF!</v>
      </c>
      <c r="I525" s="16" t="e">
        <f>#REF!</f>
        <v>#REF!</v>
      </c>
      <c r="J525" s="16" t="e">
        <f>#REF!</f>
        <v>#REF!</v>
      </c>
      <c r="K525" s="16" t="s">
        <v>752</v>
      </c>
      <c r="L525" s="16"/>
      <c r="M525" s="16"/>
      <c r="N525" s="16"/>
      <c r="O525" s="16"/>
      <c r="P525" s="17"/>
      <c r="Q525" s="17"/>
    </row>
    <row r="526" spans="1:17" ht="22.5" customHeight="1" thickTop="1" thickBot="1" x14ac:dyDescent="0.25">
      <c r="A526" s="16" t="e">
        <f>#REF!</f>
        <v>#REF!</v>
      </c>
      <c r="B526" s="16" t="e">
        <f>#REF!</f>
        <v>#REF!</v>
      </c>
      <c r="C526" s="16" t="e">
        <f>#REF!</f>
        <v>#REF!</v>
      </c>
      <c r="D526" s="16" t="e">
        <f>#REF!</f>
        <v>#REF!</v>
      </c>
      <c r="E526" s="16" t="e">
        <f>#REF!</f>
        <v>#REF!</v>
      </c>
      <c r="F526" s="16" t="e">
        <f>#REF!</f>
        <v>#REF!</v>
      </c>
      <c r="G526" s="16" t="e">
        <f>#REF!</f>
        <v>#REF!</v>
      </c>
      <c r="H526" s="16" t="e">
        <f>#REF!</f>
        <v>#REF!</v>
      </c>
      <c r="I526" s="16" t="e">
        <f>#REF!</f>
        <v>#REF!</v>
      </c>
      <c r="J526" s="16" t="e">
        <f>#REF!</f>
        <v>#REF!</v>
      </c>
      <c r="K526" s="16" t="s">
        <v>744</v>
      </c>
      <c r="L526" s="16"/>
      <c r="M526" s="16"/>
      <c r="N526" s="16"/>
      <c r="O526" s="16"/>
      <c r="P526" s="17"/>
      <c r="Q526" s="17"/>
    </row>
    <row r="527" spans="1:17" ht="22.5" customHeight="1" thickTop="1" thickBot="1" x14ac:dyDescent="0.25">
      <c r="A527" s="16" t="e">
        <f>#REF!</f>
        <v>#REF!</v>
      </c>
      <c r="B527" s="16" t="e">
        <f>#REF!</f>
        <v>#REF!</v>
      </c>
      <c r="C527" s="16" t="e">
        <f>#REF!</f>
        <v>#REF!</v>
      </c>
      <c r="D527" s="16" t="e">
        <f>#REF!</f>
        <v>#REF!</v>
      </c>
      <c r="E527" s="16" t="e">
        <f>#REF!</f>
        <v>#REF!</v>
      </c>
      <c r="F527" s="16" t="e">
        <f>#REF!</f>
        <v>#REF!</v>
      </c>
      <c r="G527" s="16" t="e">
        <f>#REF!</f>
        <v>#REF!</v>
      </c>
      <c r="H527" s="16" t="e">
        <f>#REF!</f>
        <v>#REF!</v>
      </c>
      <c r="I527" s="16" t="e">
        <f>#REF!</f>
        <v>#REF!</v>
      </c>
      <c r="J527" s="16" t="e">
        <f>#REF!</f>
        <v>#REF!</v>
      </c>
      <c r="K527" s="16" t="s">
        <v>744</v>
      </c>
      <c r="L527" s="16"/>
      <c r="M527" s="16"/>
      <c r="N527" s="16"/>
      <c r="O527" s="16"/>
      <c r="P527" s="20"/>
      <c r="Q527" s="20"/>
    </row>
    <row r="528" spans="1:17" ht="22.5" customHeight="1" thickTop="1" thickBot="1" x14ac:dyDescent="0.25">
      <c r="A528" s="16" t="e">
        <f>#REF!</f>
        <v>#REF!</v>
      </c>
      <c r="B528" s="16" t="e">
        <f>#REF!</f>
        <v>#REF!</v>
      </c>
      <c r="C528" s="16" t="e">
        <f>#REF!</f>
        <v>#REF!</v>
      </c>
      <c r="D528" s="16" t="e">
        <f>#REF!</f>
        <v>#REF!</v>
      </c>
      <c r="E528" s="16" t="e">
        <f>#REF!</f>
        <v>#REF!</v>
      </c>
      <c r="F528" s="16" t="e">
        <f>#REF!</f>
        <v>#REF!</v>
      </c>
      <c r="G528" s="16" t="e">
        <f>#REF!</f>
        <v>#REF!</v>
      </c>
      <c r="H528" s="16" t="e">
        <f>#REF!</f>
        <v>#REF!</v>
      </c>
      <c r="I528" s="16" t="e">
        <f>#REF!</f>
        <v>#REF!</v>
      </c>
      <c r="J528" s="16" t="e">
        <f>#REF!</f>
        <v>#REF!</v>
      </c>
      <c r="K528" s="16" t="s">
        <v>752</v>
      </c>
      <c r="L528" s="16"/>
      <c r="M528" s="16"/>
      <c r="N528" s="16"/>
      <c r="O528" s="16"/>
      <c r="P528" s="17"/>
      <c r="Q528" s="17"/>
    </row>
    <row r="529" spans="1:17" ht="22.5" customHeight="1" thickTop="1" thickBot="1" x14ac:dyDescent="0.25">
      <c r="A529" s="16" t="e">
        <f>#REF!</f>
        <v>#REF!</v>
      </c>
      <c r="B529" s="16" t="e">
        <f>#REF!</f>
        <v>#REF!</v>
      </c>
      <c r="C529" s="16" t="e">
        <f>#REF!</f>
        <v>#REF!</v>
      </c>
      <c r="D529" s="16" t="e">
        <f>#REF!</f>
        <v>#REF!</v>
      </c>
      <c r="E529" s="16" t="e">
        <f>#REF!</f>
        <v>#REF!</v>
      </c>
      <c r="F529" s="16" t="e">
        <f>#REF!</f>
        <v>#REF!</v>
      </c>
      <c r="G529" s="16" t="e">
        <f>#REF!</f>
        <v>#REF!</v>
      </c>
      <c r="H529" s="16" t="e">
        <f>#REF!</f>
        <v>#REF!</v>
      </c>
      <c r="I529" s="16" t="e">
        <f>#REF!</f>
        <v>#REF!</v>
      </c>
      <c r="J529" s="16" t="e">
        <f>#REF!</f>
        <v>#REF!</v>
      </c>
      <c r="K529" s="16" t="s">
        <v>744</v>
      </c>
      <c r="L529" s="16"/>
      <c r="M529" s="16"/>
      <c r="N529" s="16"/>
      <c r="O529" s="16"/>
      <c r="P529" s="18"/>
      <c r="Q529" s="18"/>
    </row>
    <row r="530" spans="1:17" ht="22.5" customHeight="1" thickTop="1" thickBot="1" x14ac:dyDescent="0.25">
      <c r="A530" s="16" t="e">
        <f>#REF!</f>
        <v>#REF!</v>
      </c>
      <c r="B530" s="16" t="e">
        <f>#REF!</f>
        <v>#REF!</v>
      </c>
      <c r="C530" s="16" t="e">
        <f>#REF!</f>
        <v>#REF!</v>
      </c>
      <c r="D530" s="16" t="e">
        <f>#REF!</f>
        <v>#REF!</v>
      </c>
      <c r="E530" s="16" t="e">
        <f>#REF!</f>
        <v>#REF!</v>
      </c>
      <c r="F530" s="16" t="e">
        <f>#REF!</f>
        <v>#REF!</v>
      </c>
      <c r="G530" s="16" t="e">
        <f>#REF!</f>
        <v>#REF!</v>
      </c>
      <c r="H530" s="16" t="e">
        <f>#REF!</f>
        <v>#REF!</v>
      </c>
      <c r="I530" s="16" t="e">
        <f>#REF!</f>
        <v>#REF!</v>
      </c>
      <c r="J530" s="16" t="e">
        <f>#REF!</f>
        <v>#REF!</v>
      </c>
      <c r="K530" s="16" t="s">
        <v>752</v>
      </c>
      <c r="L530" s="16"/>
      <c r="M530" s="16"/>
      <c r="N530" s="16"/>
      <c r="O530" s="16"/>
      <c r="P530" s="17"/>
      <c r="Q530" s="17"/>
    </row>
    <row r="531" spans="1:17" ht="22.5" customHeight="1" thickTop="1" thickBot="1" x14ac:dyDescent="0.25">
      <c r="A531" s="16" t="e">
        <f>#REF!</f>
        <v>#REF!</v>
      </c>
      <c r="B531" s="16" t="e">
        <f>#REF!</f>
        <v>#REF!</v>
      </c>
      <c r="C531" s="16" t="e">
        <f>#REF!</f>
        <v>#REF!</v>
      </c>
      <c r="D531" s="16" t="e">
        <f>#REF!</f>
        <v>#REF!</v>
      </c>
      <c r="E531" s="16" t="e">
        <f>#REF!</f>
        <v>#REF!</v>
      </c>
      <c r="F531" s="16" t="e">
        <f>#REF!</f>
        <v>#REF!</v>
      </c>
      <c r="G531" s="16" t="e">
        <f>#REF!</f>
        <v>#REF!</v>
      </c>
      <c r="H531" s="16" t="e">
        <f>#REF!</f>
        <v>#REF!</v>
      </c>
      <c r="I531" s="16" t="e">
        <f>#REF!</f>
        <v>#REF!</v>
      </c>
      <c r="J531" s="16" t="e">
        <f>#REF!</f>
        <v>#REF!</v>
      </c>
      <c r="K531" s="16" t="s">
        <v>752</v>
      </c>
      <c r="L531" s="16"/>
      <c r="M531" s="16"/>
      <c r="N531" s="16"/>
      <c r="O531" s="16"/>
      <c r="P531" s="17"/>
      <c r="Q531" s="17"/>
    </row>
    <row r="532" spans="1:17" ht="22.5" customHeight="1" thickTop="1" thickBot="1" x14ac:dyDescent="0.25">
      <c r="A532" s="16" t="e">
        <f>#REF!</f>
        <v>#REF!</v>
      </c>
      <c r="B532" s="16" t="e">
        <f>#REF!</f>
        <v>#REF!</v>
      </c>
      <c r="C532" s="16" t="e">
        <f>#REF!</f>
        <v>#REF!</v>
      </c>
      <c r="D532" s="16" t="e">
        <f>#REF!</f>
        <v>#REF!</v>
      </c>
      <c r="E532" s="16" t="e">
        <f>#REF!</f>
        <v>#REF!</v>
      </c>
      <c r="F532" s="16" t="e">
        <f>#REF!</f>
        <v>#REF!</v>
      </c>
      <c r="G532" s="16" t="e">
        <f>#REF!</f>
        <v>#REF!</v>
      </c>
      <c r="H532" s="16" t="e">
        <f>#REF!</f>
        <v>#REF!</v>
      </c>
      <c r="I532" s="16" t="e">
        <f>#REF!</f>
        <v>#REF!</v>
      </c>
      <c r="J532" s="16" t="e">
        <f>#REF!</f>
        <v>#REF!</v>
      </c>
      <c r="K532" s="16"/>
      <c r="L532" s="16"/>
      <c r="M532" s="16"/>
      <c r="N532" s="16"/>
      <c r="O532" s="16"/>
      <c r="P532" s="17"/>
      <c r="Q532" s="17"/>
    </row>
    <row r="533" spans="1:17" ht="22.5" customHeight="1" thickTop="1" thickBot="1" x14ac:dyDescent="0.25">
      <c r="A533" s="16" t="e">
        <f>#REF!</f>
        <v>#REF!</v>
      </c>
      <c r="B533" s="16" t="e">
        <f>#REF!</f>
        <v>#REF!</v>
      </c>
      <c r="C533" s="16" t="e">
        <f>#REF!</f>
        <v>#REF!</v>
      </c>
      <c r="D533" s="16" t="e">
        <f>#REF!</f>
        <v>#REF!</v>
      </c>
      <c r="E533" s="16" t="e">
        <f>#REF!</f>
        <v>#REF!</v>
      </c>
      <c r="F533" s="16" t="e">
        <f>#REF!</f>
        <v>#REF!</v>
      </c>
      <c r="G533" s="16" t="e">
        <f>#REF!</f>
        <v>#REF!</v>
      </c>
      <c r="H533" s="16" t="e">
        <f>#REF!</f>
        <v>#REF!</v>
      </c>
      <c r="I533" s="16" t="e">
        <f>#REF!</f>
        <v>#REF!</v>
      </c>
      <c r="J533" s="16" t="e">
        <f>#REF!</f>
        <v>#REF!</v>
      </c>
      <c r="K533" s="16" t="s">
        <v>744</v>
      </c>
      <c r="L533" s="16"/>
      <c r="M533" s="16"/>
      <c r="N533" s="16"/>
      <c r="O533" s="16"/>
      <c r="P533" s="17"/>
      <c r="Q533" s="17"/>
    </row>
    <row r="534" spans="1:17" ht="22.5" customHeight="1" thickTop="1" thickBot="1" x14ac:dyDescent="0.25">
      <c r="A534" s="16" t="e">
        <f>#REF!</f>
        <v>#REF!</v>
      </c>
      <c r="B534" s="16" t="e">
        <f>#REF!</f>
        <v>#REF!</v>
      </c>
      <c r="C534" s="16" t="e">
        <f>#REF!</f>
        <v>#REF!</v>
      </c>
      <c r="D534" s="16" t="e">
        <f>#REF!</f>
        <v>#REF!</v>
      </c>
      <c r="E534" s="16" t="e">
        <f>#REF!</f>
        <v>#REF!</v>
      </c>
      <c r="F534" s="16" t="e">
        <f>#REF!</f>
        <v>#REF!</v>
      </c>
      <c r="G534" s="16" t="e">
        <f>#REF!</f>
        <v>#REF!</v>
      </c>
      <c r="H534" s="16" t="e">
        <f>#REF!</f>
        <v>#REF!</v>
      </c>
      <c r="I534" s="16" t="e">
        <f>#REF!</f>
        <v>#REF!</v>
      </c>
      <c r="J534" s="16" t="e">
        <f>#REF!</f>
        <v>#REF!</v>
      </c>
      <c r="K534" s="16" t="s">
        <v>744</v>
      </c>
      <c r="L534" s="16"/>
      <c r="M534" s="16"/>
      <c r="N534" s="16"/>
      <c r="O534" s="16"/>
      <c r="P534" s="17"/>
      <c r="Q534" s="17"/>
    </row>
    <row r="535" spans="1:17" ht="22.5" customHeight="1" thickTop="1" thickBot="1" x14ac:dyDescent="0.25">
      <c r="A535" s="16" t="e">
        <f>#REF!</f>
        <v>#REF!</v>
      </c>
      <c r="B535" s="16" t="e">
        <f>#REF!</f>
        <v>#REF!</v>
      </c>
      <c r="C535" s="16" t="e">
        <f>#REF!</f>
        <v>#REF!</v>
      </c>
      <c r="D535" s="16" t="e">
        <f>#REF!</f>
        <v>#REF!</v>
      </c>
      <c r="E535" s="16" t="e">
        <f>#REF!</f>
        <v>#REF!</v>
      </c>
      <c r="F535" s="16" t="e">
        <f>#REF!</f>
        <v>#REF!</v>
      </c>
      <c r="G535" s="16" t="e">
        <f>#REF!</f>
        <v>#REF!</v>
      </c>
      <c r="H535" s="16" t="e">
        <f>#REF!</f>
        <v>#REF!</v>
      </c>
      <c r="I535" s="16" t="e">
        <f>#REF!</f>
        <v>#REF!</v>
      </c>
      <c r="J535" s="16" t="e">
        <f>#REF!</f>
        <v>#REF!</v>
      </c>
      <c r="K535" s="16" t="s">
        <v>744</v>
      </c>
      <c r="L535" s="16"/>
      <c r="M535" s="16"/>
      <c r="N535" s="16"/>
      <c r="O535" s="16"/>
      <c r="P535" s="17"/>
      <c r="Q535" s="17"/>
    </row>
    <row r="536" spans="1:17" ht="22.5" customHeight="1" thickTop="1" thickBot="1" x14ac:dyDescent="0.25">
      <c r="A536" s="16" t="e">
        <f>#REF!</f>
        <v>#REF!</v>
      </c>
      <c r="B536" s="16" t="e">
        <f>#REF!</f>
        <v>#REF!</v>
      </c>
      <c r="C536" s="16" t="e">
        <f>#REF!</f>
        <v>#REF!</v>
      </c>
      <c r="D536" s="16" t="e">
        <f>#REF!</f>
        <v>#REF!</v>
      </c>
      <c r="E536" s="16" t="e">
        <f>#REF!</f>
        <v>#REF!</v>
      </c>
      <c r="F536" s="16" t="e">
        <f>#REF!</f>
        <v>#REF!</v>
      </c>
      <c r="G536" s="16" t="e">
        <f>#REF!</f>
        <v>#REF!</v>
      </c>
      <c r="H536" s="16" t="e">
        <f>#REF!</f>
        <v>#REF!</v>
      </c>
      <c r="I536" s="16" t="e">
        <f>#REF!</f>
        <v>#REF!</v>
      </c>
      <c r="J536" s="16" t="e">
        <f>#REF!</f>
        <v>#REF!</v>
      </c>
      <c r="K536" s="16" t="s">
        <v>744</v>
      </c>
      <c r="L536" s="16"/>
      <c r="M536" s="16"/>
      <c r="N536" s="16"/>
      <c r="O536" s="16"/>
      <c r="P536" s="17"/>
      <c r="Q536" s="17"/>
    </row>
    <row r="537" spans="1:17" ht="22.5" customHeight="1" thickTop="1" thickBot="1" x14ac:dyDescent="0.25">
      <c r="A537" s="16" t="e">
        <f>#REF!</f>
        <v>#REF!</v>
      </c>
      <c r="B537" s="16" t="e">
        <f>#REF!</f>
        <v>#REF!</v>
      </c>
      <c r="C537" s="16" t="e">
        <f>#REF!</f>
        <v>#REF!</v>
      </c>
      <c r="D537" s="16" t="e">
        <f>#REF!</f>
        <v>#REF!</v>
      </c>
      <c r="E537" s="16" t="e">
        <f>#REF!</f>
        <v>#REF!</v>
      </c>
      <c r="F537" s="16" t="e">
        <f>#REF!</f>
        <v>#REF!</v>
      </c>
      <c r="G537" s="16" t="e">
        <f>#REF!</f>
        <v>#REF!</v>
      </c>
      <c r="H537" s="16" t="e">
        <f>#REF!</f>
        <v>#REF!</v>
      </c>
      <c r="I537" s="16" t="e">
        <f>#REF!</f>
        <v>#REF!</v>
      </c>
      <c r="J537" s="16" t="e">
        <f>#REF!</f>
        <v>#REF!</v>
      </c>
      <c r="K537" s="16"/>
      <c r="L537" s="16"/>
      <c r="M537" s="16"/>
      <c r="N537" s="16"/>
      <c r="O537" s="16"/>
      <c r="P537" s="17"/>
      <c r="Q537" s="17"/>
    </row>
    <row r="538" spans="1:17" ht="22.5" customHeight="1" thickTop="1" thickBot="1" x14ac:dyDescent="0.25">
      <c r="A538" s="16" t="e">
        <f>#REF!</f>
        <v>#REF!</v>
      </c>
      <c r="B538" s="16" t="e">
        <f>#REF!</f>
        <v>#REF!</v>
      </c>
      <c r="C538" s="16" t="e">
        <f>#REF!</f>
        <v>#REF!</v>
      </c>
      <c r="D538" s="16" t="e">
        <f>#REF!</f>
        <v>#REF!</v>
      </c>
      <c r="E538" s="16" t="e">
        <f>#REF!</f>
        <v>#REF!</v>
      </c>
      <c r="F538" s="16" t="e">
        <f>#REF!</f>
        <v>#REF!</v>
      </c>
      <c r="G538" s="16" t="e">
        <f>#REF!</f>
        <v>#REF!</v>
      </c>
      <c r="H538" s="16" t="e">
        <f>#REF!</f>
        <v>#REF!</v>
      </c>
      <c r="I538" s="16" t="e">
        <f>#REF!</f>
        <v>#REF!</v>
      </c>
      <c r="J538" s="16" t="e">
        <f>#REF!</f>
        <v>#REF!</v>
      </c>
      <c r="K538" s="16" t="s">
        <v>744</v>
      </c>
      <c r="L538" s="16"/>
      <c r="M538" s="16"/>
      <c r="N538" s="16"/>
      <c r="O538" s="16"/>
      <c r="P538" s="20"/>
      <c r="Q538" s="20"/>
    </row>
    <row r="539" spans="1:17" ht="22.5" customHeight="1" thickTop="1" thickBot="1" x14ac:dyDescent="0.25">
      <c r="A539" s="16" t="e">
        <f>#REF!</f>
        <v>#REF!</v>
      </c>
      <c r="B539" s="16" t="e">
        <f>#REF!</f>
        <v>#REF!</v>
      </c>
      <c r="C539" s="16" t="e">
        <f>#REF!</f>
        <v>#REF!</v>
      </c>
      <c r="D539" s="16" t="e">
        <f>#REF!</f>
        <v>#REF!</v>
      </c>
      <c r="E539" s="16" t="e">
        <f>#REF!</f>
        <v>#REF!</v>
      </c>
      <c r="F539" s="16" t="e">
        <f>#REF!</f>
        <v>#REF!</v>
      </c>
      <c r="G539" s="16" t="e">
        <f>#REF!</f>
        <v>#REF!</v>
      </c>
      <c r="H539" s="16" t="e">
        <f>#REF!</f>
        <v>#REF!</v>
      </c>
      <c r="I539" s="16" t="e">
        <f>#REF!</f>
        <v>#REF!</v>
      </c>
      <c r="J539" s="16" t="e">
        <f>#REF!</f>
        <v>#REF!</v>
      </c>
      <c r="K539" s="16" t="s">
        <v>744</v>
      </c>
      <c r="L539" s="16"/>
      <c r="M539" s="16"/>
      <c r="N539" s="16"/>
      <c r="O539" s="16"/>
      <c r="P539" s="20"/>
      <c r="Q539" s="20"/>
    </row>
    <row r="540" spans="1:17" ht="22.5" customHeight="1" thickTop="1" thickBot="1" x14ac:dyDescent="0.25">
      <c r="A540" s="16" t="e">
        <f>#REF!</f>
        <v>#REF!</v>
      </c>
      <c r="B540" s="16" t="e">
        <f>#REF!</f>
        <v>#REF!</v>
      </c>
      <c r="C540" s="16" t="e">
        <f>#REF!</f>
        <v>#REF!</v>
      </c>
      <c r="D540" s="16" t="e">
        <f>#REF!</f>
        <v>#REF!</v>
      </c>
      <c r="E540" s="16" t="e">
        <f>#REF!</f>
        <v>#REF!</v>
      </c>
      <c r="F540" s="16" t="e">
        <f>#REF!</f>
        <v>#REF!</v>
      </c>
      <c r="G540" s="16" t="e">
        <f>#REF!</f>
        <v>#REF!</v>
      </c>
      <c r="H540" s="16" t="e">
        <f>#REF!</f>
        <v>#REF!</v>
      </c>
      <c r="I540" s="16" t="e">
        <f>#REF!</f>
        <v>#REF!</v>
      </c>
      <c r="J540" s="16" t="e">
        <f>#REF!</f>
        <v>#REF!</v>
      </c>
      <c r="K540" s="16" t="s">
        <v>744</v>
      </c>
      <c r="L540" s="16"/>
      <c r="M540" s="16"/>
      <c r="N540" s="16"/>
      <c r="O540" s="16"/>
      <c r="P540" s="17"/>
      <c r="Q540" s="17"/>
    </row>
    <row r="541" spans="1:17" ht="22.5" customHeight="1" thickTop="1" thickBot="1" x14ac:dyDescent="0.25">
      <c r="A541" s="16" t="e">
        <f>#REF!</f>
        <v>#REF!</v>
      </c>
      <c r="B541" s="16" t="e">
        <f>#REF!</f>
        <v>#REF!</v>
      </c>
      <c r="C541" s="16" t="e">
        <f>#REF!</f>
        <v>#REF!</v>
      </c>
      <c r="D541" s="16" t="e">
        <f>#REF!</f>
        <v>#REF!</v>
      </c>
      <c r="E541" s="16" t="e">
        <f>#REF!</f>
        <v>#REF!</v>
      </c>
      <c r="F541" s="16" t="e">
        <f>#REF!</f>
        <v>#REF!</v>
      </c>
      <c r="G541" s="16" t="e">
        <f>#REF!</f>
        <v>#REF!</v>
      </c>
      <c r="H541" s="16" t="e">
        <f>#REF!</f>
        <v>#REF!</v>
      </c>
      <c r="I541" s="16" t="e">
        <f>#REF!</f>
        <v>#REF!</v>
      </c>
      <c r="J541" s="16" t="e">
        <f>#REF!</f>
        <v>#REF!</v>
      </c>
      <c r="K541" s="16" t="s">
        <v>744</v>
      </c>
      <c r="L541" s="16"/>
      <c r="M541" s="16"/>
      <c r="N541" s="16"/>
      <c r="O541" s="16"/>
      <c r="P541" s="17"/>
      <c r="Q541" s="17"/>
    </row>
    <row r="542" spans="1:17" ht="22.5" customHeight="1" thickTop="1" thickBot="1" x14ac:dyDescent="0.25">
      <c r="A542" s="16" t="e">
        <f>#REF!</f>
        <v>#REF!</v>
      </c>
      <c r="B542" s="16" t="e">
        <f>#REF!</f>
        <v>#REF!</v>
      </c>
      <c r="C542" s="16" t="e">
        <f>#REF!</f>
        <v>#REF!</v>
      </c>
      <c r="D542" s="16" t="e">
        <f>#REF!</f>
        <v>#REF!</v>
      </c>
      <c r="E542" s="16" t="e">
        <f>#REF!</f>
        <v>#REF!</v>
      </c>
      <c r="F542" s="16" t="e">
        <f>#REF!</f>
        <v>#REF!</v>
      </c>
      <c r="G542" s="16" t="e">
        <f>#REF!</f>
        <v>#REF!</v>
      </c>
      <c r="H542" s="16" t="e">
        <f>#REF!</f>
        <v>#REF!</v>
      </c>
      <c r="I542" s="16" t="e">
        <f>#REF!</f>
        <v>#REF!</v>
      </c>
      <c r="J542" s="16" t="e">
        <f>#REF!</f>
        <v>#REF!</v>
      </c>
      <c r="K542" s="16" t="s">
        <v>744</v>
      </c>
      <c r="L542" s="16"/>
      <c r="M542" s="16"/>
      <c r="N542" s="16"/>
      <c r="O542" s="16"/>
      <c r="P542" s="17"/>
      <c r="Q542" s="17"/>
    </row>
    <row r="543" spans="1:17" ht="22.5" customHeight="1" thickTop="1" thickBot="1" x14ac:dyDescent="0.25">
      <c r="A543" s="16" t="e">
        <f>#REF!</f>
        <v>#REF!</v>
      </c>
      <c r="B543" s="16" t="e">
        <f>#REF!</f>
        <v>#REF!</v>
      </c>
      <c r="C543" s="16" t="e">
        <f>#REF!</f>
        <v>#REF!</v>
      </c>
      <c r="D543" s="16" t="e">
        <f>#REF!</f>
        <v>#REF!</v>
      </c>
      <c r="E543" s="16" t="e">
        <f>#REF!</f>
        <v>#REF!</v>
      </c>
      <c r="F543" s="16" t="e">
        <f>#REF!</f>
        <v>#REF!</v>
      </c>
      <c r="G543" s="16" t="e">
        <f>#REF!</f>
        <v>#REF!</v>
      </c>
      <c r="H543" s="16" t="e">
        <f>#REF!</f>
        <v>#REF!</v>
      </c>
      <c r="I543" s="16" t="e">
        <f>#REF!</f>
        <v>#REF!</v>
      </c>
      <c r="J543" s="16" t="e">
        <f>#REF!</f>
        <v>#REF!</v>
      </c>
      <c r="K543" s="16" t="s">
        <v>744</v>
      </c>
      <c r="L543" s="16"/>
      <c r="M543" s="16"/>
      <c r="N543" s="16"/>
      <c r="O543" s="16"/>
      <c r="P543" s="17"/>
      <c r="Q543" s="17"/>
    </row>
    <row r="544" spans="1:17" ht="22.5" customHeight="1" thickTop="1" thickBot="1" x14ac:dyDescent="0.25">
      <c r="A544" s="16" t="e">
        <f>#REF!</f>
        <v>#REF!</v>
      </c>
      <c r="B544" s="16" t="e">
        <f>#REF!</f>
        <v>#REF!</v>
      </c>
      <c r="C544" s="16" t="e">
        <f>#REF!</f>
        <v>#REF!</v>
      </c>
      <c r="D544" s="16" t="e">
        <f>#REF!</f>
        <v>#REF!</v>
      </c>
      <c r="E544" s="16" t="e">
        <f>#REF!</f>
        <v>#REF!</v>
      </c>
      <c r="F544" s="16" t="e">
        <f>#REF!</f>
        <v>#REF!</v>
      </c>
      <c r="G544" s="16" t="e">
        <f>#REF!</f>
        <v>#REF!</v>
      </c>
      <c r="H544" s="16" t="e">
        <f>#REF!</f>
        <v>#REF!</v>
      </c>
      <c r="I544" s="16" t="e">
        <f>#REF!</f>
        <v>#REF!</v>
      </c>
      <c r="J544" s="16" t="e">
        <f>#REF!</f>
        <v>#REF!</v>
      </c>
      <c r="K544" s="16" t="s">
        <v>744</v>
      </c>
      <c r="L544" s="16"/>
      <c r="M544" s="16"/>
      <c r="N544" s="16"/>
      <c r="O544" s="16"/>
      <c r="P544" s="17"/>
      <c r="Q544" s="17"/>
    </row>
    <row r="545" spans="1:17" ht="22.5" customHeight="1" thickTop="1" thickBot="1" x14ac:dyDescent="0.25">
      <c r="A545" s="16" t="e">
        <f>#REF!</f>
        <v>#REF!</v>
      </c>
      <c r="B545" s="16" t="e">
        <f>#REF!</f>
        <v>#REF!</v>
      </c>
      <c r="C545" s="16" t="e">
        <f>#REF!</f>
        <v>#REF!</v>
      </c>
      <c r="D545" s="16" t="e">
        <f>#REF!</f>
        <v>#REF!</v>
      </c>
      <c r="E545" s="16" t="e">
        <f>#REF!</f>
        <v>#REF!</v>
      </c>
      <c r="F545" s="16" t="e">
        <f>#REF!</f>
        <v>#REF!</v>
      </c>
      <c r="G545" s="16" t="e">
        <f>#REF!</f>
        <v>#REF!</v>
      </c>
      <c r="H545" s="16" t="e">
        <f>#REF!</f>
        <v>#REF!</v>
      </c>
      <c r="I545" s="16" t="e">
        <f>#REF!</f>
        <v>#REF!</v>
      </c>
      <c r="J545" s="16" t="e">
        <f>#REF!</f>
        <v>#REF!</v>
      </c>
      <c r="K545" s="16" t="s">
        <v>752</v>
      </c>
      <c r="L545" s="16"/>
      <c r="M545" s="16"/>
      <c r="N545" s="16"/>
      <c r="O545" s="16"/>
      <c r="P545" s="29"/>
      <c r="Q545" s="29"/>
    </row>
    <row r="546" spans="1:17" ht="22.5" customHeight="1" thickTop="1" thickBot="1" x14ac:dyDescent="0.25">
      <c r="A546" s="16" t="e">
        <f>#REF!</f>
        <v>#REF!</v>
      </c>
      <c r="B546" s="16" t="e">
        <f>#REF!</f>
        <v>#REF!</v>
      </c>
      <c r="C546" s="16" t="e">
        <f>#REF!</f>
        <v>#REF!</v>
      </c>
      <c r="D546" s="16" t="e">
        <f>#REF!</f>
        <v>#REF!</v>
      </c>
      <c r="E546" s="16" t="e">
        <f>#REF!</f>
        <v>#REF!</v>
      </c>
      <c r="F546" s="16" t="e">
        <f>#REF!</f>
        <v>#REF!</v>
      </c>
      <c r="G546" s="16" t="e">
        <f>#REF!</f>
        <v>#REF!</v>
      </c>
      <c r="H546" s="16" t="e">
        <f>#REF!</f>
        <v>#REF!</v>
      </c>
      <c r="I546" s="16" t="e">
        <f>#REF!</f>
        <v>#REF!</v>
      </c>
      <c r="J546" s="16" t="e">
        <f>#REF!</f>
        <v>#REF!</v>
      </c>
      <c r="K546" s="16" t="s">
        <v>744</v>
      </c>
      <c r="L546" s="16"/>
      <c r="M546" s="16"/>
      <c r="N546" s="16"/>
      <c r="O546" s="16"/>
      <c r="P546" s="17"/>
      <c r="Q546" s="17"/>
    </row>
    <row r="547" spans="1:17" ht="22.5" customHeight="1" thickTop="1" thickBot="1" x14ac:dyDescent="0.25">
      <c r="A547" s="16" t="e">
        <f>#REF!</f>
        <v>#REF!</v>
      </c>
      <c r="B547" s="16" t="e">
        <f>#REF!</f>
        <v>#REF!</v>
      </c>
      <c r="C547" s="16" t="e">
        <f>#REF!</f>
        <v>#REF!</v>
      </c>
      <c r="D547" s="16" t="e">
        <f>#REF!</f>
        <v>#REF!</v>
      </c>
      <c r="E547" s="16" t="e">
        <f>#REF!</f>
        <v>#REF!</v>
      </c>
      <c r="F547" s="16" t="e">
        <f>#REF!</f>
        <v>#REF!</v>
      </c>
      <c r="G547" s="16" t="e">
        <f>#REF!</f>
        <v>#REF!</v>
      </c>
      <c r="H547" s="16" t="e">
        <f>#REF!</f>
        <v>#REF!</v>
      </c>
      <c r="I547" s="16" t="e">
        <f>#REF!</f>
        <v>#REF!</v>
      </c>
      <c r="J547" s="16" t="e">
        <f>#REF!</f>
        <v>#REF!</v>
      </c>
      <c r="K547" s="16" t="s">
        <v>752</v>
      </c>
      <c r="L547" s="16"/>
      <c r="M547" s="16"/>
      <c r="N547" s="16"/>
      <c r="O547" s="16"/>
      <c r="P547" s="19"/>
      <c r="Q547" s="19"/>
    </row>
    <row r="548" spans="1:17" ht="22.5" customHeight="1" thickTop="1" thickBot="1" x14ac:dyDescent="0.25">
      <c r="A548" s="16" t="e">
        <f>#REF!</f>
        <v>#REF!</v>
      </c>
      <c r="B548" s="16" t="e">
        <f>#REF!</f>
        <v>#REF!</v>
      </c>
      <c r="C548" s="16" t="e">
        <f>#REF!</f>
        <v>#REF!</v>
      </c>
      <c r="D548" s="16" t="e">
        <f>#REF!</f>
        <v>#REF!</v>
      </c>
      <c r="E548" s="16" t="e">
        <f>#REF!</f>
        <v>#REF!</v>
      </c>
      <c r="F548" s="16" t="e">
        <f>#REF!</f>
        <v>#REF!</v>
      </c>
      <c r="G548" s="16" t="e">
        <f>#REF!</f>
        <v>#REF!</v>
      </c>
      <c r="H548" s="16" t="e">
        <f>#REF!</f>
        <v>#REF!</v>
      </c>
      <c r="I548" s="16" t="e">
        <f>#REF!</f>
        <v>#REF!</v>
      </c>
      <c r="J548" s="16" t="e">
        <f>#REF!</f>
        <v>#REF!</v>
      </c>
      <c r="K548" s="16" t="s">
        <v>752</v>
      </c>
      <c r="L548" s="16"/>
      <c r="M548" s="16"/>
      <c r="N548" s="16"/>
      <c r="O548" s="16"/>
      <c r="P548" s="19"/>
      <c r="Q548" s="19"/>
    </row>
    <row r="549" spans="1:17" ht="22.5" customHeight="1" thickTop="1" thickBot="1" x14ac:dyDescent="0.25">
      <c r="A549" s="16" t="e">
        <f>#REF!</f>
        <v>#REF!</v>
      </c>
      <c r="B549" s="16" t="e">
        <f>#REF!</f>
        <v>#REF!</v>
      </c>
      <c r="C549" s="16" t="e">
        <f>#REF!</f>
        <v>#REF!</v>
      </c>
      <c r="D549" s="16" t="e">
        <f>#REF!</f>
        <v>#REF!</v>
      </c>
      <c r="E549" s="16" t="e">
        <f>#REF!</f>
        <v>#REF!</v>
      </c>
      <c r="F549" s="16" t="e">
        <f>#REF!</f>
        <v>#REF!</v>
      </c>
      <c r="G549" s="16" t="e">
        <f>#REF!</f>
        <v>#REF!</v>
      </c>
      <c r="H549" s="16" t="e">
        <f>#REF!</f>
        <v>#REF!</v>
      </c>
      <c r="I549" s="16" t="e">
        <f>#REF!</f>
        <v>#REF!</v>
      </c>
      <c r="J549" s="16" t="e">
        <f>#REF!</f>
        <v>#REF!</v>
      </c>
      <c r="K549" s="16" t="s">
        <v>752</v>
      </c>
      <c r="L549" s="16"/>
      <c r="M549" s="16"/>
      <c r="N549" s="16"/>
      <c r="O549" s="16"/>
      <c r="P549" s="17"/>
      <c r="Q549" s="17"/>
    </row>
    <row r="550" spans="1:17" ht="22.5" customHeight="1" thickTop="1" thickBot="1" x14ac:dyDescent="0.25">
      <c r="A550" s="16" t="e">
        <f>#REF!</f>
        <v>#REF!</v>
      </c>
      <c r="B550" s="16" t="e">
        <f>#REF!</f>
        <v>#REF!</v>
      </c>
      <c r="C550" s="16" t="e">
        <f>#REF!</f>
        <v>#REF!</v>
      </c>
      <c r="D550" s="16" t="e">
        <f>#REF!</f>
        <v>#REF!</v>
      </c>
      <c r="E550" s="16" t="e">
        <f>#REF!</f>
        <v>#REF!</v>
      </c>
      <c r="F550" s="16" t="e">
        <f>#REF!</f>
        <v>#REF!</v>
      </c>
      <c r="G550" s="16" t="e">
        <f>#REF!</f>
        <v>#REF!</v>
      </c>
      <c r="H550" s="16" t="e">
        <f>#REF!</f>
        <v>#REF!</v>
      </c>
      <c r="I550" s="16" t="e">
        <f>#REF!</f>
        <v>#REF!</v>
      </c>
      <c r="J550" s="16" t="e">
        <f>#REF!</f>
        <v>#REF!</v>
      </c>
      <c r="K550" s="16" t="s">
        <v>744</v>
      </c>
      <c r="L550" s="16"/>
      <c r="M550" s="16"/>
      <c r="N550" s="16"/>
      <c r="O550" s="16"/>
      <c r="P550" s="17"/>
      <c r="Q550" s="17"/>
    </row>
    <row r="551" spans="1:17" ht="22.5" customHeight="1" thickTop="1" thickBot="1" x14ac:dyDescent="0.25">
      <c r="A551" s="16" t="e">
        <f>#REF!</f>
        <v>#REF!</v>
      </c>
      <c r="B551" s="16" t="e">
        <f>#REF!</f>
        <v>#REF!</v>
      </c>
      <c r="C551" s="16" t="e">
        <f>#REF!</f>
        <v>#REF!</v>
      </c>
      <c r="D551" s="16" t="e">
        <f>#REF!</f>
        <v>#REF!</v>
      </c>
      <c r="E551" s="16" t="e">
        <f>#REF!</f>
        <v>#REF!</v>
      </c>
      <c r="F551" s="16" t="e">
        <f>#REF!</f>
        <v>#REF!</v>
      </c>
      <c r="G551" s="16" t="e">
        <f>#REF!</f>
        <v>#REF!</v>
      </c>
      <c r="H551" s="16" t="e">
        <f>#REF!</f>
        <v>#REF!</v>
      </c>
      <c r="I551" s="16" t="e">
        <f>#REF!</f>
        <v>#REF!</v>
      </c>
      <c r="J551" s="16" t="e">
        <f>#REF!</f>
        <v>#REF!</v>
      </c>
      <c r="K551" s="16" t="s">
        <v>744</v>
      </c>
      <c r="L551" s="16"/>
      <c r="M551" s="16"/>
      <c r="N551" s="16"/>
      <c r="O551" s="16"/>
      <c r="P551" s="17"/>
      <c r="Q551" s="17"/>
    </row>
    <row r="552" spans="1:17" ht="22.5" customHeight="1" thickTop="1" thickBot="1" x14ac:dyDescent="0.25">
      <c r="A552" s="16" t="e">
        <f>#REF!</f>
        <v>#REF!</v>
      </c>
      <c r="B552" s="16" t="e">
        <f>#REF!</f>
        <v>#REF!</v>
      </c>
      <c r="C552" s="16" t="e">
        <f>#REF!</f>
        <v>#REF!</v>
      </c>
      <c r="D552" s="16" t="e">
        <f>#REF!</f>
        <v>#REF!</v>
      </c>
      <c r="E552" s="16" t="e">
        <f>#REF!</f>
        <v>#REF!</v>
      </c>
      <c r="F552" s="16" t="e">
        <f>#REF!</f>
        <v>#REF!</v>
      </c>
      <c r="G552" s="16" t="e">
        <f>#REF!</f>
        <v>#REF!</v>
      </c>
      <c r="H552" s="16" t="e">
        <f>#REF!</f>
        <v>#REF!</v>
      </c>
      <c r="I552" s="16" t="e">
        <f>#REF!</f>
        <v>#REF!</v>
      </c>
      <c r="J552" s="16" t="e">
        <f>#REF!</f>
        <v>#REF!</v>
      </c>
      <c r="K552" s="16" t="s">
        <v>744</v>
      </c>
      <c r="L552" s="16"/>
      <c r="M552" s="16"/>
      <c r="N552" s="16"/>
      <c r="O552" s="16"/>
      <c r="P552" s="20"/>
      <c r="Q552" s="20"/>
    </row>
    <row r="553" spans="1:17" ht="22.5" customHeight="1" thickTop="1" thickBot="1" x14ac:dyDescent="0.25">
      <c r="A553" s="16" t="e">
        <f>#REF!</f>
        <v>#REF!</v>
      </c>
      <c r="B553" s="16" t="e">
        <f>#REF!</f>
        <v>#REF!</v>
      </c>
      <c r="C553" s="16" t="e">
        <f>#REF!</f>
        <v>#REF!</v>
      </c>
      <c r="D553" s="16" t="e">
        <f>#REF!</f>
        <v>#REF!</v>
      </c>
      <c r="E553" s="16" t="e">
        <f>#REF!</f>
        <v>#REF!</v>
      </c>
      <c r="F553" s="16" t="e">
        <f>#REF!</f>
        <v>#REF!</v>
      </c>
      <c r="G553" s="16" t="e">
        <f>#REF!</f>
        <v>#REF!</v>
      </c>
      <c r="H553" s="16" t="e">
        <f>#REF!</f>
        <v>#REF!</v>
      </c>
      <c r="I553" s="16" t="e">
        <f>#REF!</f>
        <v>#REF!</v>
      </c>
      <c r="J553" s="16" t="e">
        <f>#REF!</f>
        <v>#REF!</v>
      </c>
      <c r="K553" s="16" t="s">
        <v>744</v>
      </c>
      <c r="L553" s="16"/>
      <c r="M553" s="16"/>
      <c r="N553" s="16"/>
      <c r="O553" s="16"/>
      <c r="P553" s="20"/>
      <c r="Q553" s="20"/>
    </row>
    <row r="554" spans="1:17" ht="22.5" customHeight="1" thickTop="1" thickBot="1" x14ac:dyDescent="0.25">
      <c r="A554" s="16" t="e">
        <f>#REF!</f>
        <v>#REF!</v>
      </c>
      <c r="B554" s="16" t="e">
        <f>#REF!</f>
        <v>#REF!</v>
      </c>
      <c r="C554" s="16" t="e">
        <f>#REF!</f>
        <v>#REF!</v>
      </c>
      <c r="D554" s="16" t="e">
        <f>#REF!</f>
        <v>#REF!</v>
      </c>
      <c r="E554" s="16" t="e">
        <f>#REF!</f>
        <v>#REF!</v>
      </c>
      <c r="F554" s="16" t="e">
        <f>#REF!</f>
        <v>#REF!</v>
      </c>
      <c r="G554" s="16" t="e">
        <f>#REF!</f>
        <v>#REF!</v>
      </c>
      <c r="H554" s="16" t="e">
        <f>#REF!</f>
        <v>#REF!</v>
      </c>
      <c r="I554" s="16" t="e">
        <f>#REF!</f>
        <v>#REF!</v>
      </c>
      <c r="J554" s="16" t="e">
        <f>#REF!</f>
        <v>#REF!</v>
      </c>
      <c r="K554" s="16" t="s">
        <v>744</v>
      </c>
      <c r="L554" s="16"/>
      <c r="M554" s="16"/>
      <c r="N554" s="16"/>
      <c r="O554" s="16"/>
      <c r="P554" s="20"/>
      <c r="Q554" s="20"/>
    </row>
    <row r="555" spans="1:17" ht="22.5" customHeight="1" thickTop="1" thickBot="1" x14ac:dyDescent="0.25">
      <c r="A555" s="16" t="e">
        <f>#REF!</f>
        <v>#REF!</v>
      </c>
      <c r="B555" s="16" t="e">
        <f>#REF!</f>
        <v>#REF!</v>
      </c>
      <c r="C555" s="16" t="e">
        <f>#REF!</f>
        <v>#REF!</v>
      </c>
      <c r="D555" s="16" t="e">
        <f>#REF!</f>
        <v>#REF!</v>
      </c>
      <c r="E555" s="16" t="e">
        <f>#REF!</f>
        <v>#REF!</v>
      </c>
      <c r="F555" s="16" t="e">
        <f>#REF!</f>
        <v>#REF!</v>
      </c>
      <c r="G555" s="16" t="e">
        <f>#REF!</f>
        <v>#REF!</v>
      </c>
      <c r="H555" s="16" t="e">
        <f>#REF!</f>
        <v>#REF!</v>
      </c>
      <c r="I555" s="16" t="e">
        <f>#REF!</f>
        <v>#REF!</v>
      </c>
      <c r="J555" s="16" t="e">
        <f>#REF!</f>
        <v>#REF!</v>
      </c>
      <c r="K555" s="16" t="s">
        <v>744</v>
      </c>
      <c r="L555" s="16"/>
      <c r="M555" s="16"/>
      <c r="N555" s="16"/>
      <c r="O555" s="16"/>
      <c r="P555" s="17"/>
      <c r="Q555" s="17"/>
    </row>
    <row r="556" spans="1:17" ht="22.5" customHeight="1" thickTop="1" thickBot="1" x14ac:dyDescent="0.25">
      <c r="A556" s="16" t="e">
        <f>#REF!</f>
        <v>#REF!</v>
      </c>
      <c r="B556" s="16" t="e">
        <f>#REF!</f>
        <v>#REF!</v>
      </c>
      <c r="C556" s="16" t="e">
        <f>#REF!</f>
        <v>#REF!</v>
      </c>
      <c r="D556" s="16" t="e">
        <f>#REF!</f>
        <v>#REF!</v>
      </c>
      <c r="E556" s="16" t="e">
        <f>#REF!</f>
        <v>#REF!</v>
      </c>
      <c r="F556" s="16" t="e">
        <f>#REF!</f>
        <v>#REF!</v>
      </c>
      <c r="G556" s="16" t="e">
        <f>#REF!</f>
        <v>#REF!</v>
      </c>
      <c r="H556" s="16" t="e">
        <f>#REF!</f>
        <v>#REF!</v>
      </c>
      <c r="I556" s="16" t="e">
        <f>#REF!</f>
        <v>#REF!</v>
      </c>
      <c r="J556" s="16" t="e">
        <f>#REF!</f>
        <v>#REF!</v>
      </c>
      <c r="K556" s="16" t="s">
        <v>744</v>
      </c>
      <c r="L556" s="16"/>
      <c r="M556" s="16"/>
      <c r="N556" s="16"/>
      <c r="O556" s="16"/>
      <c r="P556" s="29"/>
      <c r="Q556" s="29"/>
    </row>
    <row r="557" spans="1:17" ht="22.5" customHeight="1" thickTop="1" thickBot="1" x14ac:dyDescent="0.25">
      <c r="A557" s="16" t="e">
        <f>#REF!</f>
        <v>#REF!</v>
      </c>
      <c r="B557" s="16" t="e">
        <f>#REF!</f>
        <v>#REF!</v>
      </c>
      <c r="C557" s="16" t="e">
        <f>#REF!</f>
        <v>#REF!</v>
      </c>
      <c r="D557" s="16" t="e">
        <f>#REF!</f>
        <v>#REF!</v>
      </c>
      <c r="E557" s="16" t="e">
        <f>#REF!</f>
        <v>#REF!</v>
      </c>
      <c r="F557" s="16" t="e">
        <f>#REF!</f>
        <v>#REF!</v>
      </c>
      <c r="G557" s="16" t="e">
        <f>#REF!</f>
        <v>#REF!</v>
      </c>
      <c r="H557" s="16" t="e">
        <f>#REF!</f>
        <v>#REF!</v>
      </c>
      <c r="I557" s="16" t="e">
        <f>#REF!</f>
        <v>#REF!</v>
      </c>
      <c r="J557" s="16" t="e">
        <f>#REF!</f>
        <v>#REF!</v>
      </c>
      <c r="K557" s="16" t="s">
        <v>749</v>
      </c>
      <c r="L557" s="16" t="s">
        <v>741</v>
      </c>
      <c r="M557" s="16"/>
      <c r="N557" s="16"/>
      <c r="O557" s="16" t="s">
        <v>796</v>
      </c>
      <c r="P557" s="29"/>
      <c r="Q557" s="29"/>
    </row>
    <row r="558" spans="1:17" ht="22.5" customHeight="1" thickTop="1" thickBot="1" x14ac:dyDescent="0.25">
      <c r="A558" s="16" t="e">
        <f>#REF!</f>
        <v>#REF!</v>
      </c>
      <c r="B558" s="16" t="e">
        <f>#REF!</f>
        <v>#REF!</v>
      </c>
      <c r="C558" s="16" t="e">
        <f>#REF!</f>
        <v>#REF!</v>
      </c>
      <c r="D558" s="16" t="e">
        <f>#REF!</f>
        <v>#REF!</v>
      </c>
      <c r="E558" s="16" t="e">
        <f>#REF!</f>
        <v>#REF!</v>
      </c>
      <c r="F558" s="16" t="e">
        <f>#REF!</f>
        <v>#REF!</v>
      </c>
      <c r="G558" s="16" t="e">
        <f>#REF!</f>
        <v>#REF!</v>
      </c>
      <c r="H558" s="16" t="e">
        <f>#REF!</f>
        <v>#REF!</v>
      </c>
      <c r="I558" s="16" t="e">
        <f>#REF!</f>
        <v>#REF!</v>
      </c>
      <c r="J558" s="16" t="e">
        <f>#REF!</f>
        <v>#REF!</v>
      </c>
      <c r="K558" s="16"/>
      <c r="L558" s="16"/>
      <c r="M558" s="16"/>
      <c r="N558" s="16"/>
      <c r="O558" s="16"/>
      <c r="P558" s="17"/>
      <c r="Q558" s="17"/>
    </row>
    <row r="559" spans="1:17" ht="22.5" customHeight="1" thickTop="1" thickBot="1" x14ac:dyDescent="0.25">
      <c r="A559" s="16" t="e">
        <f>#REF!</f>
        <v>#REF!</v>
      </c>
      <c r="B559" s="16" t="e">
        <f>#REF!</f>
        <v>#REF!</v>
      </c>
      <c r="C559" s="16" t="e">
        <f>#REF!</f>
        <v>#REF!</v>
      </c>
      <c r="D559" s="16" t="e">
        <f>#REF!</f>
        <v>#REF!</v>
      </c>
      <c r="E559" s="16" t="e">
        <f>#REF!</f>
        <v>#REF!</v>
      </c>
      <c r="F559" s="16" t="e">
        <f>#REF!</f>
        <v>#REF!</v>
      </c>
      <c r="G559" s="16" t="e">
        <f>#REF!</f>
        <v>#REF!</v>
      </c>
      <c r="H559" s="16" t="e">
        <f>#REF!</f>
        <v>#REF!</v>
      </c>
      <c r="I559" s="16" t="e">
        <f>#REF!</f>
        <v>#REF!</v>
      </c>
      <c r="J559" s="16" t="e">
        <f>#REF!</f>
        <v>#REF!</v>
      </c>
      <c r="K559" s="16"/>
      <c r="L559" s="16"/>
      <c r="M559" s="16"/>
      <c r="N559" s="16"/>
      <c r="O559" s="16"/>
      <c r="P559" s="17"/>
      <c r="Q559" s="17"/>
    </row>
    <row r="560" spans="1:17" ht="22.5" customHeight="1" thickTop="1" thickBot="1" x14ac:dyDescent="0.25">
      <c r="A560" s="16" t="e">
        <f>#REF!</f>
        <v>#REF!</v>
      </c>
      <c r="B560" s="16" t="e">
        <f>#REF!</f>
        <v>#REF!</v>
      </c>
      <c r="C560" s="16" t="e">
        <f>#REF!</f>
        <v>#REF!</v>
      </c>
      <c r="D560" s="16" t="e">
        <f>#REF!</f>
        <v>#REF!</v>
      </c>
      <c r="E560" s="16" t="e">
        <f>#REF!</f>
        <v>#REF!</v>
      </c>
      <c r="F560" s="16" t="e">
        <f>#REF!</f>
        <v>#REF!</v>
      </c>
      <c r="G560" s="16" t="e">
        <f>#REF!</f>
        <v>#REF!</v>
      </c>
      <c r="H560" s="16" t="e">
        <f>#REF!</f>
        <v>#REF!</v>
      </c>
      <c r="I560" s="16" t="e">
        <f>#REF!</f>
        <v>#REF!</v>
      </c>
      <c r="J560" s="16" t="e">
        <f>#REF!</f>
        <v>#REF!</v>
      </c>
      <c r="K560" s="16"/>
      <c r="L560" s="16"/>
      <c r="M560" s="16"/>
      <c r="N560" s="16"/>
      <c r="O560" s="16"/>
      <c r="P560" s="17"/>
      <c r="Q560" s="17"/>
    </row>
    <row r="561" spans="1:17" ht="22.5" customHeight="1" thickTop="1" thickBot="1" x14ac:dyDescent="0.25">
      <c r="A561" s="16" t="e">
        <f>#REF!</f>
        <v>#REF!</v>
      </c>
      <c r="B561" s="16" t="e">
        <f>#REF!</f>
        <v>#REF!</v>
      </c>
      <c r="C561" s="16" t="e">
        <f>#REF!</f>
        <v>#REF!</v>
      </c>
      <c r="D561" s="16" t="e">
        <f>#REF!</f>
        <v>#REF!</v>
      </c>
      <c r="E561" s="16" t="e">
        <f>#REF!</f>
        <v>#REF!</v>
      </c>
      <c r="F561" s="16" t="e">
        <f>#REF!</f>
        <v>#REF!</v>
      </c>
      <c r="G561" s="16" t="e">
        <f>#REF!</f>
        <v>#REF!</v>
      </c>
      <c r="H561" s="16" t="e">
        <f>#REF!</f>
        <v>#REF!</v>
      </c>
      <c r="I561" s="16" t="e">
        <f>#REF!</f>
        <v>#REF!</v>
      </c>
      <c r="J561" s="16" t="e">
        <f>#REF!</f>
        <v>#REF!</v>
      </c>
      <c r="K561" s="16" t="s">
        <v>744</v>
      </c>
      <c r="L561" s="16"/>
      <c r="M561" s="16"/>
      <c r="N561" s="16"/>
      <c r="O561" s="16"/>
      <c r="P561" s="24">
        <v>20</v>
      </c>
      <c r="Q561" s="24"/>
    </row>
    <row r="562" spans="1:17" ht="22.5" customHeight="1" thickTop="1" thickBot="1" x14ac:dyDescent="0.25">
      <c r="A562" s="16" t="e">
        <f>#REF!</f>
        <v>#REF!</v>
      </c>
      <c r="B562" s="16" t="e">
        <f>#REF!</f>
        <v>#REF!</v>
      </c>
      <c r="C562" s="16" t="e">
        <f>#REF!</f>
        <v>#REF!</v>
      </c>
      <c r="D562" s="16" t="e">
        <f>#REF!</f>
        <v>#REF!</v>
      </c>
      <c r="E562" s="16" t="e">
        <f>#REF!</f>
        <v>#REF!</v>
      </c>
      <c r="F562" s="16" t="e">
        <f>#REF!</f>
        <v>#REF!</v>
      </c>
      <c r="G562" s="16" t="e">
        <f>#REF!</f>
        <v>#REF!</v>
      </c>
      <c r="H562" s="16" t="e">
        <f>#REF!</f>
        <v>#REF!</v>
      </c>
      <c r="I562" s="16" t="e">
        <f>#REF!</f>
        <v>#REF!</v>
      </c>
      <c r="J562" s="16" t="e">
        <f>#REF!</f>
        <v>#REF!</v>
      </c>
      <c r="K562" s="16" t="s">
        <v>744</v>
      </c>
      <c r="L562" s="16"/>
      <c r="M562" s="16"/>
      <c r="N562" s="16"/>
      <c r="O562" s="16"/>
      <c r="P562" s="17"/>
      <c r="Q562" s="17"/>
    </row>
    <row r="563" spans="1:17" ht="22.5" customHeight="1" thickTop="1" thickBot="1" x14ac:dyDescent="0.25">
      <c r="A563" s="16" t="e">
        <f>#REF!</f>
        <v>#REF!</v>
      </c>
      <c r="B563" s="16" t="e">
        <f>#REF!</f>
        <v>#REF!</v>
      </c>
      <c r="C563" s="16" t="e">
        <f>#REF!</f>
        <v>#REF!</v>
      </c>
      <c r="D563" s="16" t="e">
        <f>#REF!</f>
        <v>#REF!</v>
      </c>
      <c r="E563" s="16" t="e">
        <f>#REF!</f>
        <v>#REF!</v>
      </c>
      <c r="F563" s="16" t="e">
        <f>#REF!</f>
        <v>#REF!</v>
      </c>
      <c r="G563" s="16" t="e">
        <f>#REF!</f>
        <v>#REF!</v>
      </c>
      <c r="H563" s="16" t="e">
        <f>#REF!</f>
        <v>#REF!</v>
      </c>
      <c r="I563" s="16" t="e">
        <f>#REF!</f>
        <v>#REF!</v>
      </c>
      <c r="J563" s="16" t="e">
        <f>#REF!</f>
        <v>#REF!</v>
      </c>
      <c r="K563" s="16"/>
      <c r="L563" s="16"/>
      <c r="M563" s="16"/>
      <c r="N563" s="16"/>
      <c r="O563" s="16"/>
      <c r="P563" s="24">
        <v>20</v>
      </c>
      <c r="Q563" s="24"/>
    </row>
    <row r="564" spans="1:17" ht="22.5" customHeight="1" thickTop="1" thickBot="1" x14ac:dyDescent="0.25">
      <c r="A564" s="16" t="e">
        <f>#REF!</f>
        <v>#REF!</v>
      </c>
      <c r="B564" s="16" t="e">
        <f>#REF!</f>
        <v>#REF!</v>
      </c>
      <c r="C564" s="16" t="e">
        <f>#REF!</f>
        <v>#REF!</v>
      </c>
      <c r="D564" s="16" t="e">
        <f>#REF!</f>
        <v>#REF!</v>
      </c>
      <c r="E564" s="16" t="e">
        <f>#REF!</f>
        <v>#REF!</v>
      </c>
      <c r="F564" s="16" t="e">
        <f>#REF!</f>
        <v>#REF!</v>
      </c>
      <c r="G564" s="16" t="e">
        <f>#REF!</f>
        <v>#REF!</v>
      </c>
      <c r="H564" s="16" t="e">
        <f>#REF!</f>
        <v>#REF!</v>
      </c>
      <c r="I564" s="16" t="e">
        <f>#REF!</f>
        <v>#REF!</v>
      </c>
      <c r="J564" s="16" t="e">
        <f>#REF!</f>
        <v>#REF!</v>
      </c>
      <c r="K564" s="16"/>
      <c r="L564" s="16"/>
      <c r="M564" s="16"/>
      <c r="N564" s="16"/>
      <c r="O564" s="16"/>
      <c r="P564" s="24">
        <v>20</v>
      </c>
      <c r="Q564" s="24"/>
    </row>
    <row r="565" spans="1:17" ht="22.5" customHeight="1" thickTop="1" thickBot="1" x14ac:dyDescent="0.25">
      <c r="A565" s="16" t="e">
        <f>#REF!</f>
        <v>#REF!</v>
      </c>
      <c r="B565" s="16" t="e">
        <f>#REF!</f>
        <v>#REF!</v>
      </c>
      <c r="C565" s="16" t="e">
        <f>#REF!</f>
        <v>#REF!</v>
      </c>
      <c r="D565" s="16" t="e">
        <f>#REF!</f>
        <v>#REF!</v>
      </c>
      <c r="E565" s="16" t="e">
        <f>#REF!</f>
        <v>#REF!</v>
      </c>
      <c r="F565" s="16" t="e">
        <f>#REF!</f>
        <v>#REF!</v>
      </c>
      <c r="G565" s="16" t="e">
        <f>#REF!</f>
        <v>#REF!</v>
      </c>
      <c r="H565" s="16" t="e">
        <f>#REF!</f>
        <v>#REF!</v>
      </c>
      <c r="I565" s="16" t="e">
        <f>#REF!</f>
        <v>#REF!</v>
      </c>
      <c r="J565" s="16" t="e">
        <f>#REF!</f>
        <v>#REF!</v>
      </c>
      <c r="K565" s="16"/>
      <c r="L565" s="16"/>
      <c r="M565" s="16"/>
      <c r="N565" s="16"/>
      <c r="O565" s="16"/>
      <c r="P565" s="24">
        <v>20</v>
      </c>
      <c r="Q565" s="24"/>
    </row>
    <row r="566" spans="1:17" ht="22.5" customHeight="1" thickTop="1" thickBot="1" x14ac:dyDescent="0.25">
      <c r="A566" s="16" t="e">
        <f>#REF!</f>
        <v>#REF!</v>
      </c>
      <c r="B566" s="16" t="e">
        <f>#REF!</f>
        <v>#REF!</v>
      </c>
      <c r="C566" s="16" t="e">
        <f>#REF!</f>
        <v>#REF!</v>
      </c>
      <c r="D566" s="16" t="e">
        <f>#REF!</f>
        <v>#REF!</v>
      </c>
      <c r="E566" s="16" t="e">
        <f>#REF!</f>
        <v>#REF!</v>
      </c>
      <c r="F566" s="16" t="e">
        <f>#REF!</f>
        <v>#REF!</v>
      </c>
      <c r="G566" s="16" t="e">
        <f>#REF!</f>
        <v>#REF!</v>
      </c>
      <c r="H566" s="16" t="e">
        <f>#REF!</f>
        <v>#REF!</v>
      </c>
      <c r="I566" s="16" t="e">
        <f>#REF!</f>
        <v>#REF!</v>
      </c>
      <c r="J566" s="16" t="e">
        <f>#REF!</f>
        <v>#REF!</v>
      </c>
      <c r="K566" s="16" t="s">
        <v>744</v>
      </c>
      <c r="L566" s="16"/>
      <c r="M566" s="16"/>
      <c r="N566" s="16"/>
      <c r="O566" s="16"/>
      <c r="P566" s="17"/>
      <c r="Q566" s="17"/>
    </row>
    <row r="567" spans="1:17" ht="22.5" customHeight="1" thickTop="1" thickBot="1" x14ac:dyDescent="0.25">
      <c r="A567" s="16" t="e">
        <f>#REF!</f>
        <v>#REF!</v>
      </c>
      <c r="B567" s="16" t="e">
        <f>#REF!</f>
        <v>#REF!</v>
      </c>
      <c r="C567" s="16" t="e">
        <f>#REF!</f>
        <v>#REF!</v>
      </c>
      <c r="D567" s="16" t="e">
        <f>#REF!</f>
        <v>#REF!</v>
      </c>
      <c r="E567" s="16" t="e">
        <f>#REF!</f>
        <v>#REF!</v>
      </c>
      <c r="F567" s="16" t="e">
        <f>#REF!</f>
        <v>#REF!</v>
      </c>
      <c r="G567" s="16" t="e">
        <f>#REF!</f>
        <v>#REF!</v>
      </c>
      <c r="H567" s="16" t="e">
        <f>#REF!</f>
        <v>#REF!</v>
      </c>
      <c r="I567" s="16" t="e">
        <f>#REF!</f>
        <v>#REF!</v>
      </c>
      <c r="J567" s="16" t="e">
        <f>#REF!</f>
        <v>#REF!</v>
      </c>
      <c r="K567" s="16" t="s">
        <v>744</v>
      </c>
      <c r="L567" s="16"/>
      <c r="M567" s="16"/>
      <c r="N567" s="16"/>
      <c r="O567" s="16"/>
      <c r="P567" s="17"/>
      <c r="Q567" s="17"/>
    </row>
    <row r="568" spans="1:17" ht="22.5" customHeight="1" thickTop="1" thickBot="1" x14ac:dyDescent="0.25">
      <c r="A568" s="16" t="e">
        <f>#REF!</f>
        <v>#REF!</v>
      </c>
      <c r="B568" s="16" t="e">
        <f>#REF!</f>
        <v>#REF!</v>
      </c>
      <c r="C568" s="16" t="e">
        <f>#REF!</f>
        <v>#REF!</v>
      </c>
      <c r="D568" s="16" t="e">
        <f>#REF!</f>
        <v>#REF!</v>
      </c>
      <c r="E568" s="16" t="e">
        <f>#REF!</f>
        <v>#REF!</v>
      </c>
      <c r="F568" s="16" t="e">
        <f>#REF!</f>
        <v>#REF!</v>
      </c>
      <c r="G568" s="16" t="e">
        <f>#REF!</f>
        <v>#REF!</v>
      </c>
      <c r="H568" s="16" t="e">
        <f>#REF!</f>
        <v>#REF!</v>
      </c>
      <c r="I568" s="16" t="e">
        <f>#REF!</f>
        <v>#REF!</v>
      </c>
      <c r="J568" s="16" t="e">
        <f>#REF!</f>
        <v>#REF!</v>
      </c>
      <c r="K568" s="16" t="s">
        <v>752</v>
      </c>
      <c r="L568" s="16"/>
      <c r="M568" s="16"/>
      <c r="N568" s="16"/>
      <c r="O568" s="16"/>
      <c r="P568" s="17"/>
      <c r="Q568" s="17"/>
    </row>
    <row r="569" spans="1:17" ht="22.5" customHeight="1" thickTop="1" thickBot="1" x14ac:dyDescent="0.25">
      <c r="A569" s="16" t="e">
        <f>#REF!</f>
        <v>#REF!</v>
      </c>
      <c r="B569" s="16" t="e">
        <f>#REF!</f>
        <v>#REF!</v>
      </c>
      <c r="C569" s="16" t="e">
        <f>#REF!</f>
        <v>#REF!</v>
      </c>
      <c r="D569" s="16" t="e">
        <f>#REF!</f>
        <v>#REF!</v>
      </c>
      <c r="E569" s="16" t="e">
        <f>#REF!</f>
        <v>#REF!</v>
      </c>
      <c r="F569" s="16" t="e">
        <f>#REF!</f>
        <v>#REF!</v>
      </c>
      <c r="G569" s="16" t="e">
        <f>#REF!</f>
        <v>#REF!</v>
      </c>
      <c r="H569" s="16" t="e">
        <f>#REF!</f>
        <v>#REF!</v>
      </c>
      <c r="I569" s="16" t="e">
        <f>#REF!</f>
        <v>#REF!</v>
      </c>
      <c r="J569" s="16" t="e">
        <f>#REF!</f>
        <v>#REF!</v>
      </c>
      <c r="K569" s="16" t="s">
        <v>752</v>
      </c>
      <c r="L569" s="16"/>
      <c r="M569" s="16"/>
      <c r="N569" s="16"/>
      <c r="O569" s="16"/>
      <c r="P569" s="17"/>
      <c r="Q569" s="17"/>
    </row>
    <row r="570" spans="1:17" ht="22.5" customHeight="1" thickTop="1" thickBot="1" x14ac:dyDescent="0.25">
      <c r="A570" s="16" t="e">
        <f>#REF!</f>
        <v>#REF!</v>
      </c>
      <c r="B570" s="16" t="e">
        <f>#REF!</f>
        <v>#REF!</v>
      </c>
      <c r="C570" s="16" t="e">
        <f>#REF!</f>
        <v>#REF!</v>
      </c>
      <c r="D570" s="16" t="e">
        <f>#REF!</f>
        <v>#REF!</v>
      </c>
      <c r="E570" s="16" t="e">
        <f>#REF!</f>
        <v>#REF!</v>
      </c>
      <c r="F570" s="16" t="e">
        <f>#REF!</f>
        <v>#REF!</v>
      </c>
      <c r="G570" s="16" t="e">
        <f>#REF!</f>
        <v>#REF!</v>
      </c>
      <c r="H570" s="16" t="e">
        <f>#REF!</f>
        <v>#REF!</v>
      </c>
      <c r="I570" s="16" t="e">
        <f>#REF!</f>
        <v>#REF!</v>
      </c>
      <c r="J570" s="16" t="e">
        <f>#REF!</f>
        <v>#REF!</v>
      </c>
      <c r="K570" s="16" t="s">
        <v>752</v>
      </c>
      <c r="L570" s="16"/>
      <c r="M570" s="16"/>
      <c r="N570" s="16"/>
      <c r="O570" s="16"/>
      <c r="P570" s="19"/>
      <c r="Q570" s="19"/>
    </row>
    <row r="571" spans="1:17" ht="22.5" customHeight="1" thickTop="1" thickBot="1" x14ac:dyDescent="0.25">
      <c r="A571" s="16" t="e">
        <f>#REF!</f>
        <v>#REF!</v>
      </c>
      <c r="B571" s="16" t="e">
        <f>#REF!</f>
        <v>#REF!</v>
      </c>
      <c r="C571" s="16" t="e">
        <f>#REF!</f>
        <v>#REF!</v>
      </c>
      <c r="D571" s="16" t="e">
        <f>#REF!</f>
        <v>#REF!</v>
      </c>
      <c r="E571" s="16" t="e">
        <f>#REF!</f>
        <v>#REF!</v>
      </c>
      <c r="F571" s="16" t="e">
        <f>#REF!</f>
        <v>#REF!</v>
      </c>
      <c r="G571" s="16" t="e">
        <f>#REF!</f>
        <v>#REF!</v>
      </c>
      <c r="H571" s="16" t="e">
        <f>#REF!</f>
        <v>#REF!</v>
      </c>
      <c r="I571" s="16" t="e">
        <f>#REF!</f>
        <v>#REF!</v>
      </c>
      <c r="J571" s="16" t="e">
        <f>#REF!</f>
        <v>#REF!</v>
      </c>
      <c r="K571" s="16" t="s">
        <v>752</v>
      </c>
      <c r="L571" s="16"/>
      <c r="M571" s="16"/>
      <c r="N571" s="16"/>
      <c r="O571" s="16"/>
      <c r="P571" s="19"/>
      <c r="Q571" s="19"/>
    </row>
    <row r="572" spans="1:17" ht="22.5" customHeight="1" thickTop="1" thickBot="1" x14ac:dyDescent="0.25">
      <c r="A572" s="16" t="e">
        <f>#REF!</f>
        <v>#REF!</v>
      </c>
      <c r="B572" s="16" t="e">
        <f>#REF!</f>
        <v>#REF!</v>
      </c>
      <c r="C572" s="16" t="e">
        <f>#REF!</f>
        <v>#REF!</v>
      </c>
      <c r="D572" s="16" t="e">
        <f>#REF!</f>
        <v>#REF!</v>
      </c>
      <c r="E572" s="16" t="e">
        <f>#REF!</f>
        <v>#REF!</v>
      </c>
      <c r="F572" s="16" t="e">
        <f>#REF!</f>
        <v>#REF!</v>
      </c>
      <c r="G572" s="16" t="e">
        <f>#REF!</f>
        <v>#REF!</v>
      </c>
      <c r="H572" s="16" t="e">
        <f>#REF!</f>
        <v>#REF!</v>
      </c>
      <c r="I572" s="16" t="e">
        <f>#REF!</f>
        <v>#REF!</v>
      </c>
      <c r="J572" s="16" t="e">
        <f>#REF!</f>
        <v>#REF!</v>
      </c>
      <c r="K572" s="16" t="s">
        <v>752</v>
      </c>
      <c r="L572" s="16"/>
      <c r="M572" s="16"/>
      <c r="N572" s="16"/>
      <c r="O572" s="16"/>
      <c r="P572" s="19"/>
      <c r="Q572" s="19"/>
    </row>
    <row r="573" spans="1:17" ht="22.5" customHeight="1" thickTop="1" thickBot="1" x14ac:dyDescent="0.25">
      <c r="A573" s="16" t="e">
        <f>#REF!</f>
        <v>#REF!</v>
      </c>
      <c r="B573" s="16" t="e">
        <f>#REF!</f>
        <v>#REF!</v>
      </c>
      <c r="C573" s="16" t="e">
        <f>#REF!</f>
        <v>#REF!</v>
      </c>
      <c r="D573" s="16" t="e">
        <f>#REF!</f>
        <v>#REF!</v>
      </c>
      <c r="E573" s="16" t="e">
        <f>#REF!</f>
        <v>#REF!</v>
      </c>
      <c r="F573" s="16" t="e">
        <f>#REF!</f>
        <v>#REF!</v>
      </c>
      <c r="G573" s="16" t="e">
        <f>#REF!</f>
        <v>#REF!</v>
      </c>
      <c r="H573" s="16" t="e">
        <f>#REF!</f>
        <v>#REF!</v>
      </c>
      <c r="I573" s="16" t="e">
        <f>#REF!</f>
        <v>#REF!</v>
      </c>
      <c r="J573" s="16" t="e">
        <f>#REF!</f>
        <v>#REF!</v>
      </c>
      <c r="K573" s="16" t="s">
        <v>744</v>
      </c>
      <c r="L573" s="16"/>
      <c r="M573" s="16"/>
      <c r="N573" s="16"/>
      <c r="O573" s="16"/>
      <c r="P573" s="17"/>
      <c r="Q573" s="17"/>
    </row>
    <row r="574" spans="1:17" ht="22.5" customHeight="1" thickTop="1" thickBot="1" x14ac:dyDescent="0.25">
      <c r="A574" s="16" t="e">
        <f>#REF!</f>
        <v>#REF!</v>
      </c>
      <c r="B574" s="16" t="e">
        <f>#REF!</f>
        <v>#REF!</v>
      </c>
      <c r="C574" s="16" t="e">
        <f>#REF!</f>
        <v>#REF!</v>
      </c>
      <c r="D574" s="16" t="e">
        <f>#REF!</f>
        <v>#REF!</v>
      </c>
      <c r="E574" s="16" t="e">
        <f>#REF!</f>
        <v>#REF!</v>
      </c>
      <c r="F574" s="16" t="e">
        <f>#REF!</f>
        <v>#REF!</v>
      </c>
      <c r="G574" s="16" t="e">
        <f>#REF!</f>
        <v>#REF!</v>
      </c>
      <c r="H574" s="16" t="e">
        <f>#REF!</f>
        <v>#REF!</v>
      </c>
      <c r="I574" s="16" t="e">
        <f>#REF!</f>
        <v>#REF!</v>
      </c>
      <c r="J574" s="16" t="e">
        <f>#REF!</f>
        <v>#REF!</v>
      </c>
      <c r="K574" s="16" t="s">
        <v>744</v>
      </c>
      <c r="L574" s="16"/>
      <c r="M574" s="16"/>
      <c r="N574" s="16"/>
      <c r="O574" s="16"/>
      <c r="P574" s="17"/>
      <c r="Q574" s="17"/>
    </row>
    <row r="575" spans="1:17" ht="22.5" customHeight="1" thickTop="1" thickBot="1" x14ac:dyDescent="0.25">
      <c r="A575" s="16" t="e">
        <f>#REF!</f>
        <v>#REF!</v>
      </c>
      <c r="B575" s="16" t="e">
        <f>#REF!</f>
        <v>#REF!</v>
      </c>
      <c r="C575" s="16" t="e">
        <f>#REF!</f>
        <v>#REF!</v>
      </c>
      <c r="D575" s="16" t="e">
        <f>#REF!</f>
        <v>#REF!</v>
      </c>
      <c r="E575" s="16" t="e">
        <f>#REF!</f>
        <v>#REF!</v>
      </c>
      <c r="F575" s="16" t="e">
        <f>#REF!</f>
        <v>#REF!</v>
      </c>
      <c r="G575" s="16" t="e">
        <f>#REF!</f>
        <v>#REF!</v>
      </c>
      <c r="H575" s="16" t="e">
        <f>#REF!</f>
        <v>#REF!</v>
      </c>
      <c r="I575" s="16" t="e">
        <f>#REF!</f>
        <v>#REF!</v>
      </c>
      <c r="J575" s="16" t="e">
        <f>#REF!</f>
        <v>#REF!</v>
      </c>
      <c r="K575" s="16" t="s">
        <v>744</v>
      </c>
      <c r="L575" s="16"/>
      <c r="M575" s="16"/>
      <c r="N575" s="16"/>
      <c r="O575" s="16"/>
      <c r="P575" s="17"/>
      <c r="Q575" s="17"/>
    </row>
    <row r="576" spans="1:17" ht="22.5" customHeight="1" thickTop="1" thickBot="1" x14ac:dyDescent="0.25">
      <c r="A576" s="16" t="e">
        <f>#REF!</f>
        <v>#REF!</v>
      </c>
      <c r="B576" s="16" t="e">
        <f>#REF!</f>
        <v>#REF!</v>
      </c>
      <c r="C576" s="16" t="e">
        <f>#REF!</f>
        <v>#REF!</v>
      </c>
      <c r="D576" s="16" t="e">
        <f>#REF!</f>
        <v>#REF!</v>
      </c>
      <c r="E576" s="16" t="e">
        <f>#REF!</f>
        <v>#REF!</v>
      </c>
      <c r="F576" s="16" t="e">
        <f>#REF!</f>
        <v>#REF!</v>
      </c>
      <c r="G576" s="16" t="e">
        <f>#REF!</f>
        <v>#REF!</v>
      </c>
      <c r="H576" s="16" t="e">
        <f>#REF!</f>
        <v>#REF!</v>
      </c>
      <c r="I576" s="16" t="e">
        <f>#REF!</f>
        <v>#REF!</v>
      </c>
      <c r="J576" s="16" t="e">
        <f>#REF!</f>
        <v>#REF!</v>
      </c>
      <c r="K576" s="16"/>
      <c r="L576" s="16"/>
      <c r="M576" s="16"/>
      <c r="N576" s="16"/>
      <c r="O576" s="16"/>
      <c r="P576" s="17"/>
      <c r="Q576" s="17"/>
    </row>
    <row r="577" spans="1:17" ht="22.5" customHeight="1" thickTop="1" thickBot="1" x14ac:dyDescent="0.25">
      <c r="A577" s="16" t="e">
        <f>#REF!</f>
        <v>#REF!</v>
      </c>
      <c r="B577" s="16" t="e">
        <f>#REF!</f>
        <v>#REF!</v>
      </c>
      <c r="C577" s="16" t="e">
        <f>#REF!</f>
        <v>#REF!</v>
      </c>
      <c r="D577" s="16" t="e">
        <f>#REF!</f>
        <v>#REF!</v>
      </c>
      <c r="E577" s="16" t="e">
        <f>#REF!</f>
        <v>#REF!</v>
      </c>
      <c r="F577" s="16" t="e">
        <f>#REF!</f>
        <v>#REF!</v>
      </c>
      <c r="G577" s="16" t="e">
        <f>#REF!</f>
        <v>#REF!</v>
      </c>
      <c r="H577" s="16" t="e">
        <f>#REF!</f>
        <v>#REF!</v>
      </c>
      <c r="I577" s="16" t="e">
        <f>#REF!</f>
        <v>#REF!</v>
      </c>
      <c r="J577" s="16" t="e">
        <f>#REF!</f>
        <v>#REF!</v>
      </c>
      <c r="K577" s="16" t="s">
        <v>744</v>
      </c>
      <c r="L577" s="16"/>
      <c r="M577" s="16"/>
      <c r="N577" s="16"/>
      <c r="O577" s="16"/>
      <c r="P577" s="17"/>
      <c r="Q577" s="17"/>
    </row>
    <row r="578" spans="1:17" ht="22.5" customHeight="1" thickTop="1" thickBot="1" x14ac:dyDescent="0.25">
      <c r="A578" s="16" t="e">
        <f>#REF!</f>
        <v>#REF!</v>
      </c>
      <c r="B578" s="16" t="e">
        <f>#REF!</f>
        <v>#REF!</v>
      </c>
      <c r="C578" s="16" t="e">
        <f>#REF!</f>
        <v>#REF!</v>
      </c>
      <c r="D578" s="16" t="e">
        <f>#REF!</f>
        <v>#REF!</v>
      </c>
      <c r="E578" s="16" t="e">
        <f>#REF!</f>
        <v>#REF!</v>
      </c>
      <c r="F578" s="16" t="e">
        <f>#REF!</f>
        <v>#REF!</v>
      </c>
      <c r="G578" s="16" t="e">
        <f>#REF!</f>
        <v>#REF!</v>
      </c>
      <c r="H578" s="16" t="e">
        <f>#REF!</f>
        <v>#REF!</v>
      </c>
      <c r="I578" s="16" t="e">
        <f>#REF!</f>
        <v>#REF!</v>
      </c>
      <c r="J578" s="16" t="e">
        <f>#REF!</f>
        <v>#REF!</v>
      </c>
      <c r="K578" s="16"/>
      <c r="L578" s="16"/>
      <c r="M578" s="16"/>
      <c r="N578" s="16"/>
      <c r="O578" s="16"/>
      <c r="P578" s="17"/>
      <c r="Q578" s="17"/>
    </row>
    <row r="579" spans="1:17" ht="22.5" customHeight="1" thickTop="1" thickBot="1" x14ac:dyDescent="0.25">
      <c r="A579" s="16" t="e">
        <f>#REF!</f>
        <v>#REF!</v>
      </c>
      <c r="B579" s="16" t="e">
        <f>#REF!</f>
        <v>#REF!</v>
      </c>
      <c r="C579" s="16" t="e">
        <f>#REF!</f>
        <v>#REF!</v>
      </c>
      <c r="D579" s="16" t="e">
        <f>#REF!</f>
        <v>#REF!</v>
      </c>
      <c r="E579" s="16" t="e">
        <f>#REF!</f>
        <v>#REF!</v>
      </c>
      <c r="F579" s="16" t="e">
        <f>#REF!</f>
        <v>#REF!</v>
      </c>
      <c r="G579" s="16" t="e">
        <f>#REF!</f>
        <v>#REF!</v>
      </c>
      <c r="H579" s="16" t="e">
        <f>#REF!</f>
        <v>#REF!</v>
      </c>
      <c r="I579" s="16" t="e">
        <f>#REF!</f>
        <v>#REF!</v>
      </c>
      <c r="J579" s="16" t="e">
        <f>#REF!</f>
        <v>#REF!</v>
      </c>
      <c r="K579" s="16" t="s">
        <v>744</v>
      </c>
      <c r="L579" s="16"/>
      <c r="M579" s="16"/>
      <c r="N579" s="16"/>
      <c r="O579" s="16"/>
      <c r="P579" s="17"/>
      <c r="Q579" s="17"/>
    </row>
    <row r="580" spans="1:17" ht="22.5" customHeight="1" thickTop="1" thickBot="1" x14ac:dyDescent="0.25">
      <c r="A580" s="16" t="e">
        <f>#REF!</f>
        <v>#REF!</v>
      </c>
      <c r="B580" s="16" t="e">
        <f>#REF!</f>
        <v>#REF!</v>
      </c>
      <c r="C580" s="16" t="e">
        <f>#REF!</f>
        <v>#REF!</v>
      </c>
      <c r="D580" s="16" t="e">
        <f>#REF!</f>
        <v>#REF!</v>
      </c>
      <c r="E580" s="16" t="e">
        <f>#REF!</f>
        <v>#REF!</v>
      </c>
      <c r="F580" s="16" t="e">
        <f>#REF!</f>
        <v>#REF!</v>
      </c>
      <c r="G580" s="16" t="e">
        <f>#REF!</f>
        <v>#REF!</v>
      </c>
      <c r="H580" s="16" t="e">
        <f>#REF!</f>
        <v>#REF!</v>
      </c>
      <c r="I580" s="16" t="e">
        <f>#REF!</f>
        <v>#REF!</v>
      </c>
      <c r="J580" s="16" t="e">
        <f>#REF!</f>
        <v>#REF!</v>
      </c>
      <c r="K580" s="16" t="s">
        <v>744</v>
      </c>
      <c r="L580" s="16"/>
      <c r="M580" s="16"/>
      <c r="N580" s="16"/>
      <c r="O580" s="16"/>
      <c r="P580" s="17"/>
      <c r="Q580" s="17"/>
    </row>
    <row r="581" spans="1:17" ht="22.5" customHeight="1" thickTop="1" thickBot="1" x14ac:dyDescent="0.25">
      <c r="A581" s="16" t="e">
        <f>#REF!</f>
        <v>#REF!</v>
      </c>
      <c r="B581" s="16" t="e">
        <f>#REF!</f>
        <v>#REF!</v>
      </c>
      <c r="C581" s="16" t="e">
        <f>#REF!</f>
        <v>#REF!</v>
      </c>
      <c r="D581" s="16" t="e">
        <f>#REF!</f>
        <v>#REF!</v>
      </c>
      <c r="E581" s="16" t="e">
        <f>#REF!</f>
        <v>#REF!</v>
      </c>
      <c r="F581" s="16" t="e">
        <f>#REF!</f>
        <v>#REF!</v>
      </c>
      <c r="G581" s="16" t="e">
        <f>#REF!</f>
        <v>#REF!</v>
      </c>
      <c r="H581" s="16" t="e">
        <f>#REF!</f>
        <v>#REF!</v>
      </c>
      <c r="I581" s="16" t="e">
        <f>#REF!</f>
        <v>#REF!</v>
      </c>
      <c r="J581" s="16" t="e">
        <f>#REF!</f>
        <v>#REF!</v>
      </c>
      <c r="K581" s="16"/>
      <c r="L581" s="16"/>
      <c r="M581" s="16"/>
      <c r="N581" s="16"/>
      <c r="O581" s="16"/>
      <c r="P581" s="17"/>
      <c r="Q581" s="17"/>
    </row>
    <row r="582" spans="1:17" ht="22.5" customHeight="1" thickTop="1" thickBot="1" x14ac:dyDescent="0.25">
      <c r="A582" s="16" t="e">
        <f>#REF!</f>
        <v>#REF!</v>
      </c>
      <c r="B582" s="16" t="e">
        <f>#REF!</f>
        <v>#REF!</v>
      </c>
      <c r="C582" s="16" t="e">
        <f>#REF!</f>
        <v>#REF!</v>
      </c>
      <c r="D582" s="16" t="e">
        <f>#REF!</f>
        <v>#REF!</v>
      </c>
      <c r="E582" s="16" t="e">
        <f>#REF!</f>
        <v>#REF!</v>
      </c>
      <c r="F582" s="16" t="e">
        <f>#REF!</f>
        <v>#REF!</v>
      </c>
      <c r="G582" s="16" t="e">
        <f>#REF!</f>
        <v>#REF!</v>
      </c>
      <c r="H582" s="16" t="e">
        <f>#REF!</f>
        <v>#REF!</v>
      </c>
      <c r="I582" s="16" t="e">
        <f>#REF!</f>
        <v>#REF!</v>
      </c>
      <c r="J582" s="16" t="e">
        <f>#REF!</f>
        <v>#REF!</v>
      </c>
      <c r="K582" s="16" t="s">
        <v>744</v>
      </c>
      <c r="L582" s="16"/>
      <c r="M582" s="16"/>
      <c r="N582" s="16"/>
      <c r="O582" s="16"/>
      <c r="P582" s="17"/>
      <c r="Q582" s="17"/>
    </row>
    <row r="583" spans="1:17" ht="22.5" customHeight="1" thickTop="1" thickBot="1" x14ac:dyDescent="0.25">
      <c r="A583" s="16" t="e">
        <f>#REF!</f>
        <v>#REF!</v>
      </c>
      <c r="B583" s="16" t="e">
        <f>#REF!</f>
        <v>#REF!</v>
      </c>
      <c r="C583" s="16" t="e">
        <f>#REF!</f>
        <v>#REF!</v>
      </c>
      <c r="D583" s="16" t="e">
        <f>#REF!</f>
        <v>#REF!</v>
      </c>
      <c r="E583" s="16" t="e">
        <f>#REF!</f>
        <v>#REF!</v>
      </c>
      <c r="F583" s="16" t="e">
        <f>#REF!</f>
        <v>#REF!</v>
      </c>
      <c r="G583" s="16" t="e">
        <f>#REF!</f>
        <v>#REF!</v>
      </c>
      <c r="H583" s="16" t="e">
        <f>#REF!</f>
        <v>#REF!</v>
      </c>
      <c r="I583" s="16" t="e">
        <f>#REF!</f>
        <v>#REF!</v>
      </c>
      <c r="J583" s="16" t="e">
        <f>#REF!</f>
        <v>#REF!</v>
      </c>
      <c r="K583" s="16" t="s">
        <v>744</v>
      </c>
      <c r="L583" s="16"/>
      <c r="M583" s="16"/>
      <c r="N583" s="16"/>
      <c r="O583" s="16"/>
      <c r="P583" s="17"/>
      <c r="Q583" s="17"/>
    </row>
    <row r="584" spans="1:17" ht="22.5" customHeight="1" thickTop="1" thickBot="1" x14ac:dyDescent="0.25">
      <c r="A584" s="16" t="e">
        <f>#REF!</f>
        <v>#REF!</v>
      </c>
      <c r="B584" s="16" t="e">
        <f>#REF!</f>
        <v>#REF!</v>
      </c>
      <c r="C584" s="16" t="e">
        <f>#REF!</f>
        <v>#REF!</v>
      </c>
      <c r="D584" s="16" t="e">
        <f>#REF!</f>
        <v>#REF!</v>
      </c>
      <c r="E584" s="16" t="e">
        <f>#REF!</f>
        <v>#REF!</v>
      </c>
      <c r="F584" s="16" t="e">
        <f>#REF!</f>
        <v>#REF!</v>
      </c>
      <c r="G584" s="16" t="e">
        <f>#REF!</f>
        <v>#REF!</v>
      </c>
      <c r="H584" s="16" t="e">
        <f>#REF!</f>
        <v>#REF!</v>
      </c>
      <c r="I584" s="16" t="e">
        <f>#REF!</f>
        <v>#REF!</v>
      </c>
      <c r="J584" s="16" t="e">
        <f>#REF!</f>
        <v>#REF!</v>
      </c>
      <c r="K584" s="16" t="s">
        <v>744</v>
      </c>
      <c r="L584" s="16"/>
      <c r="M584" s="16"/>
      <c r="N584" s="16"/>
      <c r="O584" s="16"/>
      <c r="P584" s="19"/>
      <c r="Q584" s="19"/>
    </row>
    <row r="585" spans="1:17" ht="22.5" customHeight="1" thickTop="1" thickBot="1" x14ac:dyDescent="0.25">
      <c r="A585" s="16" t="e">
        <f>#REF!</f>
        <v>#REF!</v>
      </c>
      <c r="B585" s="16" t="e">
        <f>#REF!</f>
        <v>#REF!</v>
      </c>
      <c r="C585" s="16" t="e">
        <f>#REF!</f>
        <v>#REF!</v>
      </c>
      <c r="D585" s="16" t="e">
        <f>#REF!</f>
        <v>#REF!</v>
      </c>
      <c r="E585" s="16" t="e">
        <f>#REF!</f>
        <v>#REF!</v>
      </c>
      <c r="F585" s="16" t="e">
        <f>#REF!</f>
        <v>#REF!</v>
      </c>
      <c r="G585" s="16" t="e">
        <f>#REF!</f>
        <v>#REF!</v>
      </c>
      <c r="H585" s="16" t="e">
        <f>#REF!</f>
        <v>#REF!</v>
      </c>
      <c r="I585" s="16" t="e">
        <f>#REF!</f>
        <v>#REF!</v>
      </c>
      <c r="J585" s="16" t="e">
        <f>#REF!</f>
        <v>#REF!</v>
      </c>
      <c r="K585" s="16" t="s">
        <v>744</v>
      </c>
      <c r="L585" s="16"/>
      <c r="M585" s="16"/>
      <c r="N585" s="16"/>
      <c r="O585" s="16"/>
      <c r="P585" s="20"/>
      <c r="Q585" s="20"/>
    </row>
    <row r="586" spans="1:17" ht="22.5" customHeight="1" thickTop="1" thickBot="1" x14ac:dyDescent="0.25">
      <c r="A586" s="16" t="e">
        <f>#REF!</f>
        <v>#REF!</v>
      </c>
      <c r="B586" s="16" t="e">
        <f>#REF!</f>
        <v>#REF!</v>
      </c>
      <c r="C586" s="16" t="e">
        <f>#REF!</f>
        <v>#REF!</v>
      </c>
      <c r="D586" s="16" t="e">
        <f>#REF!</f>
        <v>#REF!</v>
      </c>
      <c r="E586" s="16" t="e">
        <f>#REF!</f>
        <v>#REF!</v>
      </c>
      <c r="F586" s="16" t="e">
        <f>#REF!</f>
        <v>#REF!</v>
      </c>
      <c r="G586" s="16" t="e">
        <f>#REF!</f>
        <v>#REF!</v>
      </c>
      <c r="H586" s="16" t="e">
        <f>#REF!</f>
        <v>#REF!</v>
      </c>
      <c r="I586" s="16" t="e">
        <f>#REF!</f>
        <v>#REF!</v>
      </c>
      <c r="J586" s="16" t="e">
        <f>#REF!</f>
        <v>#REF!</v>
      </c>
      <c r="K586" s="16" t="s">
        <v>744</v>
      </c>
      <c r="L586" s="16"/>
      <c r="M586" s="16"/>
      <c r="N586" s="16"/>
      <c r="O586" s="16"/>
      <c r="P586" s="19"/>
      <c r="Q586" s="19"/>
    </row>
    <row r="587" spans="1:17" ht="22.5" customHeight="1" thickTop="1" thickBot="1" x14ac:dyDescent="0.25">
      <c r="A587" s="16" t="e">
        <f>#REF!</f>
        <v>#REF!</v>
      </c>
      <c r="B587" s="16" t="e">
        <f>#REF!</f>
        <v>#REF!</v>
      </c>
      <c r="C587" s="16" t="e">
        <f>#REF!</f>
        <v>#REF!</v>
      </c>
      <c r="D587" s="16" t="e">
        <f>#REF!</f>
        <v>#REF!</v>
      </c>
      <c r="E587" s="16" t="e">
        <f>#REF!</f>
        <v>#REF!</v>
      </c>
      <c r="F587" s="16" t="e">
        <f>#REF!</f>
        <v>#REF!</v>
      </c>
      <c r="G587" s="16" t="e">
        <f>#REF!</f>
        <v>#REF!</v>
      </c>
      <c r="H587" s="16" t="e">
        <f>#REF!</f>
        <v>#REF!</v>
      </c>
      <c r="I587" s="16" t="e">
        <f>#REF!</f>
        <v>#REF!</v>
      </c>
      <c r="J587" s="16" t="e">
        <f>#REF!</f>
        <v>#REF!</v>
      </c>
      <c r="K587" s="16" t="s">
        <v>744</v>
      </c>
      <c r="L587" s="16"/>
      <c r="M587" s="16"/>
      <c r="N587" s="16"/>
      <c r="O587" s="16"/>
      <c r="P587" s="18"/>
      <c r="Q587" s="18"/>
    </row>
    <row r="588" spans="1:17" ht="22.5" customHeight="1" thickTop="1" thickBot="1" x14ac:dyDescent="0.25">
      <c r="A588" s="16" t="e">
        <f>#REF!</f>
        <v>#REF!</v>
      </c>
      <c r="B588" s="16" t="e">
        <f>#REF!</f>
        <v>#REF!</v>
      </c>
      <c r="C588" s="16" t="e">
        <f>#REF!</f>
        <v>#REF!</v>
      </c>
      <c r="D588" s="16" t="e">
        <f>#REF!</f>
        <v>#REF!</v>
      </c>
      <c r="E588" s="16" t="e">
        <f>#REF!</f>
        <v>#REF!</v>
      </c>
      <c r="F588" s="16" t="e">
        <f>#REF!</f>
        <v>#REF!</v>
      </c>
      <c r="G588" s="16" t="e">
        <f>#REF!</f>
        <v>#REF!</v>
      </c>
      <c r="H588" s="16" t="e">
        <f>#REF!</f>
        <v>#REF!</v>
      </c>
      <c r="I588" s="16" t="e">
        <f>#REF!</f>
        <v>#REF!</v>
      </c>
      <c r="J588" s="16" t="e">
        <f>#REF!</f>
        <v>#REF!</v>
      </c>
      <c r="K588" s="16"/>
      <c r="L588" s="16"/>
      <c r="M588" s="16"/>
      <c r="N588" s="16"/>
      <c r="O588" s="16"/>
      <c r="P588" s="18"/>
      <c r="Q588" s="18"/>
    </row>
    <row r="589" spans="1:17" ht="22.5" customHeight="1" thickTop="1" thickBot="1" x14ac:dyDescent="0.25">
      <c r="A589" s="16" t="e">
        <f>#REF!</f>
        <v>#REF!</v>
      </c>
      <c r="B589" s="16" t="e">
        <f>#REF!</f>
        <v>#REF!</v>
      </c>
      <c r="C589" s="16" t="e">
        <f>#REF!</f>
        <v>#REF!</v>
      </c>
      <c r="D589" s="16" t="e">
        <f>#REF!</f>
        <v>#REF!</v>
      </c>
      <c r="E589" s="16" t="e">
        <f>#REF!</f>
        <v>#REF!</v>
      </c>
      <c r="F589" s="16" t="e">
        <f>#REF!</f>
        <v>#REF!</v>
      </c>
      <c r="G589" s="16" t="e">
        <f>#REF!</f>
        <v>#REF!</v>
      </c>
      <c r="H589" s="16" t="e">
        <f>#REF!</f>
        <v>#REF!</v>
      </c>
      <c r="I589" s="16" t="e">
        <f>#REF!</f>
        <v>#REF!</v>
      </c>
      <c r="J589" s="16" t="e">
        <f>#REF!</f>
        <v>#REF!</v>
      </c>
      <c r="K589" s="16"/>
      <c r="L589" s="16"/>
      <c r="M589" s="16"/>
      <c r="N589" s="16"/>
      <c r="O589" s="16"/>
      <c r="P589" s="18"/>
      <c r="Q589" s="18"/>
    </row>
    <row r="590" spans="1:17" ht="22.5" customHeight="1" thickTop="1" thickBot="1" x14ac:dyDescent="0.25">
      <c r="A590" s="16" t="e">
        <f>#REF!</f>
        <v>#REF!</v>
      </c>
      <c r="B590" s="16" t="e">
        <f>#REF!</f>
        <v>#REF!</v>
      </c>
      <c r="C590" s="16" t="e">
        <f>#REF!</f>
        <v>#REF!</v>
      </c>
      <c r="D590" s="16" t="e">
        <f>#REF!</f>
        <v>#REF!</v>
      </c>
      <c r="E590" s="16" t="e">
        <f>#REF!</f>
        <v>#REF!</v>
      </c>
      <c r="F590" s="16" t="e">
        <f>#REF!</f>
        <v>#REF!</v>
      </c>
      <c r="G590" s="16" t="e">
        <f>#REF!</f>
        <v>#REF!</v>
      </c>
      <c r="H590" s="16" t="e">
        <f>#REF!</f>
        <v>#REF!</v>
      </c>
      <c r="I590" s="16" t="e">
        <f>#REF!</f>
        <v>#REF!</v>
      </c>
      <c r="J590" s="16" t="e">
        <f>#REF!</f>
        <v>#REF!</v>
      </c>
      <c r="K590" s="16"/>
      <c r="L590" s="16"/>
      <c r="M590" s="16"/>
      <c r="N590" s="16"/>
      <c r="O590" s="16"/>
      <c r="P590" s="17"/>
      <c r="Q590" s="17"/>
    </row>
    <row r="591" spans="1:17" ht="22.5" customHeight="1" thickTop="1" thickBot="1" x14ac:dyDescent="0.25">
      <c r="A591" s="16" t="e">
        <f>#REF!</f>
        <v>#REF!</v>
      </c>
      <c r="B591" s="16" t="e">
        <f>#REF!</f>
        <v>#REF!</v>
      </c>
      <c r="C591" s="16" t="e">
        <f>#REF!</f>
        <v>#REF!</v>
      </c>
      <c r="D591" s="16" t="e">
        <f>#REF!</f>
        <v>#REF!</v>
      </c>
      <c r="E591" s="16" t="e">
        <f>#REF!</f>
        <v>#REF!</v>
      </c>
      <c r="F591" s="16" t="e">
        <f>#REF!</f>
        <v>#REF!</v>
      </c>
      <c r="G591" s="16" t="e">
        <f>#REF!</f>
        <v>#REF!</v>
      </c>
      <c r="H591" s="16" t="e">
        <f>#REF!</f>
        <v>#REF!</v>
      </c>
      <c r="I591" s="16" t="e">
        <f>#REF!</f>
        <v>#REF!</v>
      </c>
      <c r="J591" s="16" t="e">
        <f>#REF!</f>
        <v>#REF!</v>
      </c>
      <c r="K591" s="16"/>
      <c r="L591" s="16"/>
      <c r="M591" s="16"/>
      <c r="N591" s="16"/>
      <c r="O591" s="16"/>
      <c r="P591" s="17"/>
      <c r="Q591" s="17"/>
    </row>
    <row r="592" spans="1:17" ht="22.5" customHeight="1" thickTop="1" thickBot="1" x14ac:dyDescent="0.25">
      <c r="A592" s="16" t="e">
        <f>#REF!</f>
        <v>#REF!</v>
      </c>
      <c r="B592" s="16" t="e">
        <f>#REF!</f>
        <v>#REF!</v>
      </c>
      <c r="C592" s="16" t="e">
        <f>#REF!</f>
        <v>#REF!</v>
      </c>
      <c r="D592" s="16" t="e">
        <f>#REF!</f>
        <v>#REF!</v>
      </c>
      <c r="E592" s="16" t="e">
        <f>#REF!</f>
        <v>#REF!</v>
      </c>
      <c r="F592" s="16" t="e">
        <f>#REF!</f>
        <v>#REF!</v>
      </c>
      <c r="G592" s="16" t="e">
        <f>#REF!</f>
        <v>#REF!</v>
      </c>
      <c r="H592" s="16" t="e">
        <f>#REF!</f>
        <v>#REF!</v>
      </c>
      <c r="I592" s="16" t="e">
        <f>#REF!</f>
        <v>#REF!</v>
      </c>
      <c r="J592" s="16" t="e">
        <f>#REF!</f>
        <v>#REF!</v>
      </c>
      <c r="K592" s="16" t="s">
        <v>744</v>
      </c>
      <c r="L592" s="16"/>
      <c r="M592" s="16"/>
      <c r="N592" s="16"/>
      <c r="O592" s="16"/>
      <c r="P592" s="19"/>
      <c r="Q592" s="19"/>
    </row>
    <row r="593" spans="1:17" ht="22.5" customHeight="1" thickTop="1" thickBot="1" x14ac:dyDescent="0.25">
      <c r="A593" s="16" t="e">
        <f>#REF!</f>
        <v>#REF!</v>
      </c>
      <c r="B593" s="16" t="e">
        <f>#REF!</f>
        <v>#REF!</v>
      </c>
      <c r="C593" s="16" t="e">
        <f>#REF!</f>
        <v>#REF!</v>
      </c>
      <c r="D593" s="16" t="e">
        <f>#REF!</f>
        <v>#REF!</v>
      </c>
      <c r="E593" s="16" t="e">
        <f>#REF!</f>
        <v>#REF!</v>
      </c>
      <c r="F593" s="16" t="e">
        <f>#REF!</f>
        <v>#REF!</v>
      </c>
      <c r="G593" s="16" t="e">
        <f>#REF!</f>
        <v>#REF!</v>
      </c>
      <c r="H593" s="16" t="e">
        <f>#REF!</f>
        <v>#REF!</v>
      </c>
      <c r="I593" s="16" t="e">
        <f>#REF!</f>
        <v>#REF!</v>
      </c>
      <c r="J593" s="16" t="e">
        <f>#REF!</f>
        <v>#REF!</v>
      </c>
      <c r="K593" s="16" t="s">
        <v>744</v>
      </c>
      <c r="L593" s="16"/>
      <c r="M593" s="16"/>
      <c r="N593" s="16"/>
      <c r="O593" s="16"/>
      <c r="P593" s="19"/>
      <c r="Q593" s="19"/>
    </row>
    <row r="594" spans="1:17" ht="22.5" customHeight="1" thickTop="1" thickBot="1" x14ac:dyDescent="0.25">
      <c r="A594" s="16" t="e">
        <f>#REF!</f>
        <v>#REF!</v>
      </c>
      <c r="B594" s="16" t="e">
        <f>#REF!</f>
        <v>#REF!</v>
      </c>
      <c r="C594" s="16" t="e">
        <f>#REF!</f>
        <v>#REF!</v>
      </c>
      <c r="D594" s="16" t="e">
        <f>#REF!</f>
        <v>#REF!</v>
      </c>
      <c r="E594" s="16" t="e">
        <f>#REF!</f>
        <v>#REF!</v>
      </c>
      <c r="F594" s="16" t="e">
        <f>#REF!</f>
        <v>#REF!</v>
      </c>
      <c r="G594" s="16" t="e">
        <f>#REF!</f>
        <v>#REF!</v>
      </c>
      <c r="H594" s="16" t="e">
        <f>#REF!</f>
        <v>#REF!</v>
      </c>
      <c r="I594" s="16" t="e">
        <f>#REF!</f>
        <v>#REF!</v>
      </c>
      <c r="J594" s="16" t="e">
        <f>#REF!</f>
        <v>#REF!</v>
      </c>
      <c r="K594" s="16" t="s">
        <v>744</v>
      </c>
      <c r="L594" s="16"/>
      <c r="M594" s="16"/>
      <c r="N594" s="16"/>
      <c r="O594" s="16"/>
      <c r="P594" s="17"/>
      <c r="Q594" s="17"/>
    </row>
    <row r="595" spans="1:17" ht="22.5" customHeight="1" thickTop="1" thickBot="1" x14ac:dyDescent="0.25">
      <c r="A595" s="16" t="e">
        <f>#REF!</f>
        <v>#REF!</v>
      </c>
      <c r="B595" s="16" t="e">
        <f>#REF!</f>
        <v>#REF!</v>
      </c>
      <c r="C595" s="16" t="e">
        <f>#REF!</f>
        <v>#REF!</v>
      </c>
      <c r="D595" s="16" t="e">
        <f>#REF!</f>
        <v>#REF!</v>
      </c>
      <c r="E595" s="16" t="e">
        <f>#REF!</f>
        <v>#REF!</v>
      </c>
      <c r="F595" s="16" t="e">
        <f>#REF!</f>
        <v>#REF!</v>
      </c>
      <c r="G595" s="16" t="e">
        <f>#REF!</f>
        <v>#REF!</v>
      </c>
      <c r="H595" s="16" t="e">
        <f>#REF!</f>
        <v>#REF!</v>
      </c>
      <c r="I595" s="16" t="e">
        <f>#REF!</f>
        <v>#REF!</v>
      </c>
      <c r="J595" s="16" t="e">
        <f>#REF!</f>
        <v>#REF!</v>
      </c>
      <c r="K595" s="16" t="s">
        <v>744</v>
      </c>
      <c r="L595" s="16"/>
      <c r="M595" s="16"/>
      <c r="N595" s="16"/>
      <c r="O595" s="16"/>
      <c r="P595" s="17"/>
      <c r="Q595" s="17"/>
    </row>
    <row r="596" spans="1:17" ht="22.5" customHeight="1" thickTop="1" thickBot="1" x14ac:dyDescent="0.25">
      <c r="A596" s="16" t="e">
        <f>#REF!</f>
        <v>#REF!</v>
      </c>
      <c r="B596" s="16" t="e">
        <f>#REF!</f>
        <v>#REF!</v>
      </c>
      <c r="C596" s="16" t="e">
        <f>#REF!</f>
        <v>#REF!</v>
      </c>
      <c r="D596" s="16" t="e">
        <f>#REF!</f>
        <v>#REF!</v>
      </c>
      <c r="E596" s="16" t="e">
        <f>#REF!</f>
        <v>#REF!</v>
      </c>
      <c r="F596" s="16" t="e">
        <f>#REF!</f>
        <v>#REF!</v>
      </c>
      <c r="G596" s="16" t="e">
        <f>#REF!</f>
        <v>#REF!</v>
      </c>
      <c r="H596" s="16" t="e">
        <f>#REF!</f>
        <v>#REF!</v>
      </c>
      <c r="I596" s="16" t="e">
        <f>#REF!</f>
        <v>#REF!</v>
      </c>
      <c r="J596" s="16" t="e">
        <f>#REF!</f>
        <v>#REF!</v>
      </c>
      <c r="K596" s="16" t="s">
        <v>744</v>
      </c>
      <c r="L596" s="16"/>
      <c r="M596" s="16"/>
      <c r="N596" s="16"/>
      <c r="O596" s="16"/>
      <c r="P596" s="20"/>
      <c r="Q596" s="20"/>
    </row>
    <row r="597" spans="1:17" ht="22.5" customHeight="1" thickTop="1" thickBot="1" x14ac:dyDescent="0.25">
      <c r="A597" s="16" t="e">
        <f>#REF!</f>
        <v>#REF!</v>
      </c>
      <c r="B597" s="16" t="e">
        <f>#REF!</f>
        <v>#REF!</v>
      </c>
      <c r="C597" s="16" t="e">
        <f>#REF!</f>
        <v>#REF!</v>
      </c>
      <c r="D597" s="16" t="e">
        <f>#REF!</f>
        <v>#REF!</v>
      </c>
      <c r="E597" s="16" t="e">
        <f>#REF!</f>
        <v>#REF!</v>
      </c>
      <c r="F597" s="16" t="e">
        <f>#REF!</f>
        <v>#REF!</v>
      </c>
      <c r="G597" s="16" t="e">
        <f>#REF!</f>
        <v>#REF!</v>
      </c>
      <c r="H597" s="16" t="e">
        <f>#REF!</f>
        <v>#REF!</v>
      </c>
      <c r="I597" s="16" t="e">
        <f>#REF!</f>
        <v>#REF!</v>
      </c>
      <c r="J597" s="16" t="e">
        <f>#REF!</f>
        <v>#REF!</v>
      </c>
      <c r="K597" s="16" t="s">
        <v>744</v>
      </c>
      <c r="L597" s="16"/>
      <c r="M597" s="16"/>
      <c r="N597" s="16"/>
      <c r="O597" s="16"/>
      <c r="P597" s="17"/>
      <c r="Q597" s="17"/>
    </row>
    <row r="598" spans="1:17" ht="22.5" customHeight="1" thickTop="1" thickBot="1" x14ac:dyDescent="0.25">
      <c r="A598" s="16" t="e">
        <f>#REF!</f>
        <v>#REF!</v>
      </c>
      <c r="B598" s="16" t="e">
        <f>#REF!</f>
        <v>#REF!</v>
      </c>
      <c r="C598" s="16" t="e">
        <f>#REF!</f>
        <v>#REF!</v>
      </c>
      <c r="D598" s="16" t="e">
        <f>#REF!</f>
        <v>#REF!</v>
      </c>
      <c r="E598" s="16" t="e">
        <f>#REF!</f>
        <v>#REF!</v>
      </c>
      <c r="F598" s="16" t="e">
        <f>#REF!</f>
        <v>#REF!</v>
      </c>
      <c r="G598" s="16" t="e">
        <f>#REF!</f>
        <v>#REF!</v>
      </c>
      <c r="H598" s="16" t="e">
        <f>#REF!</f>
        <v>#REF!</v>
      </c>
      <c r="I598" s="16" t="e">
        <f>#REF!</f>
        <v>#REF!</v>
      </c>
      <c r="J598" s="16" t="e">
        <f>#REF!</f>
        <v>#REF!</v>
      </c>
      <c r="K598" s="16" t="s">
        <v>744</v>
      </c>
      <c r="L598" s="16"/>
      <c r="M598" s="16"/>
      <c r="N598" s="16"/>
      <c r="O598" s="16"/>
      <c r="P598" s="17"/>
      <c r="Q598" s="17"/>
    </row>
    <row r="599" spans="1:17" ht="22.5" customHeight="1" thickTop="1" thickBot="1" x14ac:dyDescent="0.25">
      <c r="A599" s="16" t="e">
        <f>#REF!</f>
        <v>#REF!</v>
      </c>
      <c r="B599" s="16" t="e">
        <f>#REF!</f>
        <v>#REF!</v>
      </c>
      <c r="C599" s="16" t="e">
        <f>#REF!</f>
        <v>#REF!</v>
      </c>
      <c r="D599" s="16" t="e">
        <f>#REF!</f>
        <v>#REF!</v>
      </c>
      <c r="E599" s="16" t="e">
        <f>#REF!</f>
        <v>#REF!</v>
      </c>
      <c r="F599" s="16" t="e">
        <f>#REF!</f>
        <v>#REF!</v>
      </c>
      <c r="G599" s="16" t="e">
        <f>#REF!</f>
        <v>#REF!</v>
      </c>
      <c r="H599" s="16" t="e">
        <f>#REF!</f>
        <v>#REF!</v>
      </c>
      <c r="I599" s="16" t="e">
        <f>#REF!</f>
        <v>#REF!</v>
      </c>
      <c r="J599" s="16" t="e">
        <f>#REF!</f>
        <v>#REF!</v>
      </c>
      <c r="K599" s="16" t="s">
        <v>744</v>
      </c>
      <c r="L599" s="16"/>
      <c r="M599" s="16"/>
      <c r="N599" s="16"/>
      <c r="O599" s="16"/>
      <c r="P599" s="20"/>
      <c r="Q599" s="20"/>
    </row>
    <row r="600" spans="1:17" ht="22.5" customHeight="1" thickTop="1" thickBot="1" x14ac:dyDescent="0.25">
      <c r="A600" s="16" t="e">
        <f>#REF!</f>
        <v>#REF!</v>
      </c>
      <c r="B600" s="16" t="e">
        <f>#REF!</f>
        <v>#REF!</v>
      </c>
      <c r="C600" s="16" t="e">
        <f>#REF!</f>
        <v>#REF!</v>
      </c>
      <c r="D600" s="16" t="e">
        <f>#REF!</f>
        <v>#REF!</v>
      </c>
      <c r="E600" s="16" t="e">
        <f>#REF!</f>
        <v>#REF!</v>
      </c>
      <c r="F600" s="16" t="e">
        <f>#REF!</f>
        <v>#REF!</v>
      </c>
      <c r="G600" s="16" t="e">
        <f>#REF!</f>
        <v>#REF!</v>
      </c>
      <c r="H600" s="16" t="e">
        <f>#REF!</f>
        <v>#REF!</v>
      </c>
      <c r="I600" s="16" t="e">
        <f>#REF!</f>
        <v>#REF!</v>
      </c>
      <c r="J600" s="16" t="e">
        <f>#REF!</f>
        <v>#REF!</v>
      </c>
      <c r="K600" s="16" t="s">
        <v>744</v>
      </c>
      <c r="L600" s="16"/>
      <c r="M600" s="16"/>
      <c r="N600" s="16"/>
      <c r="O600" s="16"/>
      <c r="P600" s="20"/>
      <c r="Q600" s="20"/>
    </row>
    <row r="601" spans="1:17" ht="22.5" customHeight="1" thickTop="1" thickBot="1" x14ac:dyDescent="0.25">
      <c r="A601" s="16" t="e">
        <f>#REF!</f>
        <v>#REF!</v>
      </c>
      <c r="B601" s="16" t="e">
        <f>#REF!</f>
        <v>#REF!</v>
      </c>
      <c r="C601" s="16" t="e">
        <f>#REF!</f>
        <v>#REF!</v>
      </c>
      <c r="D601" s="16" t="e">
        <f>#REF!</f>
        <v>#REF!</v>
      </c>
      <c r="E601" s="16" t="e">
        <f>#REF!</f>
        <v>#REF!</v>
      </c>
      <c r="F601" s="16" t="e">
        <f>#REF!</f>
        <v>#REF!</v>
      </c>
      <c r="G601" s="16" t="e">
        <f>#REF!</f>
        <v>#REF!</v>
      </c>
      <c r="H601" s="16" t="e">
        <f>#REF!</f>
        <v>#REF!</v>
      </c>
      <c r="I601" s="16" t="e">
        <f>#REF!</f>
        <v>#REF!</v>
      </c>
      <c r="J601" s="16" t="e">
        <f>#REF!</f>
        <v>#REF!</v>
      </c>
      <c r="K601" s="16" t="s">
        <v>744</v>
      </c>
      <c r="L601" s="16"/>
      <c r="M601" s="16"/>
      <c r="N601" s="16"/>
      <c r="O601" s="16"/>
      <c r="P601" s="18"/>
      <c r="Q601" s="18"/>
    </row>
    <row r="602" spans="1:17" ht="22.5" customHeight="1" thickTop="1" thickBot="1" x14ac:dyDescent="0.25">
      <c r="A602" s="16" t="e">
        <f>#REF!</f>
        <v>#REF!</v>
      </c>
      <c r="B602" s="16" t="e">
        <f>#REF!</f>
        <v>#REF!</v>
      </c>
      <c r="C602" s="16" t="e">
        <f>#REF!</f>
        <v>#REF!</v>
      </c>
      <c r="D602" s="16" t="e">
        <f>#REF!</f>
        <v>#REF!</v>
      </c>
      <c r="E602" s="16" t="e">
        <f>#REF!</f>
        <v>#REF!</v>
      </c>
      <c r="F602" s="16" t="e">
        <f>#REF!</f>
        <v>#REF!</v>
      </c>
      <c r="G602" s="16" t="e">
        <f>#REF!</f>
        <v>#REF!</v>
      </c>
      <c r="H602" s="16" t="e">
        <f>#REF!</f>
        <v>#REF!</v>
      </c>
      <c r="I602" s="16" t="e">
        <f>#REF!</f>
        <v>#REF!</v>
      </c>
      <c r="J602" s="16" t="e">
        <f>#REF!</f>
        <v>#REF!</v>
      </c>
      <c r="K602" s="16" t="s">
        <v>744</v>
      </c>
      <c r="L602" s="16"/>
      <c r="M602" s="16"/>
      <c r="N602" s="16"/>
      <c r="O602" s="16"/>
      <c r="P602" s="17"/>
      <c r="Q602" s="17"/>
    </row>
    <row r="603" spans="1:17" ht="22.5" customHeight="1" thickTop="1" thickBot="1" x14ac:dyDescent="0.25">
      <c r="A603" s="16" t="e">
        <f>#REF!</f>
        <v>#REF!</v>
      </c>
      <c r="B603" s="16" t="e">
        <f>#REF!</f>
        <v>#REF!</v>
      </c>
      <c r="C603" s="16" t="e">
        <f>#REF!</f>
        <v>#REF!</v>
      </c>
      <c r="D603" s="16" t="e">
        <f>#REF!</f>
        <v>#REF!</v>
      </c>
      <c r="E603" s="16" t="e">
        <f>#REF!</f>
        <v>#REF!</v>
      </c>
      <c r="F603" s="16" t="e">
        <f>#REF!</f>
        <v>#REF!</v>
      </c>
      <c r="G603" s="16" t="e">
        <f>#REF!</f>
        <v>#REF!</v>
      </c>
      <c r="H603" s="16" t="e">
        <f>#REF!</f>
        <v>#REF!</v>
      </c>
      <c r="I603" s="16" t="e">
        <f>#REF!</f>
        <v>#REF!</v>
      </c>
      <c r="J603" s="16" t="e">
        <f>#REF!</f>
        <v>#REF!</v>
      </c>
      <c r="K603" s="16" t="s">
        <v>744</v>
      </c>
      <c r="L603" s="16"/>
      <c r="M603" s="16"/>
      <c r="N603" s="16"/>
      <c r="O603" s="16"/>
      <c r="P603" s="20"/>
      <c r="Q603" s="20"/>
    </row>
    <row r="604" spans="1:17" ht="22.5" customHeight="1" thickTop="1" thickBot="1" x14ac:dyDescent="0.25">
      <c r="A604" s="16" t="e">
        <f>#REF!</f>
        <v>#REF!</v>
      </c>
      <c r="B604" s="16" t="e">
        <f>#REF!</f>
        <v>#REF!</v>
      </c>
      <c r="C604" s="16" t="e">
        <f>#REF!</f>
        <v>#REF!</v>
      </c>
      <c r="D604" s="16" t="e">
        <f>#REF!</f>
        <v>#REF!</v>
      </c>
      <c r="E604" s="16" t="e">
        <f>#REF!</f>
        <v>#REF!</v>
      </c>
      <c r="F604" s="16" t="e">
        <f>#REF!</f>
        <v>#REF!</v>
      </c>
      <c r="G604" s="16" t="e">
        <f>#REF!</f>
        <v>#REF!</v>
      </c>
      <c r="H604" s="16" t="e">
        <f>#REF!</f>
        <v>#REF!</v>
      </c>
      <c r="I604" s="16" t="e">
        <f>#REF!</f>
        <v>#REF!</v>
      </c>
      <c r="J604" s="16" t="e">
        <f>#REF!</f>
        <v>#REF!</v>
      </c>
      <c r="K604" s="16" t="s">
        <v>744</v>
      </c>
      <c r="L604" s="16"/>
      <c r="M604" s="16"/>
      <c r="N604" s="16"/>
      <c r="O604" s="16"/>
      <c r="P604" s="17"/>
      <c r="Q604" s="17"/>
    </row>
    <row r="605" spans="1:17" ht="22.5" customHeight="1" thickTop="1" thickBot="1" x14ac:dyDescent="0.25">
      <c r="A605" s="16" t="e">
        <f>#REF!</f>
        <v>#REF!</v>
      </c>
      <c r="B605" s="16" t="e">
        <f>#REF!</f>
        <v>#REF!</v>
      </c>
      <c r="C605" s="16" t="e">
        <f>#REF!</f>
        <v>#REF!</v>
      </c>
      <c r="D605" s="16" t="e">
        <f>#REF!</f>
        <v>#REF!</v>
      </c>
      <c r="E605" s="16" t="e">
        <f>#REF!</f>
        <v>#REF!</v>
      </c>
      <c r="F605" s="16" t="e">
        <f>#REF!</f>
        <v>#REF!</v>
      </c>
      <c r="G605" s="16" t="e">
        <f>#REF!</f>
        <v>#REF!</v>
      </c>
      <c r="H605" s="16" t="e">
        <f>#REF!</f>
        <v>#REF!</v>
      </c>
      <c r="I605" s="16" t="e">
        <f>#REF!</f>
        <v>#REF!</v>
      </c>
      <c r="J605" s="16" t="e">
        <f>#REF!</f>
        <v>#REF!</v>
      </c>
      <c r="K605" s="16" t="s">
        <v>744</v>
      </c>
      <c r="L605" s="16"/>
      <c r="M605" s="16"/>
      <c r="N605" s="16"/>
      <c r="O605" s="16"/>
      <c r="P605" s="17"/>
      <c r="Q605" s="17"/>
    </row>
    <row r="606" spans="1:17" ht="22.5" customHeight="1" thickTop="1" thickBot="1" x14ac:dyDescent="0.25">
      <c r="A606" s="16" t="e">
        <f>#REF!</f>
        <v>#REF!</v>
      </c>
      <c r="B606" s="16" t="e">
        <f>#REF!</f>
        <v>#REF!</v>
      </c>
      <c r="C606" s="16" t="e">
        <f>#REF!</f>
        <v>#REF!</v>
      </c>
      <c r="D606" s="16" t="e">
        <f>#REF!</f>
        <v>#REF!</v>
      </c>
      <c r="E606" s="16" t="e">
        <f>#REF!</f>
        <v>#REF!</v>
      </c>
      <c r="F606" s="16" t="e">
        <f>#REF!</f>
        <v>#REF!</v>
      </c>
      <c r="G606" s="16" t="e">
        <f>#REF!</f>
        <v>#REF!</v>
      </c>
      <c r="H606" s="16" t="e">
        <f>#REF!</f>
        <v>#REF!</v>
      </c>
      <c r="I606" s="16" t="e">
        <f>#REF!</f>
        <v>#REF!</v>
      </c>
      <c r="J606" s="16" t="e">
        <f>#REF!</f>
        <v>#REF!</v>
      </c>
      <c r="K606" s="16" t="s">
        <v>744</v>
      </c>
      <c r="L606" s="16"/>
      <c r="M606" s="16"/>
      <c r="N606" s="16"/>
      <c r="O606" s="16"/>
      <c r="P606" s="17"/>
      <c r="Q606" s="17"/>
    </row>
    <row r="607" spans="1:17" ht="22.5" customHeight="1" thickTop="1" thickBot="1" x14ac:dyDescent="0.25">
      <c r="A607" s="16" t="e">
        <f>#REF!</f>
        <v>#REF!</v>
      </c>
      <c r="B607" s="16" t="e">
        <f>#REF!</f>
        <v>#REF!</v>
      </c>
      <c r="C607" s="16" t="e">
        <f>#REF!</f>
        <v>#REF!</v>
      </c>
      <c r="D607" s="16" t="e">
        <f>#REF!</f>
        <v>#REF!</v>
      </c>
      <c r="E607" s="16" t="e">
        <f>#REF!</f>
        <v>#REF!</v>
      </c>
      <c r="F607" s="16" t="e">
        <f>#REF!</f>
        <v>#REF!</v>
      </c>
      <c r="G607" s="16" t="e">
        <f>#REF!</f>
        <v>#REF!</v>
      </c>
      <c r="H607" s="16" t="e">
        <f>#REF!</f>
        <v>#REF!</v>
      </c>
      <c r="I607" s="16" t="e">
        <f>#REF!</f>
        <v>#REF!</v>
      </c>
      <c r="J607" s="16" t="e">
        <f>#REF!</f>
        <v>#REF!</v>
      </c>
      <c r="K607" s="16" t="s">
        <v>744</v>
      </c>
      <c r="L607" s="16"/>
      <c r="M607" s="16"/>
      <c r="N607" s="16"/>
      <c r="O607" s="16"/>
      <c r="P607" s="17"/>
      <c r="Q607" s="17"/>
    </row>
    <row r="608" spans="1:17" ht="22.5" customHeight="1" thickTop="1" thickBot="1" x14ac:dyDescent="0.25">
      <c r="A608" s="16" t="e">
        <f>#REF!</f>
        <v>#REF!</v>
      </c>
      <c r="B608" s="16" t="e">
        <f>#REF!</f>
        <v>#REF!</v>
      </c>
      <c r="C608" s="16" t="e">
        <f>#REF!</f>
        <v>#REF!</v>
      </c>
      <c r="D608" s="16" t="e">
        <f>#REF!</f>
        <v>#REF!</v>
      </c>
      <c r="E608" s="16" t="e">
        <f>#REF!</f>
        <v>#REF!</v>
      </c>
      <c r="F608" s="16" t="e">
        <f>#REF!</f>
        <v>#REF!</v>
      </c>
      <c r="G608" s="16" t="e">
        <f>#REF!</f>
        <v>#REF!</v>
      </c>
      <c r="H608" s="16" t="e">
        <f>#REF!</f>
        <v>#REF!</v>
      </c>
      <c r="I608" s="16" t="e">
        <f>#REF!</f>
        <v>#REF!</v>
      </c>
      <c r="J608" s="16" t="e">
        <f>#REF!</f>
        <v>#REF!</v>
      </c>
      <c r="K608" s="16" t="s">
        <v>744</v>
      </c>
      <c r="L608" s="16"/>
      <c r="M608" s="16"/>
      <c r="N608" s="16"/>
      <c r="O608" s="16"/>
      <c r="P608" s="17"/>
      <c r="Q608" s="17"/>
    </row>
    <row r="609" spans="1:17" ht="22.5" customHeight="1" thickTop="1" thickBot="1" x14ac:dyDescent="0.25">
      <c r="A609" s="16" t="e">
        <f>#REF!</f>
        <v>#REF!</v>
      </c>
      <c r="B609" s="16" t="e">
        <f>#REF!</f>
        <v>#REF!</v>
      </c>
      <c r="C609" s="16" t="e">
        <f>#REF!</f>
        <v>#REF!</v>
      </c>
      <c r="D609" s="16" t="e">
        <f>#REF!</f>
        <v>#REF!</v>
      </c>
      <c r="E609" s="16" t="e">
        <f>#REF!</f>
        <v>#REF!</v>
      </c>
      <c r="F609" s="16" t="e">
        <f>#REF!</f>
        <v>#REF!</v>
      </c>
      <c r="G609" s="16" t="e">
        <f>#REF!</f>
        <v>#REF!</v>
      </c>
      <c r="H609" s="16" t="e">
        <f>#REF!</f>
        <v>#REF!</v>
      </c>
      <c r="I609" s="16" t="e">
        <f>#REF!</f>
        <v>#REF!</v>
      </c>
      <c r="J609" s="16" t="e">
        <f>#REF!</f>
        <v>#REF!</v>
      </c>
      <c r="K609" s="16" t="s">
        <v>744</v>
      </c>
      <c r="L609" s="16"/>
      <c r="M609" s="16"/>
      <c r="N609" s="16"/>
      <c r="O609" s="16"/>
      <c r="P609" s="19"/>
      <c r="Q609" s="19"/>
    </row>
    <row r="610" spans="1:17" ht="22.5" customHeight="1" thickTop="1" thickBot="1" x14ac:dyDescent="0.25">
      <c r="A610" s="16" t="e">
        <f>#REF!</f>
        <v>#REF!</v>
      </c>
      <c r="B610" s="16" t="e">
        <f>#REF!</f>
        <v>#REF!</v>
      </c>
      <c r="C610" s="16" t="e">
        <f>#REF!</f>
        <v>#REF!</v>
      </c>
      <c r="D610" s="16" t="e">
        <f>#REF!</f>
        <v>#REF!</v>
      </c>
      <c r="E610" s="16" t="e">
        <f>#REF!</f>
        <v>#REF!</v>
      </c>
      <c r="F610" s="16" t="e">
        <f>#REF!</f>
        <v>#REF!</v>
      </c>
      <c r="G610" s="16" t="e">
        <f>#REF!</f>
        <v>#REF!</v>
      </c>
      <c r="H610" s="16" t="e">
        <f>#REF!</f>
        <v>#REF!</v>
      </c>
      <c r="I610" s="16" t="e">
        <f>#REF!</f>
        <v>#REF!</v>
      </c>
      <c r="J610" s="16" t="e">
        <f>#REF!</f>
        <v>#REF!</v>
      </c>
      <c r="K610" s="16" t="s">
        <v>744</v>
      </c>
      <c r="L610" s="16"/>
      <c r="M610" s="16"/>
      <c r="N610" s="16"/>
      <c r="O610" s="16"/>
      <c r="P610" s="17"/>
      <c r="Q610" s="17"/>
    </row>
    <row r="611" spans="1:17" ht="22.5" customHeight="1" thickTop="1" thickBot="1" x14ac:dyDescent="0.25">
      <c r="A611" s="16" t="e">
        <f>#REF!</f>
        <v>#REF!</v>
      </c>
      <c r="B611" s="16" t="e">
        <f>#REF!</f>
        <v>#REF!</v>
      </c>
      <c r="C611" s="16" t="e">
        <f>#REF!</f>
        <v>#REF!</v>
      </c>
      <c r="D611" s="16" t="e">
        <f>#REF!</f>
        <v>#REF!</v>
      </c>
      <c r="E611" s="16" t="e">
        <f>#REF!</f>
        <v>#REF!</v>
      </c>
      <c r="F611" s="16" t="e">
        <f>#REF!</f>
        <v>#REF!</v>
      </c>
      <c r="G611" s="16" t="e">
        <f>#REF!</f>
        <v>#REF!</v>
      </c>
      <c r="H611" s="16" t="e">
        <f>#REF!</f>
        <v>#REF!</v>
      </c>
      <c r="I611" s="16" t="e">
        <f>#REF!</f>
        <v>#REF!</v>
      </c>
      <c r="J611" s="16" t="e">
        <f>#REF!</f>
        <v>#REF!</v>
      </c>
      <c r="K611" s="16" t="s">
        <v>744</v>
      </c>
      <c r="L611" s="16"/>
      <c r="M611" s="16"/>
      <c r="N611" s="16"/>
      <c r="O611" s="16"/>
      <c r="P611" s="17"/>
      <c r="Q611" s="17"/>
    </row>
    <row r="612" spans="1:17" ht="22.5" customHeight="1" thickTop="1" thickBot="1" x14ac:dyDescent="0.25">
      <c r="A612" s="16" t="e">
        <f>#REF!</f>
        <v>#REF!</v>
      </c>
      <c r="B612" s="16" t="e">
        <f>#REF!</f>
        <v>#REF!</v>
      </c>
      <c r="C612" s="16" t="e">
        <f>#REF!</f>
        <v>#REF!</v>
      </c>
      <c r="D612" s="16" t="e">
        <f>#REF!</f>
        <v>#REF!</v>
      </c>
      <c r="E612" s="16" t="e">
        <f>#REF!</f>
        <v>#REF!</v>
      </c>
      <c r="F612" s="16" t="e">
        <f>#REF!</f>
        <v>#REF!</v>
      </c>
      <c r="G612" s="16" t="e">
        <f>#REF!</f>
        <v>#REF!</v>
      </c>
      <c r="H612" s="16" t="e">
        <f>#REF!</f>
        <v>#REF!</v>
      </c>
      <c r="I612" s="16" t="e">
        <f>#REF!</f>
        <v>#REF!</v>
      </c>
      <c r="J612" s="16" t="e">
        <f>#REF!</f>
        <v>#REF!</v>
      </c>
      <c r="K612" s="16" t="s">
        <v>744</v>
      </c>
      <c r="L612" s="16"/>
      <c r="M612" s="16"/>
      <c r="N612" s="16"/>
      <c r="O612" s="16"/>
      <c r="P612" s="19"/>
      <c r="Q612" s="19"/>
    </row>
    <row r="613" spans="1:17" ht="22.5" customHeight="1" thickTop="1" thickBot="1" x14ac:dyDescent="0.25">
      <c r="A613" s="16" t="e">
        <f>#REF!</f>
        <v>#REF!</v>
      </c>
      <c r="B613" s="16" t="e">
        <f>#REF!</f>
        <v>#REF!</v>
      </c>
      <c r="C613" s="16" t="e">
        <f>#REF!</f>
        <v>#REF!</v>
      </c>
      <c r="D613" s="16" t="e">
        <f>#REF!</f>
        <v>#REF!</v>
      </c>
      <c r="E613" s="16" t="e">
        <f>#REF!</f>
        <v>#REF!</v>
      </c>
      <c r="F613" s="16" t="e">
        <f>#REF!</f>
        <v>#REF!</v>
      </c>
      <c r="G613" s="16" t="e">
        <f>#REF!</f>
        <v>#REF!</v>
      </c>
      <c r="H613" s="16" t="e">
        <f>#REF!</f>
        <v>#REF!</v>
      </c>
      <c r="I613" s="16" t="e">
        <f>#REF!</f>
        <v>#REF!</v>
      </c>
      <c r="J613" s="16" t="e">
        <f>#REF!</f>
        <v>#REF!</v>
      </c>
      <c r="K613" s="16" t="s">
        <v>744</v>
      </c>
      <c r="L613" s="16"/>
      <c r="M613" s="16"/>
      <c r="N613" s="16"/>
      <c r="O613" s="16"/>
      <c r="P613" s="17"/>
      <c r="Q613" s="17"/>
    </row>
    <row r="614" spans="1:17" ht="22.5" customHeight="1" thickTop="1" thickBot="1" x14ac:dyDescent="0.25">
      <c r="A614" s="16" t="e">
        <f>#REF!</f>
        <v>#REF!</v>
      </c>
      <c r="B614" s="16" t="e">
        <f>#REF!</f>
        <v>#REF!</v>
      </c>
      <c r="C614" s="16" t="e">
        <f>#REF!</f>
        <v>#REF!</v>
      </c>
      <c r="D614" s="16" t="e">
        <f>#REF!</f>
        <v>#REF!</v>
      </c>
      <c r="E614" s="16" t="e">
        <f>#REF!</f>
        <v>#REF!</v>
      </c>
      <c r="F614" s="16" t="e">
        <f>#REF!</f>
        <v>#REF!</v>
      </c>
      <c r="G614" s="16" t="e">
        <f>#REF!</f>
        <v>#REF!</v>
      </c>
      <c r="H614" s="16" t="e">
        <f>#REF!</f>
        <v>#REF!</v>
      </c>
      <c r="I614" s="16" t="e">
        <f>#REF!</f>
        <v>#REF!</v>
      </c>
      <c r="J614" s="16" t="e">
        <f>#REF!</f>
        <v>#REF!</v>
      </c>
      <c r="K614" s="16" t="s">
        <v>744</v>
      </c>
      <c r="L614" s="16"/>
      <c r="M614" s="16"/>
      <c r="N614" s="16"/>
      <c r="O614" s="16"/>
      <c r="P614" s="20"/>
      <c r="Q614" s="20"/>
    </row>
    <row r="615" spans="1:17" ht="22.5" customHeight="1" thickTop="1" thickBot="1" x14ac:dyDescent="0.25">
      <c r="A615" s="16" t="e">
        <f>#REF!</f>
        <v>#REF!</v>
      </c>
      <c r="B615" s="16" t="e">
        <f>#REF!</f>
        <v>#REF!</v>
      </c>
      <c r="C615" s="16" t="e">
        <f>#REF!</f>
        <v>#REF!</v>
      </c>
      <c r="D615" s="16" t="e">
        <f>#REF!</f>
        <v>#REF!</v>
      </c>
      <c r="E615" s="16" t="e">
        <f>#REF!</f>
        <v>#REF!</v>
      </c>
      <c r="F615" s="16" t="e">
        <f>#REF!</f>
        <v>#REF!</v>
      </c>
      <c r="G615" s="16" t="e">
        <f>#REF!</f>
        <v>#REF!</v>
      </c>
      <c r="H615" s="16" t="e">
        <f>#REF!</f>
        <v>#REF!</v>
      </c>
      <c r="I615" s="16" t="e">
        <f>#REF!</f>
        <v>#REF!</v>
      </c>
      <c r="J615" s="16" t="e">
        <f>#REF!</f>
        <v>#REF!</v>
      </c>
      <c r="K615" s="16"/>
      <c r="L615" s="16"/>
      <c r="M615" s="16"/>
      <c r="N615" s="16"/>
      <c r="O615" s="16"/>
      <c r="P615" s="17"/>
      <c r="Q615" s="17"/>
    </row>
    <row r="616" spans="1:17" ht="22.5" customHeight="1" thickTop="1" thickBot="1" x14ac:dyDescent="0.25">
      <c r="A616" s="16" t="e">
        <f>#REF!</f>
        <v>#REF!</v>
      </c>
      <c r="B616" s="16" t="e">
        <f>#REF!</f>
        <v>#REF!</v>
      </c>
      <c r="C616" s="16" t="e">
        <f>#REF!</f>
        <v>#REF!</v>
      </c>
      <c r="D616" s="16" t="e">
        <f>#REF!</f>
        <v>#REF!</v>
      </c>
      <c r="E616" s="16" t="e">
        <f>#REF!</f>
        <v>#REF!</v>
      </c>
      <c r="F616" s="16" t="e">
        <f>#REF!</f>
        <v>#REF!</v>
      </c>
      <c r="G616" s="16" t="e">
        <f>#REF!</f>
        <v>#REF!</v>
      </c>
      <c r="H616" s="16" t="e">
        <f>#REF!</f>
        <v>#REF!</v>
      </c>
      <c r="I616" s="16" t="e">
        <f>#REF!</f>
        <v>#REF!</v>
      </c>
      <c r="J616" s="16" t="e">
        <f>#REF!</f>
        <v>#REF!</v>
      </c>
      <c r="K616" s="16" t="s">
        <v>744</v>
      </c>
      <c r="L616" s="16"/>
      <c r="M616" s="16"/>
      <c r="N616" s="16"/>
      <c r="O616" s="16"/>
      <c r="P616" s="20"/>
      <c r="Q616" s="20"/>
    </row>
    <row r="617" spans="1:17" ht="22.5" customHeight="1" thickTop="1" thickBot="1" x14ac:dyDescent="0.25">
      <c r="A617" s="16" t="e">
        <f>#REF!</f>
        <v>#REF!</v>
      </c>
      <c r="B617" s="16" t="e">
        <f>#REF!</f>
        <v>#REF!</v>
      </c>
      <c r="C617" s="16" t="e">
        <f>#REF!</f>
        <v>#REF!</v>
      </c>
      <c r="D617" s="16" t="e">
        <f>#REF!</f>
        <v>#REF!</v>
      </c>
      <c r="E617" s="16" t="e">
        <f>#REF!</f>
        <v>#REF!</v>
      </c>
      <c r="F617" s="16" t="e">
        <f>#REF!</f>
        <v>#REF!</v>
      </c>
      <c r="G617" s="16" t="e">
        <f>#REF!</f>
        <v>#REF!</v>
      </c>
      <c r="H617" s="16" t="e">
        <f>#REF!</f>
        <v>#REF!</v>
      </c>
      <c r="I617" s="16" t="e">
        <f>#REF!</f>
        <v>#REF!</v>
      </c>
      <c r="J617" s="16" t="e">
        <f>#REF!</f>
        <v>#REF!</v>
      </c>
      <c r="K617" s="16" t="s">
        <v>744</v>
      </c>
      <c r="L617" s="16"/>
      <c r="M617" s="16"/>
      <c r="N617" s="16"/>
      <c r="O617" s="16"/>
      <c r="P617" s="17"/>
      <c r="Q617" s="17"/>
    </row>
    <row r="618" spans="1:17" ht="22.5" customHeight="1" thickTop="1" thickBot="1" x14ac:dyDescent="0.25">
      <c r="A618" s="16" t="e">
        <f>#REF!</f>
        <v>#REF!</v>
      </c>
      <c r="B618" s="16" t="e">
        <f>#REF!</f>
        <v>#REF!</v>
      </c>
      <c r="C618" s="16" t="e">
        <f>#REF!</f>
        <v>#REF!</v>
      </c>
      <c r="D618" s="16" t="e">
        <f>#REF!</f>
        <v>#REF!</v>
      </c>
      <c r="E618" s="16" t="e">
        <f>#REF!</f>
        <v>#REF!</v>
      </c>
      <c r="F618" s="16" t="e">
        <f>#REF!</f>
        <v>#REF!</v>
      </c>
      <c r="G618" s="16" t="e">
        <f>#REF!</f>
        <v>#REF!</v>
      </c>
      <c r="H618" s="16" t="e">
        <f>#REF!</f>
        <v>#REF!</v>
      </c>
      <c r="I618" s="16" t="e">
        <f>#REF!</f>
        <v>#REF!</v>
      </c>
      <c r="J618" s="16" t="e">
        <f>#REF!</f>
        <v>#REF!</v>
      </c>
      <c r="K618" s="16" t="s">
        <v>744</v>
      </c>
      <c r="L618" s="16"/>
      <c r="M618" s="16"/>
      <c r="N618" s="16"/>
      <c r="O618" s="16"/>
      <c r="P618" s="17"/>
      <c r="Q618" s="17"/>
    </row>
    <row r="619" spans="1:17" ht="22.5" customHeight="1" thickTop="1" thickBot="1" x14ac:dyDescent="0.25">
      <c r="A619" s="16" t="e">
        <f>#REF!</f>
        <v>#REF!</v>
      </c>
      <c r="B619" s="16" t="e">
        <f>#REF!</f>
        <v>#REF!</v>
      </c>
      <c r="C619" s="16" t="e">
        <f>#REF!</f>
        <v>#REF!</v>
      </c>
      <c r="D619" s="16" t="e">
        <f>#REF!</f>
        <v>#REF!</v>
      </c>
      <c r="E619" s="16" t="e">
        <f>#REF!</f>
        <v>#REF!</v>
      </c>
      <c r="F619" s="16" t="e">
        <f>#REF!</f>
        <v>#REF!</v>
      </c>
      <c r="G619" s="16" t="e">
        <f>#REF!</f>
        <v>#REF!</v>
      </c>
      <c r="H619" s="16" t="e">
        <f>#REF!</f>
        <v>#REF!</v>
      </c>
      <c r="I619" s="16" t="e">
        <f>#REF!</f>
        <v>#REF!</v>
      </c>
      <c r="J619" s="16" t="e">
        <f>#REF!</f>
        <v>#REF!</v>
      </c>
      <c r="K619" s="16" t="s">
        <v>744</v>
      </c>
      <c r="L619" s="16"/>
      <c r="M619" s="16"/>
      <c r="N619" s="16"/>
      <c r="O619" s="16"/>
      <c r="P619" s="17"/>
      <c r="Q619" s="17"/>
    </row>
    <row r="620" spans="1:17" ht="22.5" customHeight="1" thickTop="1" thickBot="1" x14ac:dyDescent="0.25">
      <c r="A620" s="16" t="e">
        <f>#REF!</f>
        <v>#REF!</v>
      </c>
      <c r="B620" s="16" t="e">
        <f>#REF!</f>
        <v>#REF!</v>
      </c>
      <c r="C620" s="16" t="e">
        <f>#REF!</f>
        <v>#REF!</v>
      </c>
      <c r="D620" s="16" t="e">
        <f>#REF!</f>
        <v>#REF!</v>
      </c>
      <c r="E620" s="16" t="e">
        <f>#REF!</f>
        <v>#REF!</v>
      </c>
      <c r="F620" s="16" t="e">
        <f>#REF!</f>
        <v>#REF!</v>
      </c>
      <c r="G620" s="16" t="e">
        <f>#REF!</f>
        <v>#REF!</v>
      </c>
      <c r="H620" s="16" t="e">
        <f>#REF!</f>
        <v>#REF!</v>
      </c>
      <c r="I620" s="16" t="e">
        <f>#REF!</f>
        <v>#REF!</v>
      </c>
      <c r="J620" s="16" t="e">
        <f>#REF!</f>
        <v>#REF!</v>
      </c>
      <c r="K620" s="16" t="s">
        <v>744</v>
      </c>
      <c r="L620" s="16"/>
      <c r="M620" s="16"/>
      <c r="N620" s="16"/>
      <c r="O620" s="16"/>
      <c r="P620" s="17"/>
      <c r="Q620" s="17"/>
    </row>
    <row r="621" spans="1:17" ht="22.5" customHeight="1" thickTop="1" thickBot="1" x14ac:dyDescent="0.25">
      <c r="A621" s="16" t="e">
        <f>#REF!</f>
        <v>#REF!</v>
      </c>
      <c r="B621" s="16" t="e">
        <f>#REF!</f>
        <v>#REF!</v>
      </c>
      <c r="C621" s="16" t="e">
        <f>#REF!</f>
        <v>#REF!</v>
      </c>
      <c r="D621" s="16" t="e">
        <f>#REF!</f>
        <v>#REF!</v>
      </c>
      <c r="E621" s="16" t="e">
        <f>#REF!</f>
        <v>#REF!</v>
      </c>
      <c r="F621" s="16" t="e">
        <f>#REF!</f>
        <v>#REF!</v>
      </c>
      <c r="G621" s="16" t="e">
        <f>#REF!</f>
        <v>#REF!</v>
      </c>
      <c r="H621" s="16" t="e">
        <f>#REF!</f>
        <v>#REF!</v>
      </c>
      <c r="I621" s="16" t="e">
        <f>#REF!</f>
        <v>#REF!</v>
      </c>
      <c r="J621" s="16" t="e">
        <f>#REF!</f>
        <v>#REF!</v>
      </c>
      <c r="K621" s="16" t="s">
        <v>744</v>
      </c>
      <c r="L621" s="16"/>
      <c r="M621" s="16"/>
      <c r="N621" s="16"/>
      <c r="O621" s="16"/>
      <c r="P621" s="17"/>
      <c r="Q621" s="17"/>
    </row>
    <row r="622" spans="1:17" ht="22.5" customHeight="1" thickTop="1" thickBot="1" x14ac:dyDescent="0.25">
      <c r="A622" s="16" t="e">
        <f>#REF!</f>
        <v>#REF!</v>
      </c>
      <c r="B622" s="16" t="e">
        <f>#REF!</f>
        <v>#REF!</v>
      </c>
      <c r="C622" s="16" t="e">
        <f>#REF!</f>
        <v>#REF!</v>
      </c>
      <c r="D622" s="16" t="e">
        <f>#REF!</f>
        <v>#REF!</v>
      </c>
      <c r="E622" s="16" t="e">
        <f>#REF!</f>
        <v>#REF!</v>
      </c>
      <c r="F622" s="16" t="e">
        <f>#REF!</f>
        <v>#REF!</v>
      </c>
      <c r="G622" s="16" t="e">
        <f>#REF!</f>
        <v>#REF!</v>
      </c>
      <c r="H622" s="16" t="e">
        <f>#REF!</f>
        <v>#REF!</v>
      </c>
      <c r="I622" s="16" t="e">
        <f>#REF!</f>
        <v>#REF!</v>
      </c>
      <c r="J622" s="16" t="e">
        <f>#REF!</f>
        <v>#REF!</v>
      </c>
      <c r="K622" s="16" t="s">
        <v>744</v>
      </c>
      <c r="L622" s="16"/>
      <c r="M622" s="16"/>
      <c r="N622" s="16"/>
      <c r="O622" s="16"/>
      <c r="P622" s="17"/>
      <c r="Q622" s="17"/>
    </row>
    <row r="623" spans="1:17" ht="22.5" customHeight="1" thickTop="1" thickBot="1" x14ac:dyDescent="0.25">
      <c r="A623" s="16" t="e">
        <f>#REF!</f>
        <v>#REF!</v>
      </c>
      <c r="B623" s="16" t="e">
        <f>#REF!</f>
        <v>#REF!</v>
      </c>
      <c r="C623" s="16" t="e">
        <f>#REF!</f>
        <v>#REF!</v>
      </c>
      <c r="D623" s="16" t="e">
        <f>#REF!</f>
        <v>#REF!</v>
      </c>
      <c r="E623" s="16" t="e">
        <f>#REF!</f>
        <v>#REF!</v>
      </c>
      <c r="F623" s="16" t="e">
        <f>#REF!</f>
        <v>#REF!</v>
      </c>
      <c r="G623" s="16" t="e">
        <f>#REF!</f>
        <v>#REF!</v>
      </c>
      <c r="H623" s="16" t="e">
        <f>#REF!</f>
        <v>#REF!</v>
      </c>
      <c r="I623" s="16" t="e">
        <f>#REF!</f>
        <v>#REF!</v>
      </c>
      <c r="J623" s="16" t="e">
        <f>#REF!</f>
        <v>#REF!</v>
      </c>
      <c r="K623" s="16"/>
      <c r="L623" s="16"/>
      <c r="M623" s="16"/>
      <c r="N623" s="16"/>
      <c r="O623" s="16"/>
      <c r="P623" s="17"/>
      <c r="Q623" s="17"/>
    </row>
    <row r="624" spans="1:17" ht="22.5" customHeight="1" thickTop="1" thickBot="1" x14ac:dyDescent="0.25">
      <c r="A624" s="16" t="e">
        <f>#REF!</f>
        <v>#REF!</v>
      </c>
      <c r="B624" s="16" t="e">
        <f>#REF!</f>
        <v>#REF!</v>
      </c>
      <c r="C624" s="16" t="e">
        <f>#REF!</f>
        <v>#REF!</v>
      </c>
      <c r="D624" s="16" t="e">
        <f>#REF!</f>
        <v>#REF!</v>
      </c>
      <c r="E624" s="16" t="e">
        <f>#REF!</f>
        <v>#REF!</v>
      </c>
      <c r="F624" s="16" t="e">
        <f>#REF!</f>
        <v>#REF!</v>
      </c>
      <c r="G624" s="16" t="e">
        <f>#REF!</f>
        <v>#REF!</v>
      </c>
      <c r="H624" s="16" t="e">
        <f>#REF!</f>
        <v>#REF!</v>
      </c>
      <c r="I624" s="16" t="e">
        <f>#REF!</f>
        <v>#REF!</v>
      </c>
      <c r="J624" s="16" t="e">
        <f>#REF!</f>
        <v>#REF!</v>
      </c>
      <c r="K624" s="16" t="s">
        <v>744</v>
      </c>
      <c r="L624" s="16"/>
      <c r="M624" s="16"/>
      <c r="N624" s="16"/>
      <c r="O624" s="16"/>
      <c r="P624" s="17"/>
      <c r="Q624" s="17"/>
    </row>
    <row r="625" spans="1:17" ht="22.5" customHeight="1" thickTop="1" thickBot="1" x14ac:dyDescent="0.25">
      <c r="A625" s="16" t="e">
        <f>#REF!</f>
        <v>#REF!</v>
      </c>
      <c r="B625" s="16" t="e">
        <f>#REF!</f>
        <v>#REF!</v>
      </c>
      <c r="C625" s="16" t="e">
        <f>#REF!</f>
        <v>#REF!</v>
      </c>
      <c r="D625" s="16" t="e">
        <f>#REF!</f>
        <v>#REF!</v>
      </c>
      <c r="E625" s="16" t="e">
        <f>#REF!</f>
        <v>#REF!</v>
      </c>
      <c r="F625" s="16" t="e">
        <f>#REF!</f>
        <v>#REF!</v>
      </c>
      <c r="G625" s="16" t="e">
        <f>#REF!</f>
        <v>#REF!</v>
      </c>
      <c r="H625" s="16" t="e">
        <f>#REF!</f>
        <v>#REF!</v>
      </c>
      <c r="I625" s="16" t="e">
        <f>#REF!</f>
        <v>#REF!</v>
      </c>
      <c r="J625" s="16" t="e">
        <f>#REF!</f>
        <v>#REF!</v>
      </c>
      <c r="K625" s="16" t="s">
        <v>744</v>
      </c>
      <c r="L625" s="16"/>
      <c r="M625" s="16"/>
      <c r="N625" s="16"/>
      <c r="O625" s="16"/>
      <c r="P625" s="20"/>
      <c r="Q625" s="20"/>
    </row>
    <row r="626" spans="1:17" ht="22.5" customHeight="1" thickTop="1" thickBot="1" x14ac:dyDescent="0.25">
      <c r="A626" s="16" t="e">
        <f>#REF!</f>
        <v>#REF!</v>
      </c>
      <c r="B626" s="16" t="e">
        <f>#REF!</f>
        <v>#REF!</v>
      </c>
      <c r="C626" s="16" t="e">
        <f>#REF!</f>
        <v>#REF!</v>
      </c>
      <c r="D626" s="16" t="e">
        <f>#REF!</f>
        <v>#REF!</v>
      </c>
      <c r="E626" s="16" t="e">
        <f>#REF!</f>
        <v>#REF!</v>
      </c>
      <c r="F626" s="16" t="e">
        <f>#REF!</f>
        <v>#REF!</v>
      </c>
      <c r="G626" s="16" t="e">
        <f>#REF!</f>
        <v>#REF!</v>
      </c>
      <c r="H626" s="16" t="e">
        <f>#REF!</f>
        <v>#REF!</v>
      </c>
      <c r="I626" s="16" t="e">
        <f>#REF!</f>
        <v>#REF!</v>
      </c>
      <c r="J626" s="16" t="e">
        <f>#REF!</f>
        <v>#REF!</v>
      </c>
      <c r="K626" s="16" t="s">
        <v>744</v>
      </c>
      <c r="L626" s="16"/>
      <c r="M626" s="16"/>
      <c r="N626" s="16"/>
      <c r="O626" s="16"/>
      <c r="P626" s="17"/>
      <c r="Q626" s="17"/>
    </row>
    <row r="627" spans="1:17" ht="22.5" customHeight="1" thickTop="1" thickBot="1" x14ac:dyDescent="0.25">
      <c r="A627" s="16" t="e">
        <f>#REF!</f>
        <v>#REF!</v>
      </c>
      <c r="B627" s="16" t="e">
        <f>#REF!</f>
        <v>#REF!</v>
      </c>
      <c r="C627" s="16" t="e">
        <f>#REF!</f>
        <v>#REF!</v>
      </c>
      <c r="D627" s="16" t="e">
        <f>#REF!</f>
        <v>#REF!</v>
      </c>
      <c r="E627" s="16" t="e">
        <f>#REF!</f>
        <v>#REF!</v>
      </c>
      <c r="F627" s="16" t="e">
        <f>#REF!</f>
        <v>#REF!</v>
      </c>
      <c r="G627" s="16" t="e">
        <f>#REF!</f>
        <v>#REF!</v>
      </c>
      <c r="H627" s="16" t="e">
        <f>#REF!</f>
        <v>#REF!</v>
      </c>
      <c r="I627" s="16" t="e">
        <f>#REF!</f>
        <v>#REF!</v>
      </c>
      <c r="J627" s="16" t="e">
        <f>#REF!</f>
        <v>#REF!</v>
      </c>
      <c r="K627" s="16"/>
      <c r="L627" s="16"/>
      <c r="M627" s="16"/>
      <c r="N627" s="16"/>
      <c r="O627" s="16"/>
      <c r="P627" s="17"/>
      <c r="Q627" s="17"/>
    </row>
    <row r="628" spans="1:17" ht="22.5" customHeight="1" thickTop="1" thickBot="1" x14ac:dyDescent="0.25">
      <c r="A628" s="16" t="e">
        <f>#REF!</f>
        <v>#REF!</v>
      </c>
      <c r="B628" s="16" t="e">
        <f>#REF!</f>
        <v>#REF!</v>
      </c>
      <c r="C628" s="16" t="e">
        <f>#REF!</f>
        <v>#REF!</v>
      </c>
      <c r="D628" s="16" t="e">
        <f>#REF!</f>
        <v>#REF!</v>
      </c>
      <c r="E628" s="16" t="e">
        <f>#REF!</f>
        <v>#REF!</v>
      </c>
      <c r="F628" s="16" t="e">
        <f>#REF!</f>
        <v>#REF!</v>
      </c>
      <c r="G628" s="16" t="e">
        <f>#REF!</f>
        <v>#REF!</v>
      </c>
      <c r="H628" s="16" t="e">
        <f>#REF!</f>
        <v>#REF!</v>
      </c>
      <c r="I628" s="16" t="e">
        <f>#REF!</f>
        <v>#REF!</v>
      </c>
      <c r="J628" s="16" t="e">
        <f>#REF!</f>
        <v>#REF!</v>
      </c>
      <c r="K628" s="16" t="s">
        <v>744</v>
      </c>
      <c r="L628" s="16"/>
      <c r="M628" s="16"/>
      <c r="N628" s="16"/>
      <c r="O628" s="16"/>
      <c r="P628" s="20"/>
      <c r="Q628" s="20"/>
    </row>
    <row r="629" spans="1:17" ht="22.5" customHeight="1" thickTop="1" thickBot="1" x14ac:dyDescent="0.25">
      <c r="A629" s="16" t="e">
        <f>#REF!</f>
        <v>#REF!</v>
      </c>
      <c r="B629" s="16" t="e">
        <f>#REF!</f>
        <v>#REF!</v>
      </c>
      <c r="C629" s="16" t="e">
        <f>#REF!</f>
        <v>#REF!</v>
      </c>
      <c r="D629" s="16" t="e">
        <f>#REF!</f>
        <v>#REF!</v>
      </c>
      <c r="E629" s="16" t="e">
        <f>#REF!</f>
        <v>#REF!</v>
      </c>
      <c r="F629" s="16" t="e">
        <f>#REF!</f>
        <v>#REF!</v>
      </c>
      <c r="G629" s="16" t="e">
        <f>#REF!</f>
        <v>#REF!</v>
      </c>
      <c r="H629" s="16" t="e">
        <f>#REF!</f>
        <v>#REF!</v>
      </c>
      <c r="I629" s="16" t="e">
        <f>#REF!</f>
        <v>#REF!</v>
      </c>
      <c r="J629" s="16" t="e">
        <f>#REF!</f>
        <v>#REF!</v>
      </c>
      <c r="K629" s="16" t="s">
        <v>744</v>
      </c>
      <c r="L629" s="16"/>
      <c r="M629" s="16"/>
      <c r="N629" s="16"/>
      <c r="O629" s="16"/>
      <c r="P629" s="17"/>
      <c r="Q629" s="17"/>
    </row>
    <row r="630" spans="1:17" ht="22.5" customHeight="1" thickTop="1" thickBot="1" x14ac:dyDescent="0.25">
      <c r="A630" s="16" t="e">
        <f>#REF!</f>
        <v>#REF!</v>
      </c>
      <c r="B630" s="16" t="e">
        <f>#REF!</f>
        <v>#REF!</v>
      </c>
      <c r="C630" s="16" t="e">
        <f>#REF!</f>
        <v>#REF!</v>
      </c>
      <c r="D630" s="16" t="e">
        <f>#REF!</f>
        <v>#REF!</v>
      </c>
      <c r="E630" s="16" t="e">
        <f>#REF!</f>
        <v>#REF!</v>
      </c>
      <c r="F630" s="16" t="e">
        <f>#REF!</f>
        <v>#REF!</v>
      </c>
      <c r="G630" s="16" t="e">
        <f>#REF!</f>
        <v>#REF!</v>
      </c>
      <c r="H630" s="16" t="e">
        <f>#REF!</f>
        <v>#REF!</v>
      </c>
      <c r="I630" s="16" t="e">
        <f>#REF!</f>
        <v>#REF!</v>
      </c>
      <c r="J630" s="16" t="e">
        <f>#REF!</f>
        <v>#REF!</v>
      </c>
      <c r="K630" s="16" t="s">
        <v>744</v>
      </c>
      <c r="L630" s="16"/>
      <c r="M630" s="16"/>
      <c r="N630" s="16"/>
      <c r="O630" s="16"/>
      <c r="P630" s="20"/>
      <c r="Q630" s="20"/>
    </row>
    <row r="631" spans="1:17" ht="22.5" customHeight="1" thickTop="1" thickBot="1" x14ac:dyDescent="0.25">
      <c r="A631" s="16" t="e">
        <f>#REF!</f>
        <v>#REF!</v>
      </c>
      <c r="B631" s="16" t="e">
        <f>#REF!</f>
        <v>#REF!</v>
      </c>
      <c r="C631" s="16" t="e">
        <f>#REF!</f>
        <v>#REF!</v>
      </c>
      <c r="D631" s="16" t="e">
        <f>#REF!</f>
        <v>#REF!</v>
      </c>
      <c r="E631" s="16" t="e">
        <f>#REF!</f>
        <v>#REF!</v>
      </c>
      <c r="F631" s="16" t="e">
        <f>#REF!</f>
        <v>#REF!</v>
      </c>
      <c r="G631" s="16" t="e">
        <f>#REF!</f>
        <v>#REF!</v>
      </c>
      <c r="H631" s="16" t="e">
        <f>#REF!</f>
        <v>#REF!</v>
      </c>
      <c r="I631" s="16" t="e">
        <f>#REF!</f>
        <v>#REF!</v>
      </c>
      <c r="J631" s="16" t="e">
        <f>#REF!</f>
        <v>#REF!</v>
      </c>
      <c r="K631" s="16" t="s">
        <v>744</v>
      </c>
      <c r="L631" s="16"/>
      <c r="M631" s="16"/>
      <c r="N631" s="16"/>
      <c r="O631" s="16"/>
      <c r="P631" s="20"/>
      <c r="Q631" s="20"/>
    </row>
    <row r="632" spans="1:17" ht="22.5" customHeight="1" thickTop="1" thickBot="1" x14ac:dyDescent="0.25">
      <c r="A632" s="16" t="e">
        <f>#REF!</f>
        <v>#REF!</v>
      </c>
      <c r="B632" s="16" t="e">
        <f>#REF!</f>
        <v>#REF!</v>
      </c>
      <c r="C632" s="16" t="e">
        <f>#REF!</f>
        <v>#REF!</v>
      </c>
      <c r="D632" s="16" t="e">
        <f>#REF!</f>
        <v>#REF!</v>
      </c>
      <c r="E632" s="16" t="e">
        <f>#REF!</f>
        <v>#REF!</v>
      </c>
      <c r="F632" s="16" t="e">
        <f>#REF!</f>
        <v>#REF!</v>
      </c>
      <c r="G632" s="16" t="e">
        <f>#REF!</f>
        <v>#REF!</v>
      </c>
      <c r="H632" s="16" t="e">
        <f>#REF!</f>
        <v>#REF!</v>
      </c>
      <c r="I632" s="16" t="e">
        <f>#REF!</f>
        <v>#REF!</v>
      </c>
      <c r="J632" s="16" t="e">
        <f>#REF!</f>
        <v>#REF!</v>
      </c>
      <c r="K632" s="16" t="s">
        <v>744</v>
      </c>
      <c r="L632" s="16"/>
      <c r="M632" s="16"/>
      <c r="N632" s="16"/>
      <c r="O632" s="16"/>
      <c r="P632" s="17"/>
      <c r="Q632" s="17"/>
    </row>
    <row r="633" spans="1:17" ht="22.5" customHeight="1" thickTop="1" thickBot="1" x14ac:dyDescent="0.25">
      <c r="A633" s="16" t="e">
        <f>#REF!</f>
        <v>#REF!</v>
      </c>
      <c r="B633" s="16" t="e">
        <f>#REF!</f>
        <v>#REF!</v>
      </c>
      <c r="C633" s="16" t="e">
        <f>#REF!</f>
        <v>#REF!</v>
      </c>
      <c r="D633" s="16" t="e">
        <f>#REF!</f>
        <v>#REF!</v>
      </c>
      <c r="E633" s="16" t="e">
        <f>#REF!</f>
        <v>#REF!</v>
      </c>
      <c r="F633" s="16" t="e">
        <f>#REF!</f>
        <v>#REF!</v>
      </c>
      <c r="G633" s="16" t="e">
        <f>#REF!</f>
        <v>#REF!</v>
      </c>
      <c r="H633" s="16" t="e">
        <f>#REF!</f>
        <v>#REF!</v>
      </c>
      <c r="I633" s="16" t="e">
        <f>#REF!</f>
        <v>#REF!</v>
      </c>
      <c r="J633" s="16" t="e">
        <f>#REF!</f>
        <v>#REF!</v>
      </c>
      <c r="K633" s="16"/>
      <c r="L633" s="16"/>
      <c r="M633" s="16"/>
      <c r="N633" s="16"/>
      <c r="O633" s="16"/>
      <c r="P633" s="20"/>
      <c r="Q633" s="20"/>
    </row>
    <row r="634" spans="1:17" ht="22.5" customHeight="1" thickTop="1" thickBot="1" x14ac:dyDescent="0.25">
      <c r="A634" s="16" t="e">
        <f>#REF!</f>
        <v>#REF!</v>
      </c>
      <c r="B634" s="16" t="e">
        <f>#REF!</f>
        <v>#REF!</v>
      </c>
      <c r="C634" s="16" t="e">
        <f>#REF!</f>
        <v>#REF!</v>
      </c>
      <c r="D634" s="16" t="e">
        <f>#REF!</f>
        <v>#REF!</v>
      </c>
      <c r="E634" s="16" t="e">
        <f>#REF!</f>
        <v>#REF!</v>
      </c>
      <c r="F634" s="16" t="e">
        <f>#REF!</f>
        <v>#REF!</v>
      </c>
      <c r="G634" s="16" t="e">
        <f>#REF!</f>
        <v>#REF!</v>
      </c>
      <c r="H634" s="16" t="e">
        <f>#REF!</f>
        <v>#REF!</v>
      </c>
      <c r="I634" s="16" t="e">
        <f>#REF!</f>
        <v>#REF!</v>
      </c>
      <c r="J634" s="16" t="e">
        <f>#REF!</f>
        <v>#REF!</v>
      </c>
      <c r="K634" s="16" t="s">
        <v>744</v>
      </c>
      <c r="L634" s="16"/>
      <c r="M634" s="16"/>
      <c r="N634" s="16"/>
      <c r="O634" s="16"/>
      <c r="P634" s="20"/>
      <c r="Q634" s="20"/>
    </row>
    <row r="635" spans="1:17" ht="22.5" customHeight="1" thickTop="1" thickBot="1" x14ac:dyDescent="0.25">
      <c r="A635" s="16" t="e">
        <f>#REF!</f>
        <v>#REF!</v>
      </c>
      <c r="B635" s="16" t="e">
        <f>#REF!</f>
        <v>#REF!</v>
      </c>
      <c r="C635" s="16" t="e">
        <f>#REF!</f>
        <v>#REF!</v>
      </c>
      <c r="D635" s="16" t="e">
        <f>#REF!</f>
        <v>#REF!</v>
      </c>
      <c r="E635" s="16" t="e">
        <f>#REF!</f>
        <v>#REF!</v>
      </c>
      <c r="F635" s="16" t="e">
        <f>#REF!</f>
        <v>#REF!</v>
      </c>
      <c r="G635" s="16" t="e">
        <f>#REF!</f>
        <v>#REF!</v>
      </c>
      <c r="H635" s="16" t="e">
        <f>#REF!</f>
        <v>#REF!</v>
      </c>
      <c r="I635" s="16" t="e">
        <f>#REF!</f>
        <v>#REF!</v>
      </c>
      <c r="J635" s="16" t="e">
        <f>#REF!</f>
        <v>#REF!</v>
      </c>
      <c r="K635" s="16" t="s">
        <v>744</v>
      </c>
      <c r="L635" s="16"/>
      <c r="M635" s="16"/>
      <c r="N635" s="16"/>
      <c r="O635" s="16"/>
      <c r="P635" s="17"/>
      <c r="Q635" s="17"/>
    </row>
    <row r="636" spans="1:17" ht="22.5" customHeight="1" thickTop="1" thickBot="1" x14ac:dyDescent="0.25">
      <c r="A636" s="16" t="e">
        <f>#REF!</f>
        <v>#REF!</v>
      </c>
      <c r="B636" s="16" t="e">
        <f>#REF!</f>
        <v>#REF!</v>
      </c>
      <c r="C636" s="16" t="e">
        <f>#REF!</f>
        <v>#REF!</v>
      </c>
      <c r="D636" s="16" t="e">
        <f>#REF!</f>
        <v>#REF!</v>
      </c>
      <c r="E636" s="16" t="e">
        <f>#REF!</f>
        <v>#REF!</v>
      </c>
      <c r="F636" s="16" t="e">
        <f>#REF!</f>
        <v>#REF!</v>
      </c>
      <c r="G636" s="16" t="e">
        <f>#REF!</f>
        <v>#REF!</v>
      </c>
      <c r="H636" s="16" t="e">
        <f>#REF!</f>
        <v>#REF!</v>
      </c>
      <c r="I636" s="16" t="e">
        <f>#REF!</f>
        <v>#REF!</v>
      </c>
      <c r="J636" s="16" t="e">
        <f>#REF!</f>
        <v>#REF!</v>
      </c>
      <c r="K636" s="16" t="s">
        <v>744</v>
      </c>
      <c r="L636" s="16"/>
      <c r="M636" s="16"/>
      <c r="N636" s="16"/>
      <c r="O636" s="16"/>
      <c r="P636" s="19"/>
      <c r="Q636" s="19"/>
    </row>
    <row r="637" spans="1:17" ht="22.5" customHeight="1" thickTop="1" thickBot="1" x14ac:dyDescent="0.25">
      <c r="A637" s="16" t="e">
        <f>#REF!</f>
        <v>#REF!</v>
      </c>
      <c r="B637" s="16" t="e">
        <f>#REF!</f>
        <v>#REF!</v>
      </c>
      <c r="C637" s="16" t="e">
        <f>#REF!</f>
        <v>#REF!</v>
      </c>
      <c r="D637" s="16" t="e">
        <f>#REF!</f>
        <v>#REF!</v>
      </c>
      <c r="E637" s="16" t="e">
        <f>#REF!</f>
        <v>#REF!</v>
      </c>
      <c r="F637" s="16" t="e">
        <f>#REF!</f>
        <v>#REF!</v>
      </c>
      <c r="G637" s="16" t="e">
        <f>#REF!</f>
        <v>#REF!</v>
      </c>
      <c r="H637" s="16" t="e">
        <f>#REF!</f>
        <v>#REF!</v>
      </c>
      <c r="I637" s="16" t="e">
        <f>#REF!</f>
        <v>#REF!</v>
      </c>
      <c r="J637" s="16" t="e">
        <f>#REF!</f>
        <v>#REF!</v>
      </c>
      <c r="K637" s="16"/>
      <c r="L637" s="16"/>
      <c r="M637" s="16"/>
      <c r="N637" s="16"/>
      <c r="O637" s="16"/>
      <c r="P637" s="17"/>
      <c r="Q637" s="17"/>
    </row>
    <row r="638" spans="1:17" ht="22.5" customHeight="1" thickTop="1" thickBot="1" x14ac:dyDescent="0.25">
      <c r="A638" s="16" t="e">
        <f>#REF!</f>
        <v>#REF!</v>
      </c>
      <c r="B638" s="16" t="e">
        <f>#REF!</f>
        <v>#REF!</v>
      </c>
      <c r="C638" s="16" t="e">
        <f>#REF!</f>
        <v>#REF!</v>
      </c>
      <c r="D638" s="16" t="e">
        <f>#REF!</f>
        <v>#REF!</v>
      </c>
      <c r="E638" s="16" t="e">
        <f>#REF!</f>
        <v>#REF!</v>
      </c>
      <c r="F638" s="16" t="e">
        <f>#REF!</f>
        <v>#REF!</v>
      </c>
      <c r="G638" s="16" t="e">
        <f>#REF!</f>
        <v>#REF!</v>
      </c>
      <c r="H638" s="16" t="e">
        <f>#REF!</f>
        <v>#REF!</v>
      </c>
      <c r="I638" s="16" t="e">
        <f>#REF!</f>
        <v>#REF!</v>
      </c>
      <c r="J638" s="16" t="e">
        <f>#REF!</f>
        <v>#REF!</v>
      </c>
      <c r="K638" s="16" t="s">
        <v>744</v>
      </c>
      <c r="L638" s="16"/>
      <c r="M638" s="16"/>
      <c r="N638" s="16"/>
      <c r="O638" s="16"/>
      <c r="P638" s="17"/>
      <c r="Q638" s="17"/>
    </row>
    <row r="639" spans="1:17" ht="22.5" customHeight="1" thickTop="1" thickBot="1" x14ac:dyDescent="0.25">
      <c r="A639" s="16" t="e">
        <f>#REF!</f>
        <v>#REF!</v>
      </c>
      <c r="B639" s="16" t="e">
        <f>#REF!</f>
        <v>#REF!</v>
      </c>
      <c r="C639" s="16" t="e">
        <f>#REF!</f>
        <v>#REF!</v>
      </c>
      <c r="D639" s="16" t="e">
        <f>#REF!</f>
        <v>#REF!</v>
      </c>
      <c r="E639" s="16" t="e">
        <f>#REF!</f>
        <v>#REF!</v>
      </c>
      <c r="F639" s="16" t="e">
        <f>#REF!</f>
        <v>#REF!</v>
      </c>
      <c r="G639" s="16" t="e">
        <f>#REF!</f>
        <v>#REF!</v>
      </c>
      <c r="H639" s="16" t="e">
        <f>#REF!</f>
        <v>#REF!</v>
      </c>
      <c r="I639" s="16" t="e">
        <f>#REF!</f>
        <v>#REF!</v>
      </c>
      <c r="J639" s="16" t="e">
        <f>#REF!</f>
        <v>#REF!</v>
      </c>
      <c r="K639" s="16"/>
      <c r="L639" s="16"/>
      <c r="M639" s="16"/>
      <c r="N639" s="16"/>
      <c r="O639" s="16"/>
      <c r="P639" s="17"/>
      <c r="Q639" s="17"/>
    </row>
    <row r="640" spans="1:17" ht="22.5" customHeight="1" thickTop="1" thickBot="1" x14ac:dyDescent="0.25">
      <c r="A640" s="16" t="e">
        <f>#REF!</f>
        <v>#REF!</v>
      </c>
      <c r="B640" s="16" t="e">
        <f>#REF!</f>
        <v>#REF!</v>
      </c>
      <c r="C640" s="16" t="e">
        <f>#REF!</f>
        <v>#REF!</v>
      </c>
      <c r="D640" s="16" t="e">
        <f>#REF!</f>
        <v>#REF!</v>
      </c>
      <c r="E640" s="16" t="e">
        <f>#REF!</f>
        <v>#REF!</v>
      </c>
      <c r="F640" s="16" t="e">
        <f>#REF!</f>
        <v>#REF!</v>
      </c>
      <c r="G640" s="16" t="e">
        <f>#REF!</f>
        <v>#REF!</v>
      </c>
      <c r="H640" s="16" t="e">
        <f>#REF!</f>
        <v>#REF!</v>
      </c>
      <c r="I640" s="16" t="e">
        <f>#REF!</f>
        <v>#REF!</v>
      </c>
      <c r="J640" s="16" t="e">
        <f>#REF!</f>
        <v>#REF!</v>
      </c>
      <c r="K640" s="16"/>
      <c r="L640" s="16"/>
      <c r="M640" s="16"/>
      <c r="N640" s="16"/>
      <c r="O640" s="16"/>
      <c r="P640" s="17"/>
      <c r="Q640" s="17"/>
    </row>
    <row r="641" spans="1:17" ht="22.5" customHeight="1" thickTop="1" thickBot="1" x14ac:dyDescent="0.25">
      <c r="A641" s="16" t="e">
        <f>#REF!</f>
        <v>#REF!</v>
      </c>
      <c r="B641" s="16" t="e">
        <f>#REF!</f>
        <v>#REF!</v>
      </c>
      <c r="C641" s="16" t="e">
        <f>#REF!</f>
        <v>#REF!</v>
      </c>
      <c r="D641" s="16" t="e">
        <f>#REF!</f>
        <v>#REF!</v>
      </c>
      <c r="E641" s="16" t="e">
        <f>#REF!</f>
        <v>#REF!</v>
      </c>
      <c r="F641" s="16" t="e">
        <f>#REF!</f>
        <v>#REF!</v>
      </c>
      <c r="G641" s="16" t="e">
        <f>#REF!</f>
        <v>#REF!</v>
      </c>
      <c r="H641" s="16" t="e">
        <f>#REF!</f>
        <v>#REF!</v>
      </c>
      <c r="I641" s="16" t="e">
        <f>#REF!</f>
        <v>#REF!</v>
      </c>
      <c r="J641" s="16" t="e">
        <f>#REF!</f>
        <v>#REF!</v>
      </c>
      <c r="K641" s="16"/>
      <c r="L641" s="16"/>
      <c r="M641" s="16"/>
      <c r="N641" s="16"/>
      <c r="O641" s="16"/>
      <c r="P641" s="20"/>
      <c r="Q641" s="20"/>
    </row>
    <row r="642" spans="1:17" ht="22.5" customHeight="1" thickTop="1" thickBot="1" x14ac:dyDescent="0.25">
      <c r="A642" s="16" t="e">
        <f>#REF!</f>
        <v>#REF!</v>
      </c>
      <c r="B642" s="16" t="e">
        <f>#REF!</f>
        <v>#REF!</v>
      </c>
      <c r="C642" s="16" t="e">
        <f>#REF!</f>
        <v>#REF!</v>
      </c>
      <c r="D642" s="16" t="e">
        <f>#REF!</f>
        <v>#REF!</v>
      </c>
      <c r="E642" s="16" t="e">
        <f>#REF!</f>
        <v>#REF!</v>
      </c>
      <c r="F642" s="16" t="e">
        <f>#REF!</f>
        <v>#REF!</v>
      </c>
      <c r="G642" s="16" t="e">
        <f>#REF!</f>
        <v>#REF!</v>
      </c>
      <c r="H642" s="16" t="e">
        <f>#REF!</f>
        <v>#REF!</v>
      </c>
      <c r="I642" s="16" t="e">
        <f>#REF!</f>
        <v>#REF!</v>
      </c>
      <c r="J642" s="16" t="e">
        <f>#REF!</f>
        <v>#REF!</v>
      </c>
      <c r="K642" s="16"/>
      <c r="L642" s="16"/>
      <c r="M642" s="16"/>
      <c r="N642" s="16"/>
      <c r="O642" s="16"/>
      <c r="P642" s="17"/>
      <c r="Q642" s="17"/>
    </row>
    <row r="643" spans="1:17" ht="22.5" customHeight="1" thickTop="1" thickBot="1" x14ac:dyDescent="0.25">
      <c r="A643" s="16" t="e">
        <f>#REF!</f>
        <v>#REF!</v>
      </c>
      <c r="B643" s="16" t="e">
        <f>#REF!</f>
        <v>#REF!</v>
      </c>
      <c r="C643" s="16" t="e">
        <f>#REF!</f>
        <v>#REF!</v>
      </c>
      <c r="D643" s="16" t="e">
        <f>#REF!</f>
        <v>#REF!</v>
      </c>
      <c r="E643" s="16" t="e">
        <f>#REF!</f>
        <v>#REF!</v>
      </c>
      <c r="F643" s="16" t="e">
        <f>#REF!</f>
        <v>#REF!</v>
      </c>
      <c r="G643" s="16" t="e">
        <f>#REF!</f>
        <v>#REF!</v>
      </c>
      <c r="H643" s="16" t="e">
        <f>#REF!</f>
        <v>#REF!</v>
      </c>
      <c r="I643" s="16" t="e">
        <f>#REF!</f>
        <v>#REF!</v>
      </c>
      <c r="J643" s="16" t="e">
        <f>#REF!</f>
        <v>#REF!</v>
      </c>
      <c r="K643" s="16" t="s">
        <v>744</v>
      </c>
      <c r="L643" s="16"/>
      <c r="M643" s="16"/>
      <c r="N643" s="16"/>
      <c r="O643" s="16"/>
      <c r="P643" s="20"/>
      <c r="Q643" s="20"/>
    </row>
    <row r="644" spans="1:17" ht="22.5" customHeight="1" thickTop="1" thickBot="1" x14ac:dyDescent="0.25">
      <c r="A644" s="16" t="e">
        <f>#REF!</f>
        <v>#REF!</v>
      </c>
      <c r="B644" s="16" t="e">
        <f>#REF!</f>
        <v>#REF!</v>
      </c>
      <c r="C644" s="16" t="e">
        <f>#REF!</f>
        <v>#REF!</v>
      </c>
      <c r="D644" s="16" t="e">
        <f>#REF!</f>
        <v>#REF!</v>
      </c>
      <c r="E644" s="16" t="e">
        <f>#REF!</f>
        <v>#REF!</v>
      </c>
      <c r="F644" s="16" t="e">
        <f>#REF!</f>
        <v>#REF!</v>
      </c>
      <c r="G644" s="16" t="e">
        <f>#REF!</f>
        <v>#REF!</v>
      </c>
      <c r="H644" s="16" t="e">
        <f>#REF!</f>
        <v>#REF!</v>
      </c>
      <c r="I644" s="16" t="e">
        <f>#REF!</f>
        <v>#REF!</v>
      </c>
      <c r="J644" s="16" t="e">
        <f>#REF!</f>
        <v>#REF!</v>
      </c>
      <c r="K644" s="16" t="s">
        <v>744</v>
      </c>
      <c r="L644" s="16"/>
      <c r="M644" s="16"/>
      <c r="N644" s="16"/>
      <c r="O644" s="16"/>
      <c r="P644" s="20"/>
      <c r="Q644" s="20"/>
    </row>
    <row r="645" spans="1:17" ht="22.5" customHeight="1" thickTop="1" thickBot="1" x14ac:dyDescent="0.25">
      <c r="A645" s="16" t="e">
        <f>#REF!</f>
        <v>#REF!</v>
      </c>
      <c r="B645" s="16" t="e">
        <f>#REF!</f>
        <v>#REF!</v>
      </c>
      <c r="C645" s="16" t="e">
        <f>#REF!</f>
        <v>#REF!</v>
      </c>
      <c r="D645" s="16" t="e">
        <f>#REF!</f>
        <v>#REF!</v>
      </c>
      <c r="E645" s="16" t="e">
        <f>#REF!</f>
        <v>#REF!</v>
      </c>
      <c r="F645" s="16" t="e">
        <f>#REF!</f>
        <v>#REF!</v>
      </c>
      <c r="G645" s="16" t="e">
        <f>#REF!</f>
        <v>#REF!</v>
      </c>
      <c r="H645" s="16" t="e">
        <f>#REF!</f>
        <v>#REF!</v>
      </c>
      <c r="I645" s="16" t="e">
        <f>#REF!</f>
        <v>#REF!</v>
      </c>
      <c r="J645" s="16" t="e">
        <f>#REF!</f>
        <v>#REF!</v>
      </c>
      <c r="K645" s="16" t="s">
        <v>744</v>
      </c>
      <c r="L645" s="16"/>
      <c r="M645" s="16"/>
      <c r="N645" s="16"/>
      <c r="O645" s="16"/>
      <c r="P645" s="17"/>
      <c r="Q645" s="17"/>
    </row>
    <row r="646" spans="1:17" ht="22.5" customHeight="1" thickTop="1" thickBot="1" x14ac:dyDescent="0.25">
      <c r="A646" s="16" t="e">
        <f>#REF!</f>
        <v>#REF!</v>
      </c>
      <c r="B646" s="16" t="e">
        <f>#REF!</f>
        <v>#REF!</v>
      </c>
      <c r="C646" s="16" t="e">
        <f>#REF!</f>
        <v>#REF!</v>
      </c>
      <c r="D646" s="16" t="e">
        <f>#REF!</f>
        <v>#REF!</v>
      </c>
      <c r="E646" s="16" t="e">
        <f>#REF!</f>
        <v>#REF!</v>
      </c>
      <c r="F646" s="16" t="e">
        <f>#REF!</f>
        <v>#REF!</v>
      </c>
      <c r="G646" s="16" t="e">
        <f>#REF!</f>
        <v>#REF!</v>
      </c>
      <c r="H646" s="16" t="e">
        <f>#REF!</f>
        <v>#REF!</v>
      </c>
      <c r="I646" s="16" t="e">
        <f>#REF!</f>
        <v>#REF!</v>
      </c>
      <c r="J646" s="16" t="e">
        <f>#REF!</f>
        <v>#REF!</v>
      </c>
      <c r="K646" s="16"/>
      <c r="L646" s="16"/>
      <c r="M646" s="16"/>
      <c r="N646" s="16"/>
      <c r="O646" s="16"/>
      <c r="P646" s="20"/>
      <c r="Q646" s="20"/>
    </row>
    <row r="647" spans="1:17" ht="22.5" customHeight="1" thickTop="1" thickBot="1" x14ac:dyDescent="0.25">
      <c r="A647" s="16" t="e">
        <f>#REF!</f>
        <v>#REF!</v>
      </c>
      <c r="B647" s="16" t="e">
        <f>#REF!</f>
        <v>#REF!</v>
      </c>
      <c r="C647" s="16" t="e">
        <f>#REF!</f>
        <v>#REF!</v>
      </c>
      <c r="D647" s="16" t="e">
        <f>#REF!</f>
        <v>#REF!</v>
      </c>
      <c r="E647" s="16" t="e">
        <f>#REF!</f>
        <v>#REF!</v>
      </c>
      <c r="F647" s="16" t="e">
        <f>#REF!</f>
        <v>#REF!</v>
      </c>
      <c r="G647" s="16" t="e">
        <f>#REF!</f>
        <v>#REF!</v>
      </c>
      <c r="H647" s="16" t="e">
        <f>#REF!</f>
        <v>#REF!</v>
      </c>
      <c r="I647" s="16" t="e">
        <f>#REF!</f>
        <v>#REF!</v>
      </c>
      <c r="J647" s="16" t="e">
        <f>#REF!</f>
        <v>#REF!</v>
      </c>
      <c r="K647" s="16"/>
      <c r="L647" s="16"/>
      <c r="M647" s="16"/>
      <c r="N647" s="16"/>
      <c r="O647" s="16"/>
      <c r="P647" s="17"/>
      <c r="Q647" s="17"/>
    </row>
    <row r="648" spans="1:17" ht="22.5" customHeight="1" thickTop="1" thickBot="1" x14ac:dyDescent="0.25">
      <c r="A648" s="16" t="e">
        <f>#REF!</f>
        <v>#REF!</v>
      </c>
      <c r="B648" s="16" t="e">
        <f>#REF!</f>
        <v>#REF!</v>
      </c>
      <c r="C648" s="16" t="e">
        <f>#REF!</f>
        <v>#REF!</v>
      </c>
      <c r="D648" s="16" t="e">
        <f>#REF!</f>
        <v>#REF!</v>
      </c>
      <c r="E648" s="16" t="e">
        <f>#REF!</f>
        <v>#REF!</v>
      </c>
      <c r="F648" s="16" t="e">
        <f>#REF!</f>
        <v>#REF!</v>
      </c>
      <c r="G648" s="16" t="e">
        <f>#REF!</f>
        <v>#REF!</v>
      </c>
      <c r="H648" s="16" t="e">
        <f>#REF!</f>
        <v>#REF!</v>
      </c>
      <c r="I648" s="16" t="e">
        <f>#REF!</f>
        <v>#REF!</v>
      </c>
      <c r="J648" s="16" t="e">
        <f>#REF!</f>
        <v>#REF!</v>
      </c>
      <c r="K648" s="16" t="s">
        <v>744</v>
      </c>
      <c r="L648" s="16"/>
      <c r="M648" s="16"/>
      <c r="N648" s="16"/>
      <c r="O648" s="16"/>
      <c r="P648" s="18"/>
      <c r="Q648" s="18"/>
    </row>
    <row r="649" spans="1:17" ht="22.5" customHeight="1" thickTop="1" thickBot="1" x14ac:dyDescent="0.25">
      <c r="A649" s="16" t="e">
        <f>#REF!</f>
        <v>#REF!</v>
      </c>
      <c r="B649" s="16" t="e">
        <f>#REF!</f>
        <v>#REF!</v>
      </c>
      <c r="C649" s="16" t="e">
        <f>#REF!</f>
        <v>#REF!</v>
      </c>
      <c r="D649" s="16" t="e">
        <f>#REF!</f>
        <v>#REF!</v>
      </c>
      <c r="E649" s="16" t="e">
        <f>#REF!</f>
        <v>#REF!</v>
      </c>
      <c r="F649" s="16" t="e">
        <f>#REF!</f>
        <v>#REF!</v>
      </c>
      <c r="G649" s="16" t="e">
        <f>#REF!</f>
        <v>#REF!</v>
      </c>
      <c r="H649" s="16" t="e">
        <f>#REF!</f>
        <v>#REF!</v>
      </c>
      <c r="I649" s="16" t="e">
        <f>#REF!</f>
        <v>#REF!</v>
      </c>
      <c r="J649" s="16" t="e">
        <f>#REF!</f>
        <v>#REF!</v>
      </c>
      <c r="K649" s="16"/>
      <c r="L649" s="16"/>
      <c r="M649" s="16"/>
      <c r="N649" s="16"/>
      <c r="O649" s="16"/>
      <c r="P649" s="20"/>
      <c r="Q649" s="20"/>
    </row>
    <row r="650" spans="1:17" ht="22.5" customHeight="1" thickTop="1" thickBot="1" x14ac:dyDescent="0.25">
      <c r="A650" s="16" t="e">
        <f>#REF!</f>
        <v>#REF!</v>
      </c>
      <c r="B650" s="16" t="e">
        <f>#REF!</f>
        <v>#REF!</v>
      </c>
      <c r="C650" s="16" t="e">
        <f>#REF!</f>
        <v>#REF!</v>
      </c>
      <c r="D650" s="16" t="e">
        <f>#REF!</f>
        <v>#REF!</v>
      </c>
      <c r="E650" s="16" t="e">
        <f>#REF!</f>
        <v>#REF!</v>
      </c>
      <c r="F650" s="16" t="e">
        <f>#REF!</f>
        <v>#REF!</v>
      </c>
      <c r="G650" s="16" t="e">
        <f>#REF!</f>
        <v>#REF!</v>
      </c>
      <c r="H650" s="16" t="e">
        <f>#REF!</f>
        <v>#REF!</v>
      </c>
      <c r="I650" s="16" t="e">
        <f>#REF!</f>
        <v>#REF!</v>
      </c>
      <c r="J650" s="16" t="e">
        <f>#REF!</f>
        <v>#REF!</v>
      </c>
      <c r="K650" s="16" t="s">
        <v>744</v>
      </c>
      <c r="L650" s="16"/>
      <c r="M650" s="16"/>
      <c r="N650" s="16"/>
      <c r="O650" s="16"/>
      <c r="P650" s="17"/>
      <c r="Q650" s="17"/>
    </row>
    <row r="651" spans="1:17" ht="22.5" customHeight="1" thickTop="1" thickBot="1" x14ac:dyDescent="0.25">
      <c r="A651" s="16" t="e">
        <f>#REF!</f>
        <v>#REF!</v>
      </c>
      <c r="B651" s="16" t="e">
        <f>#REF!</f>
        <v>#REF!</v>
      </c>
      <c r="C651" s="16" t="e">
        <f>#REF!</f>
        <v>#REF!</v>
      </c>
      <c r="D651" s="16" t="e">
        <f>#REF!</f>
        <v>#REF!</v>
      </c>
      <c r="E651" s="16" t="e">
        <f>#REF!</f>
        <v>#REF!</v>
      </c>
      <c r="F651" s="16" t="e">
        <f>#REF!</f>
        <v>#REF!</v>
      </c>
      <c r="G651" s="16" t="e">
        <f>#REF!</f>
        <v>#REF!</v>
      </c>
      <c r="H651" s="16" t="e">
        <f>#REF!</f>
        <v>#REF!</v>
      </c>
      <c r="I651" s="16" t="e">
        <f>#REF!</f>
        <v>#REF!</v>
      </c>
      <c r="J651" s="16" t="e">
        <f>#REF!</f>
        <v>#REF!</v>
      </c>
      <c r="K651" s="16" t="s">
        <v>744</v>
      </c>
      <c r="L651" s="16"/>
      <c r="M651" s="16"/>
      <c r="N651" s="16"/>
      <c r="O651" s="16"/>
      <c r="P651" s="17"/>
      <c r="Q651" s="17"/>
    </row>
    <row r="652" spans="1:17" ht="22.5" customHeight="1" thickTop="1" thickBot="1" x14ac:dyDescent="0.25">
      <c r="A652" s="16" t="e">
        <f>#REF!</f>
        <v>#REF!</v>
      </c>
      <c r="B652" s="16" t="e">
        <f>#REF!</f>
        <v>#REF!</v>
      </c>
      <c r="C652" s="16" t="e">
        <f>#REF!</f>
        <v>#REF!</v>
      </c>
      <c r="D652" s="16" t="e">
        <f>#REF!</f>
        <v>#REF!</v>
      </c>
      <c r="E652" s="16" t="e">
        <f>#REF!</f>
        <v>#REF!</v>
      </c>
      <c r="F652" s="16" t="e">
        <f>#REF!</f>
        <v>#REF!</v>
      </c>
      <c r="G652" s="16" t="e">
        <f>#REF!</f>
        <v>#REF!</v>
      </c>
      <c r="H652" s="16" t="e">
        <f>#REF!</f>
        <v>#REF!</v>
      </c>
      <c r="I652" s="16" t="e">
        <f>#REF!</f>
        <v>#REF!</v>
      </c>
      <c r="J652" s="16" t="e">
        <f>#REF!</f>
        <v>#REF!</v>
      </c>
      <c r="K652" s="16"/>
      <c r="L652" s="16"/>
      <c r="M652" s="16"/>
      <c r="N652" s="16"/>
      <c r="O652" s="16"/>
      <c r="P652" s="17"/>
      <c r="Q652" s="17"/>
    </row>
    <row r="653" spans="1:17" ht="22.5" customHeight="1" thickTop="1" thickBot="1" x14ac:dyDescent="0.25">
      <c r="A653" s="16" t="e">
        <f>#REF!</f>
        <v>#REF!</v>
      </c>
      <c r="B653" s="16" t="e">
        <f>#REF!</f>
        <v>#REF!</v>
      </c>
      <c r="C653" s="16" t="e">
        <f>#REF!</f>
        <v>#REF!</v>
      </c>
      <c r="D653" s="16" t="e">
        <f>#REF!</f>
        <v>#REF!</v>
      </c>
      <c r="E653" s="16" t="e">
        <f>#REF!</f>
        <v>#REF!</v>
      </c>
      <c r="F653" s="16" t="e">
        <f>#REF!</f>
        <v>#REF!</v>
      </c>
      <c r="G653" s="16" t="e">
        <f>#REF!</f>
        <v>#REF!</v>
      </c>
      <c r="H653" s="16" t="e">
        <f>#REF!</f>
        <v>#REF!</v>
      </c>
      <c r="I653" s="16" t="e">
        <f>#REF!</f>
        <v>#REF!</v>
      </c>
      <c r="J653" s="16" t="e">
        <f>#REF!</f>
        <v>#REF!</v>
      </c>
      <c r="K653" s="16" t="s">
        <v>744</v>
      </c>
      <c r="L653" s="16"/>
      <c r="M653" s="16"/>
      <c r="N653" s="16"/>
      <c r="O653" s="16"/>
      <c r="P653" s="17"/>
      <c r="Q653" s="17"/>
    </row>
    <row r="654" spans="1:17" ht="22.5" customHeight="1" thickTop="1" thickBot="1" x14ac:dyDescent="0.25">
      <c r="A654" s="16" t="e">
        <f>#REF!</f>
        <v>#REF!</v>
      </c>
      <c r="B654" s="16" t="e">
        <f>#REF!</f>
        <v>#REF!</v>
      </c>
      <c r="C654" s="16" t="e">
        <f>#REF!</f>
        <v>#REF!</v>
      </c>
      <c r="D654" s="16" t="e">
        <f>#REF!</f>
        <v>#REF!</v>
      </c>
      <c r="E654" s="16" t="e">
        <f>#REF!</f>
        <v>#REF!</v>
      </c>
      <c r="F654" s="16" t="e">
        <f>#REF!</f>
        <v>#REF!</v>
      </c>
      <c r="G654" s="16" t="e">
        <f>#REF!</f>
        <v>#REF!</v>
      </c>
      <c r="H654" s="16" t="e">
        <f>#REF!</f>
        <v>#REF!</v>
      </c>
      <c r="I654" s="16" t="e">
        <f>#REF!</f>
        <v>#REF!</v>
      </c>
      <c r="J654" s="16" t="e">
        <f>#REF!</f>
        <v>#REF!</v>
      </c>
      <c r="K654" s="16"/>
      <c r="L654" s="16"/>
      <c r="M654" s="16"/>
      <c r="N654" s="16"/>
      <c r="O654" s="16"/>
      <c r="P654" s="20"/>
      <c r="Q654" s="20"/>
    </row>
    <row r="655" spans="1:17" ht="22.5" customHeight="1" thickTop="1" thickBot="1" x14ac:dyDescent="0.25">
      <c r="A655" s="16" t="e">
        <f>#REF!</f>
        <v>#REF!</v>
      </c>
      <c r="B655" s="16" t="e">
        <f>#REF!</f>
        <v>#REF!</v>
      </c>
      <c r="C655" s="16" t="e">
        <f>#REF!</f>
        <v>#REF!</v>
      </c>
      <c r="D655" s="16" t="e">
        <f>#REF!</f>
        <v>#REF!</v>
      </c>
      <c r="E655" s="16" t="e">
        <f>#REF!</f>
        <v>#REF!</v>
      </c>
      <c r="F655" s="16" t="e">
        <f>#REF!</f>
        <v>#REF!</v>
      </c>
      <c r="G655" s="16" t="e">
        <f>#REF!</f>
        <v>#REF!</v>
      </c>
      <c r="H655" s="16" t="e">
        <f>#REF!</f>
        <v>#REF!</v>
      </c>
      <c r="I655" s="16" t="e">
        <f>#REF!</f>
        <v>#REF!</v>
      </c>
      <c r="J655" s="16" t="e">
        <f>#REF!</f>
        <v>#REF!</v>
      </c>
      <c r="K655" s="16" t="s">
        <v>744</v>
      </c>
      <c r="L655" s="16"/>
      <c r="M655" s="16"/>
      <c r="N655" s="16"/>
      <c r="O655" s="16"/>
      <c r="P655" s="20"/>
      <c r="Q655" s="20"/>
    </row>
    <row r="656" spans="1:17" ht="22.5" customHeight="1" thickTop="1" thickBot="1" x14ac:dyDescent="0.25">
      <c r="A656" s="16" t="e">
        <f>#REF!</f>
        <v>#REF!</v>
      </c>
      <c r="B656" s="16" t="e">
        <f>#REF!</f>
        <v>#REF!</v>
      </c>
      <c r="C656" s="16" t="e">
        <f>#REF!</f>
        <v>#REF!</v>
      </c>
      <c r="D656" s="16" t="e">
        <f>#REF!</f>
        <v>#REF!</v>
      </c>
      <c r="E656" s="16" t="e">
        <f>#REF!</f>
        <v>#REF!</v>
      </c>
      <c r="F656" s="16" t="e">
        <f>#REF!</f>
        <v>#REF!</v>
      </c>
      <c r="G656" s="16" t="e">
        <f>#REF!</f>
        <v>#REF!</v>
      </c>
      <c r="H656" s="16" t="e">
        <f>#REF!</f>
        <v>#REF!</v>
      </c>
      <c r="I656" s="16" t="e">
        <f>#REF!</f>
        <v>#REF!</v>
      </c>
      <c r="J656" s="16" t="e">
        <f>#REF!</f>
        <v>#REF!</v>
      </c>
      <c r="K656" s="16" t="s">
        <v>744</v>
      </c>
      <c r="L656" s="16"/>
      <c r="M656" s="16"/>
      <c r="N656" s="16"/>
      <c r="O656" s="16"/>
      <c r="P656" s="17"/>
      <c r="Q656" s="17"/>
    </row>
    <row r="657" spans="1:17" ht="22.5" customHeight="1" thickTop="1" thickBot="1" x14ac:dyDescent="0.25">
      <c r="A657" s="16" t="e">
        <f>#REF!</f>
        <v>#REF!</v>
      </c>
      <c r="B657" s="16" t="e">
        <f>#REF!</f>
        <v>#REF!</v>
      </c>
      <c r="C657" s="16" t="e">
        <f>#REF!</f>
        <v>#REF!</v>
      </c>
      <c r="D657" s="16" t="e">
        <f>#REF!</f>
        <v>#REF!</v>
      </c>
      <c r="E657" s="16" t="e">
        <f>#REF!</f>
        <v>#REF!</v>
      </c>
      <c r="F657" s="16" t="e">
        <f>#REF!</f>
        <v>#REF!</v>
      </c>
      <c r="G657" s="16" t="e">
        <f>#REF!</f>
        <v>#REF!</v>
      </c>
      <c r="H657" s="16" t="e">
        <f>#REF!</f>
        <v>#REF!</v>
      </c>
      <c r="I657" s="16" t="e">
        <f>#REF!</f>
        <v>#REF!</v>
      </c>
      <c r="J657" s="16" t="e">
        <f>#REF!</f>
        <v>#REF!</v>
      </c>
      <c r="K657" s="16" t="s">
        <v>744</v>
      </c>
      <c r="L657" s="16"/>
      <c r="M657" s="16"/>
      <c r="N657" s="16"/>
      <c r="O657" s="16"/>
      <c r="P657" s="19"/>
      <c r="Q657" s="19"/>
    </row>
    <row r="658" spans="1:17" ht="22.5" customHeight="1" thickTop="1" thickBot="1" x14ac:dyDescent="0.25">
      <c r="A658" s="16" t="e">
        <f>#REF!</f>
        <v>#REF!</v>
      </c>
      <c r="B658" s="16" t="e">
        <f>#REF!</f>
        <v>#REF!</v>
      </c>
      <c r="C658" s="16" t="e">
        <f>#REF!</f>
        <v>#REF!</v>
      </c>
      <c r="D658" s="16" t="e">
        <f>#REF!</f>
        <v>#REF!</v>
      </c>
      <c r="E658" s="16" t="e">
        <f>#REF!</f>
        <v>#REF!</v>
      </c>
      <c r="F658" s="16" t="e">
        <f>#REF!</f>
        <v>#REF!</v>
      </c>
      <c r="G658" s="16" t="e">
        <f>#REF!</f>
        <v>#REF!</v>
      </c>
      <c r="H658" s="16" t="e">
        <f>#REF!</f>
        <v>#REF!</v>
      </c>
      <c r="I658" s="16" t="e">
        <f>#REF!</f>
        <v>#REF!</v>
      </c>
      <c r="J658" s="16" t="e">
        <f>#REF!</f>
        <v>#REF!</v>
      </c>
      <c r="K658" s="16" t="s">
        <v>744</v>
      </c>
      <c r="L658" s="16"/>
      <c r="M658" s="16"/>
      <c r="N658" s="16"/>
      <c r="O658" s="16"/>
      <c r="P658" s="17"/>
      <c r="Q658" s="17"/>
    </row>
    <row r="659" spans="1:17" ht="22.5" customHeight="1" thickTop="1" thickBot="1" x14ac:dyDescent="0.25">
      <c r="A659" s="16" t="e">
        <f>#REF!</f>
        <v>#REF!</v>
      </c>
      <c r="B659" s="16" t="e">
        <f>#REF!</f>
        <v>#REF!</v>
      </c>
      <c r="C659" s="16" t="e">
        <f>#REF!</f>
        <v>#REF!</v>
      </c>
      <c r="D659" s="16" t="e">
        <f>#REF!</f>
        <v>#REF!</v>
      </c>
      <c r="E659" s="16" t="e">
        <f>#REF!</f>
        <v>#REF!</v>
      </c>
      <c r="F659" s="16" t="e">
        <f>#REF!</f>
        <v>#REF!</v>
      </c>
      <c r="G659" s="16" t="e">
        <f>#REF!</f>
        <v>#REF!</v>
      </c>
      <c r="H659" s="16" t="e">
        <f>#REF!</f>
        <v>#REF!</v>
      </c>
      <c r="I659" s="16" t="e">
        <f>#REF!</f>
        <v>#REF!</v>
      </c>
      <c r="J659" s="16" t="e">
        <f>#REF!</f>
        <v>#REF!</v>
      </c>
      <c r="K659" s="16" t="s">
        <v>744</v>
      </c>
      <c r="L659" s="16"/>
      <c r="M659" s="16"/>
      <c r="N659" s="16"/>
      <c r="O659" s="16"/>
      <c r="P659" s="20"/>
      <c r="Q659" s="20"/>
    </row>
    <row r="660" spans="1:17" ht="22.5" customHeight="1" thickTop="1" thickBot="1" x14ac:dyDescent="0.25">
      <c r="A660" s="16" t="e">
        <f>#REF!</f>
        <v>#REF!</v>
      </c>
      <c r="B660" s="16" t="e">
        <f>#REF!</f>
        <v>#REF!</v>
      </c>
      <c r="C660" s="16" t="e">
        <f>#REF!</f>
        <v>#REF!</v>
      </c>
      <c r="D660" s="16" t="e">
        <f>#REF!</f>
        <v>#REF!</v>
      </c>
      <c r="E660" s="16" t="e">
        <f>#REF!</f>
        <v>#REF!</v>
      </c>
      <c r="F660" s="16" t="e">
        <f>#REF!</f>
        <v>#REF!</v>
      </c>
      <c r="G660" s="16" t="e">
        <f>#REF!</f>
        <v>#REF!</v>
      </c>
      <c r="H660" s="16" t="e">
        <f>#REF!</f>
        <v>#REF!</v>
      </c>
      <c r="I660" s="16" t="e">
        <f>#REF!</f>
        <v>#REF!</v>
      </c>
      <c r="J660" s="16" t="e">
        <f>#REF!</f>
        <v>#REF!</v>
      </c>
      <c r="K660" s="16" t="s">
        <v>744</v>
      </c>
      <c r="L660" s="16"/>
      <c r="M660" s="16"/>
      <c r="N660" s="16"/>
      <c r="O660" s="16"/>
      <c r="P660" s="20"/>
      <c r="Q660" s="20"/>
    </row>
    <row r="661" spans="1:17" ht="22.5" customHeight="1" thickTop="1" thickBot="1" x14ac:dyDescent="0.25">
      <c r="A661" s="16" t="e">
        <f>#REF!</f>
        <v>#REF!</v>
      </c>
      <c r="B661" s="16" t="e">
        <f>#REF!</f>
        <v>#REF!</v>
      </c>
      <c r="C661" s="16" t="e">
        <f>#REF!</f>
        <v>#REF!</v>
      </c>
      <c r="D661" s="16" t="e">
        <f>#REF!</f>
        <v>#REF!</v>
      </c>
      <c r="E661" s="16" t="e">
        <f>#REF!</f>
        <v>#REF!</v>
      </c>
      <c r="F661" s="16" t="e">
        <f>#REF!</f>
        <v>#REF!</v>
      </c>
      <c r="G661" s="16" t="e">
        <f>#REF!</f>
        <v>#REF!</v>
      </c>
      <c r="H661" s="16" t="e">
        <f>#REF!</f>
        <v>#REF!</v>
      </c>
      <c r="I661" s="16" t="e">
        <f>#REF!</f>
        <v>#REF!</v>
      </c>
      <c r="J661" s="16" t="e">
        <f>#REF!</f>
        <v>#REF!</v>
      </c>
      <c r="K661" s="16" t="s">
        <v>744</v>
      </c>
      <c r="L661" s="16"/>
      <c r="M661" s="16"/>
      <c r="N661" s="16"/>
      <c r="O661" s="16"/>
      <c r="P661" s="20"/>
      <c r="Q661" s="20"/>
    </row>
    <row r="662" spans="1:17" ht="22.5" customHeight="1" thickTop="1" thickBot="1" x14ac:dyDescent="0.25">
      <c r="A662" s="16" t="e">
        <f>#REF!</f>
        <v>#REF!</v>
      </c>
      <c r="B662" s="16" t="e">
        <f>#REF!</f>
        <v>#REF!</v>
      </c>
      <c r="C662" s="16" t="e">
        <f>#REF!</f>
        <v>#REF!</v>
      </c>
      <c r="D662" s="16" t="e">
        <f>#REF!</f>
        <v>#REF!</v>
      </c>
      <c r="E662" s="16" t="e">
        <f>#REF!</f>
        <v>#REF!</v>
      </c>
      <c r="F662" s="16" t="e">
        <f>#REF!</f>
        <v>#REF!</v>
      </c>
      <c r="G662" s="16" t="e">
        <f>#REF!</f>
        <v>#REF!</v>
      </c>
      <c r="H662" s="16" t="e">
        <f>#REF!</f>
        <v>#REF!</v>
      </c>
      <c r="I662" s="16" t="e">
        <f>#REF!</f>
        <v>#REF!</v>
      </c>
      <c r="J662" s="16" t="e">
        <f>#REF!</f>
        <v>#REF!</v>
      </c>
      <c r="K662" s="16" t="s">
        <v>744</v>
      </c>
      <c r="L662" s="16"/>
      <c r="M662" s="16"/>
      <c r="N662" s="16"/>
      <c r="O662" s="16"/>
      <c r="P662" s="20"/>
      <c r="Q662" s="20"/>
    </row>
    <row r="663" spans="1:17" ht="22.5" customHeight="1" thickTop="1" thickBot="1" x14ac:dyDescent="0.25">
      <c r="A663" s="16" t="e">
        <f>#REF!</f>
        <v>#REF!</v>
      </c>
      <c r="B663" s="16" t="e">
        <f>#REF!</f>
        <v>#REF!</v>
      </c>
      <c r="C663" s="16" t="e">
        <f>#REF!</f>
        <v>#REF!</v>
      </c>
      <c r="D663" s="16" t="e">
        <f>#REF!</f>
        <v>#REF!</v>
      </c>
      <c r="E663" s="16" t="e">
        <f>#REF!</f>
        <v>#REF!</v>
      </c>
      <c r="F663" s="16" t="e">
        <f>#REF!</f>
        <v>#REF!</v>
      </c>
      <c r="G663" s="16" t="e">
        <f>#REF!</f>
        <v>#REF!</v>
      </c>
      <c r="H663" s="16" t="e">
        <f>#REF!</f>
        <v>#REF!</v>
      </c>
      <c r="I663" s="16" t="e">
        <f>#REF!</f>
        <v>#REF!</v>
      </c>
      <c r="J663" s="16" t="e">
        <f>#REF!</f>
        <v>#REF!</v>
      </c>
      <c r="K663" s="16" t="s">
        <v>744</v>
      </c>
      <c r="L663" s="16"/>
      <c r="M663" s="16"/>
      <c r="N663" s="16"/>
      <c r="O663" s="16"/>
      <c r="P663" s="17"/>
      <c r="Q663" s="17"/>
    </row>
    <row r="664" spans="1:17" ht="22.5" customHeight="1" thickTop="1" thickBot="1" x14ac:dyDescent="0.25">
      <c r="A664" s="16" t="e">
        <f>#REF!</f>
        <v>#REF!</v>
      </c>
      <c r="B664" s="16" t="e">
        <f>#REF!</f>
        <v>#REF!</v>
      </c>
      <c r="C664" s="16" t="e">
        <f>#REF!</f>
        <v>#REF!</v>
      </c>
      <c r="D664" s="16" t="e">
        <f>#REF!</f>
        <v>#REF!</v>
      </c>
      <c r="E664" s="16" t="e">
        <f>#REF!</f>
        <v>#REF!</v>
      </c>
      <c r="F664" s="16" t="e">
        <f>#REF!</f>
        <v>#REF!</v>
      </c>
      <c r="G664" s="16" t="e">
        <f>#REF!</f>
        <v>#REF!</v>
      </c>
      <c r="H664" s="16" t="e">
        <f>#REF!</f>
        <v>#REF!</v>
      </c>
      <c r="I664" s="16" t="e">
        <f>#REF!</f>
        <v>#REF!</v>
      </c>
      <c r="J664" s="16" t="e">
        <f>#REF!</f>
        <v>#REF!</v>
      </c>
      <c r="K664" s="16" t="s">
        <v>744</v>
      </c>
      <c r="L664" s="16"/>
      <c r="M664" s="16"/>
      <c r="N664" s="16"/>
      <c r="O664" s="16"/>
      <c r="P664" s="17"/>
      <c r="Q664" s="17"/>
    </row>
    <row r="665" spans="1:17" ht="22.5" customHeight="1" thickTop="1" thickBot="1" x14ac:dyDescent="0.25">
      <c r="A665" s="16" t="e">
        <f>#REF!</f>
        <v>#REF!</v>
      </c>
      <c r="B665" s="16" t="e">
        <f>#REF!</f>
        <v>#REF!</v>
      </c>
      <c r="C665" s="16" t="e">
        <f>#REF!</f>
        <v>#REF!</v>
      </c>
      <c r="D665" s="16" t="e">
        <f>#REF!</f>
        <v>#REF!</v>
      </c>
      <c r="E665" s="16" t="e">
        <f>#REF!</f>
        <v>#REF!</v>
      </c>
      <c r="F665" s="16" t="e">
        <f>#REF!</f>
        <v>#REF!</v>
      </c>
      <c r="G665" s="16" t="e">
        <f>#REF!</f>
        <v>#REF!</v>
      </c>
      <c r="H665" s="16" t="e">
        <f>#REF!</f>
        <v>#REF!</v>
      </c>
      <c r="I665" s="16" t="e">
        <f>#REF!</f>
        <v>#REF!</v>
      </c>
      <c r="J665" s="16" t="e">
        <f>#REF!</f>
        <v>#REF!</v>
      </c>
      <c r="K665" s="16" t="s">
        <v>744</v>
      </c>
      <c r="L665" s="16"/>
      <c r="M665" s="16"/>
      <c r="N665" s="16"/>
      <c r="O665" s="16"/>
      <c r="P665" s="17"/>
      <c r="Q665" s="17"/>
    </row>
    <row r="666" spans="1:17" ht="22.5" customHeight="1" thickTop="1" thickBot="1" x14ac:dyDescent="0.25">
      <c r="A666" s="16" t="e">
        <f>#REF!</f>
        <v>#REF!</v>
      </c>
      <c r="B666" s="16" t="e">
        <f>#REF!</f>
        <v>#REF!</v>
      </c>
      <c r="C666" s="16" t="e">
        <f>#REF!</f>
        <v>#REF!</v>
      </c>
      <c r="D666" s="16" t="e">
        <f>#REF!</f>
        <v>#REF!</v>
      </c>
      <c r="E666" s="16" t="e">
        <f>#REF!</f>
        <v>#REF!</v>
      </c>
      <c r="F666" s="16" t="e">
        <f>#REF!</f>
        <v>#REF!</v>
      </c>
      <c r="G666" s="16" t="e">
        <f>#REF!</f>
        <v>#REF!</v>
      </c>
      <c r="H666" s="16" t="e">
        <f>#REF!</f>
        <v>#REF!</v>
      </c>
      <c r="I666" s="16" t="e">
        <f>#REF!</f>
        <v>#REF!</v>
      </c>
      <c r="J666" s="16" t="e">
        <f>#REF!</f>
        <v>#REF!</v>
      </c>
      <c r="K666" s="16" t="s">
        <v>744</v>
      </c>
      <c r="L666" s="16"/>
      <c r="M666" s="16"/>
      <c r="N666" s="16"/>
      <c r="O666" s="16"/>
      <c r="P666" s="20"/>
      <c r="Q666" s="20"/>
    </row>
    <row r="667" spans="1:17" ht="22.5" customHeight="1" thickTop="1" thickBot="1" x14ac:dyDescent="0.25">
      <c r="A667" s="16" t="e">
        <f>#REF!</f>
        <v>#REF!</v>
      </c>
      <c r="B667" s="16" t="e">
        <f>#REF!</f>
        <v>#REF!</v>
      </c>
      <c r="C667" s="16" t="e">
        <f>#REF!</f>
        <v>#REF!</v>
      </c>
      <c r="D667" s="16" t="e">
        <f>#REF!</f>
        <v>#REF!</v>
      </c>
      <c r="E667" s="16" t="e">
        <f>#REF!</f>
        <v>#REF!</v>
      </c>
      <c r="F667" s="16" t="e">
        <f>#REF!</f>
        <v>#REF!</v>
      </c>
      <c r="G667" s="16" t="e">
        <f>#REF!</f>
        <v>#REF!</v>
      </c>
      <c r="H667" s="16" t="e">
        <f>#REF!</f>
        <v>#REF!</v>
      </c>
      <c r="I667" s="16" t="e">
        <f>#REF!</f>
        <v>#REF!</v>
      </c>
      <c r="J667" s="16" t="e">
        <f>#REF!</f>
        <v>#REF!</v>
      </c>
      <c r="K667" s="16" t="s">
        <v>744</v>
      </c>
      <c r="L667" s="16"/>
      <c r="M667" s="16"/>
      <c r="N667" s="16"/>
      <c r="O667" s="16"/>
      <c r="P667" s="30"/>
      <c r="Q667" s="30"/>
    </row>
    <row r="668" spans="1:17" ht="22.5" customHeight="1" thickTop="1" thickBot="1" x14ac:dyDescent="0.25">
      <c r="A668" s="16" t="e">
        <f>#REF!</f>
        <v>#REF!</v>
      </c>
      <c r="B668" s="16" t="e">
        <f>#REF!</f>
        <v>#REF!</v>
      </c>
      <c r="C668" s="16" t="e">
        <f>#REF!</f>
        <v>#REF!</v>
      </c>
      <c r="D668" s="16" t="e">
        <f>#REF!</f>
        <v>#REF!</v>
      </c>
      <c r="E668" s="16" t="e">
        <f>#REF!</f>
        <v>#REF!</v>
      </c>
      <c r="F668" s="16" t="e">
        <f>#REF!</f>
        <v>#REF!</v>
      </c>
      <c r="G668" s="16" t="e">
        <f>#REF!</f>
        <v>#REF!</v>
      </c>
      <c r="H668" s="16" t="e">
        <f>#REF!</f>
        <v>#REF!</v>
      </c>
      <c r="I668" s="16" t="e">
        <f>#REF!</f>
        <v>#REF!</v>
      </c>
      <c r="J668" s="16" t="e">
        <f>#REF!</f>
        <v>#REF!</v>
      </c>
      <c r="K668" s="16" t="s">
        <v>744</v>
      </c>
      <c r="L668" s="16"/>
      <c r="M668" s="16"/>
      <c r="N668" s="16"/>
      <c r="O668" s="16"/>
      <c r="P668" s="30"/>
      <c r="Q668" s="30"/>
    </row>
    <row r="669" spans="1:17" ht="22.5" customHeight="1" thickTop="1" thickBot="1" x14ac:dyDescent="0.25">
      <c r="A669" s="16" t="e">
        <f>#REF!</f>
        <v>#REF!</v>
      </c>
      <c r="B669" s="16" t="e">
        <f>#REF!</f>
        <v>#REF!</v>
      </c>
      <c r="C669" s="16" t="e">
        <f>#REF!</f>
        <v>#REF!</v>
      </c>
      <c r="D669" s="16" t="e">
        <f>#REF!</f>
        <v>#REF!</v>
      </c>
      <c r="E669" s="16" t="e">
        <f>#REF!</f>
        <v>#REF!</v>
      </c>
      <c r="F669" s="16" t="e">
        <f>#REF!</f>
        <v>#REF!</v>
      </c>
      <c r="G669" s="16" t="e">
        <f>#REF!</f>
        <v>#REF!</v>
      </c>
      <c r="H669" s="16" t="e">
        <f>#REF!</f>
        <v>#REF!</v>
      </c>
      <c r="I669" s="16" t="e">
        <f>#REF!</f>
        <v>#REF!</v>
      </c>
      <c r="J669" s="16" t="e">
        <f>#REF!</f>
        <v>#REF!</v>
      </c>
      <c r="K669" s="16" t="s">
        <v>744</v>
      </c>
      <c r="L669" s="16"/>
      <c r="M669" s="16"/>
      <c r="N669" s="16"/>
      <c r="O669" s="16"/>
      <c r="P669" s="30"/>
      <c r="Q669" s="30"/>
    </row>
    <row r="670" spans="1:17" ht="22.5" customHeight="1" thickTop="1" thickBot="1" x14ac:dyDescent="0.25">
      <c r="A670" s="16" t="e">
        <f>#REF!</f>
        <v>#REF!</v>
      </c>
      <c r="B670" s="16" t="e">
        <f>#REF!</f>
        <v>#REF!</v>
      </c>
      <c r="C670" s="16" t="e">
        <f>#REF!</f>
        <v>#REF!</v>
      </c>
      <c r="D670" s="16" t="e">
        <f>#REF!</f>
        <v>#REF!</v>
      </c>
      <c r="E670" s="16" t="e">
        <f>#REF!</f>
        <v>#REF!</v>
      </c>
      <c r="F670" s="16" t="e">
        <f>#REF!</f>
        <v>#REF!</v>
      </c>
      <c r="G670" s="16" t="e">
        <f>#REF!</f>
        <v>#REF!</v>
      </c>
      <c r="H670" s="16" t="e">
        <f>#REF!</f>
        <v>#REF!</v>
      </c>
      <c r="I670" s="16" t="e">
        <f>#REF!</f>
        <v>#REF!</v>
      </c>
      <c r="J670" s="16" t="e">
        <f>#REF!</f>
        <v>#REF!</v>
      </c>
      <c r="K670" s="16" t="s">
        <v>744</v>
      </c>
      <c r="L670" s="16"/>
      <c r="M670" s="16"/>
      <c r="N670" s="16"/>
      <c r="O670" s="16"/>
      <c r="P670" s="30"/>
      <c r="Q670" s="30"/>
    </row>
    <row r="671" spans="1:17" ht="22.5" customHeight="1" thickTop="1" thickBot="1" x14ac:dyDescent="0.25">
      <c r="A671" s="16" t="e">
        <f>#REF!</f>
        <v>#REF!</v>
      </c>
      <c r="B671" s="16" t="e">
        <f>#REF!</f>
        <v>#REF!</v>
      </c>
      <c r="C671" s="16" t="e">
        <f>#REF!</f>
        <v>#REF!</v>
      </c>
      <c r="D671" s="16" t="e">
        <f>#REF!</f>
        <v>#REF!</v>
      </c>
      <c r="E671" s="16" t="e">
        <f>#REF!</f>
        <v>#REF!</v>
      </c>
      <c r="F671" s="16" t="e">
        <f>#REF!</f>
        <v>#REF!</v>
      </c>
      <c r="G671" s="16" t="e">
        <f>#REF!</f>
        <v>#REF!</v>
      </c>
      <c r="H671" s="16" t="e">
        <f>#REF!</f>
        <v>#REF!</v>
      </c>
      <c r="I671" s="16" t="e">
        <f>#REF!</f>
        <v>#REF!</v>
      </c>
      <c r="J671" s="16" t="e">
        <f>#REF!</f>
        <v>#REF!</v>
      </c>
      <c r="K671" s="16" t="s">
        <v>744</v>
      </c>
      <c r="L671" s="16"/>
      <c r="M671" s="16"/>
      <c r="N671" s="16"/>
      <c r="O671" s="16"/>
      <c r="P671" s="31"/>
      <c r="Q671" s="31"/>
    </row>
    <row r="672" spans="1:17" ht="22.5" customHeight="1" thickTop="1" thickBot="1" x14ac:dyDescent="0.25">
      <c r="A672" s="16" t="e">
        <f>#REF!</f>
        <v>#REF!</v>
      </c>
      <c r="B672" s="16" t="e">
        <f>#REF!</f>
        <v>#REF!</v>
      </c>
      <c r="C672" s="16" t="e">
        <f>#REF!</f>
        <v>#REF!</v>
      </c>
      <c r="D672" s="16" t="e">
        <f>#REF!</f>
        <v>#REF!</v>
      </c>
      <c r="E672" s="16" t="e">
        <f>#REF!</f>
        <v>#REF!</v>
      </c>
      <c r="F672" s="16" t="e">
        <f>#REF!</f>
        <v>#REF!</v>
      </c>
      <c r="G672" s="16" t="e">
        <f>#REF!</f>
        <v>#REF!</v>
      </c>
      <c r="H672" s="16" t="e">
        <f>#REF!</f>
        <v>#REF!</v>
      </c>
      <c r="I672" s="16" t="e">
        <f>#REF!</f>
        <v>#REF!</v>
      </c>
      <c r="J672" s="16" t="e">
        <f>#REF!</f>
        <v>#REF!</v>
      </c>
      <c r="K672" s="16" t="s">
        <v>744</v>
      </c>
      <c r="L672" s="16"/>
      <c r="M672" s="16"/>
      <c r="N672" s="16"/>
      <c r="O672" s="16"/>
      <c r="P672" s="31"/>
      <c r="Q672" s="31"/>
    </row>
    <row r="673" spans="1:17" ht="22.5" customHeight="1" thickTop="1" thickBot="1" x14ac:dyDescent="0.25">
      <c r="A673" s="16" t="e">
        <f>#REF!</f>
        <v>#REF!</v>
      </c>
      <c r="B673" s="16" t="e">
        <f>#REF!</f>
        <v>#REF!</v>
      </c>
      <c r="C673" s="16" t="e">
        <f>#REF!</f>
        <v>#REF!</v>
      </c>
      <c r="D673" s="16" t="e">
        <f>#REF!</f>
        <v>#REF!</v>
      </c>
      <c r="E673" s="16" t="e">
        <f>#REF!</f>
        <v>#REF!</v>
      </c>
      <c r="F673" s="16" t="e">
        <f>#REF!</f>
        <v>#REF!</v>
      </c>
      <c r="G673" s="16" t="e">
        <f>#REF!</f>
        <v>#REF!</v>
      </c>
      <c r="H673" s="16" t="e">
        <f>#REF!</f>
        <v>#REF!</v>
      </c>
      <c r="I673" s="16" t="e">
        <f>#REF!</f>
        <v>#REF!</v>
      </c>
      <c r="J673" s="16" t="e">
        <f>#REF!</f>
        <v>#REF!</v>
      </c>
      <c r="K673" s="16" t="s">
        <v>744</v>
      </c>
      <c r="L673" s="16"/>
      <c r="M673" s="16"/>
      <c r="N673" s="16"/>
      <c r="O673" s="16"/>
      <c r="P673" s="31"/>
      <c r="Q673" s="31"/>
    </row>
    <row r="674" spans="1:17" ht="22.5" customHeight="1" thickTop="1" thickBot="1" x14ac:dyDescent="0.25">
      <c r="A674" s="16" t="e">
        <f>#REF!</f>
        <v>#REF!</v>
      </c>
      <c r="B674" s="16" t="e">
        <f>#REF!</f>
        <v>#REF!</v>
      </c>
      <c r="C674" s="16" t="e">
        <f>#REF!</f>
        <v>#REF!</v>
      </c>
      <c r="D674" s="16" t="e">
        <f>#REF!</f>
        <v>#REF!</v>
      </c>
      <c r="E674" s="16" t="e">
        <f>#REF!</f>
        <v>#REF!</v>
      </c>
      <c r="F674" s="16" t="e">
        <f>#REF!</f>
        <v>#REF!</v>
      </c>
      <c r="G674" s="16" t="e">
        <f>#REF!</f>
        <v>#REF!</v>
      </c>
      <c r="H674" s="16" t="e">
        <f>#REF!</f>
        <v>#REF!</v>
      </c>
      <c r="I674" s="16" t="e">
        <f>#REF!</f>
        <v>#REF!</v>
      </c>
      <c r="J674" s="16" t="e">
        <f>#REF!</f>
        <v>#REF!</v>
      </c>
      <c r="K674" s="16" t="s">
        <v>744</v>
      </c>
      <c r="L674" s="16"/>
      <c r="M674" s="16"/>
      <c r="N674" s="16"/>
      <c r="O674" s="16"/>
      <c r="P674" s="31"/>
      <c r="Q674" s="31"/>
    </row>
    <row r="675" spans="1:17" ht="22.5" customHeight="1" thickTop="1" thickBot="1" x14ac:dyDescent="0.25">
      <c r="A675" s="16" t="e">
        <f>#REF!</f>
        <v>#REF!</v>
      </c>
      <c r="B675" s="16" t="e">
        <f>#REF!</f>
        <v>#REF!</v>
      </c>
      <c r="C675" s="16" t="e">
        <f>#REF!</f>
        <v>#REF!</v>
      </c>
      <c r="D675" s="16" t="e">
        <f>#REF!</f>
        <v>#REF!</v>
      </c>
      <c r="E675" s="16" t="e">
        <f>#REF!</f>
        <v>#REF!</v>
      </c>
      <c r="F675" s="16" t="e">
        <f>#REF!</f>
        <v>#REF!</v>
      </c>
      <c r="G675" s="16" t="e">
        <f>#REF!</f>
        <v>#REF!</v>
      </c>
      <c r="H675" s="16" t="e">
        <f>#REF!</f>
        <v>#REF!</v>
      </c>
      <c r="I675" s="16" t="e">
        <f>#REF!</f>
        <v>#REF!</v>
      </c>
      <c r="J675" s="16" t="e">
        <f>#REF!</f>
        <v>#REF!</v>
      </c>
      <c r="K675" s="16" t="s">
        <v>744</v>
      </c>
      <c r="L675" s="16"/>
      <c r="M675" s="16"/>
      <c r="N675" s="16"/>
      <c r="O675" s="16"/>
      <c r="P675" s="31"/>
      <c r="Q675" s="31"/>
    </row>
    <row r="676" spans="1:17" ht="22.5" customHeight="1" thickTop="1" thickBot="1" x14ac:dyDescent="0.25">
      <c r="A676" s="16" t="e">
        <f>#REF!</f>
        <v>#REF!</v>
      </c>
      <c r="B676" s="16" t="e">
        <f>#REF!</f>
        <v>#REF!</v>
      </c>
      <c r="C676" s="16" t="e">
        <f>#REF!</f>
        <v>#REF!</v>
      </c>
      <c r="D676" s="16" t="e">
        <f>#REF!</f>
        <v>#REF!</v>
      </c>
      <c r="E676" s="16" t="e">
        <f>#REF!</f>
        <v>#REF!</v>
      </c>
      <c r="F676" s="16" t="e">
        <f>#REF!</f>
        <v>#REF!</v>
      </c>
      <c r="G676" s="16" t="e">
        <f>#REF!</f>
        <v>#REF!</v>
      </c>
      <c r="H676" s="16" t="e">
        <f>#REF!</f>
        <v>#REF!</v>
      </c>
      <c r="I676" s="16" t="e">
        <f>#REF!</f>
        <v>#REF!</v>
      </c>
      <c r="J676" s="16" t="e">
        <f>#REF!</f>
        <v>#REF!</v>
      </c>
      <c r="K676" s="16" t="s">
        <v>744</v>
      </c>
      <c r="L676" s="16"/>
      <c r="M676" s="16"/>
      <c r="N676" s="16"/>
      <c r="O676" s="16"/>
      <c r="P676" s="31"/>
      <c r="Q676" s="31"/>
    </row>
    <row r="677" spans="1:17" ht="22.5" customHeight="1" thickTop="1" thickBot="1" x14ac:dyDescent="0.25">
      <c r="A677" s="16" t="e">
        <f>#REF!</f>
        <v>#REF!</v>
      </c>
      <c r="B677" s="16" t="e">
        <f>#REF!</f>
        <v>#REF!</v>
      </c>
      <c r="C677" s="16" t="e">
        <f>#REF!</f>
        <v>#REF!</v>
      </c>
      <c r="D677" s="16" t="e">
        <f>#REF!</f>
        <v>#REF!</v>
      </c>
      <c r="E677" s="16" t="e">
        <f>#REF!</f>
        <v>#REF!</v>
      </c>
      <c r="F677" s="16" t="e">
        <f>#REF!</f>
        <v>#REF!</v>
      </c>
      <c r="G677" s="16" t="e">
        <f>#REF!</f>
        <v>#REF!</v>
      </c>
      <c r="H677" s="16" t="e">
        <f>#REF!</f>
        <v>#REF!</v>
      </c>
      <c r="I677" s="16" t="e">
        <f>#REF!</f>
        <v>#REF!</v>
      </c>
      <c r="J677" s="16" t="e">
        <f>#REF!</f>
        <v>#REF!</v>
      </c>
      <c r="K677" s="16" t="s">
        <v>744</v>
      </c>
      <c r="L677" s="16"/>
      <c r="M677" s="16"/>
      <c r="N677" s="16"/>
      <c r="O677" s="16"/>
      <c r="P677" s="30"/>
      <c r="Q677" s="30"/>
    </row>
    <row r="678" spans="1:17" ht="22.5" customHeight="1" thickTop="1" thickBot="1" x14ac:dyDescent="0.25">
      <c r="A678" s="16" t="e">
        <f>#REF!</f>
        <v>#REF!</v>
      </c>
      <c r="B678" s="16" t="e">
        <f>#REF!</f>
        <v>#REF!</v>
      </c>
      <c r="C678" s="16" t="e">
        <f>#REF!</f>
        <v>#REF!</v>
      </c>
      <c r="D678" s="16" t="e">
        <f>#REF!</f>
        <v>#REF!</v>
      </c>
      <c r="E678" s="16" t="e">
        <f>#REF!</f>
        <v>#REF!</v>
      </c>
      <c r="F678" s="16" t="e">
        <f>#REF!</f>
        <v>#REF!</v>
      </c>
      <c r="G678" s="16" t="e">
        <f>#REF!</f>
        <v>#REF!</v>
      </c>
      <c r="H678" s="16" t="e">
        <f>#REF!</f>
        <v>#REF!</v>
      </c>
      <c r="I678" s="16" t="e">
        <f>#REF!</f>
        <v>#REF!</v>
      </c>
      <c r="J678" s="16" t="e">
        <f>#REF!</f>
        <v>#REF!</v>
      </c>
      <c r="K678" s="16" t="s">
        <v>744</v>
      </c>
      <c r="L678" s="16"/>
      <c r="M678" s="16"/>
      <c r="N678" s="16"/>
      <c r="O678" s="16"/>
      <c r="P678" s="30"/>
      <c r="Q678" s="30"/>
    </row>
    <row r="679" spans="1:17" ht="22.5" customHeight="1" thickTop="1" thickBot="1" x14ac:dyDescent="0.25">
      <c r="A679" s="16" t="e">
        <f>#REF!</f>
        <v>#REF!</v>
      </c>
      <c r="B679" s="16" t="e">
        <f>#REF!</f>
        <v>#REF!</v>
      </c>
      <c r="C679" s="16" t="e">
        <f>#REF!</f>
        <v>#REF!</v>
      </c>
      <c r="D679" s="16" t="e">
        <f>#REF!</f>
        <v>#REF!</v>
      </c>
      <c r="E679" s="16" t="e">
        <f>#REF!</f>
        <v>#REF!</v>
      </c>
      <c r="F679" s="16" t="e">
        <f>#REF!</f>
        <v>#REF!</v>
      </c>
      <c r="G679" s="16" t="e">
        <f>#REF!</f>
        <v>#REF!</v>
      </c>
      <c r="H679" s="16" t="e">
        <f>#REF!</f>
        <v>#REF!</v>
      </c>
      <c r="I679" s="16" t="e">
        <f>#REF!</f>
        <v>#REF!</v>
      </c>
      <c r="J679" s="16" t="e">
        <f>#REF!</f>
        <v>#REF!</v>
      </c>
      <c r="K679" s="16" t="s">
        <v>744</v>
      </c>
      <c r="L679" s="16"/>
      <c r="M679" s="16"/>
      <c r="N679" s="16"/>
      <c r="O679" s="16"/>
      <c r="P679" s="30"/>
      <c r="Q679" s="30"/>
    </row>
    <row r="680" spans="1:17" ht="22.5" customHeight="1" thickTop="1" thickBot="1" x14ac:dyDescent="0.25">
      <c r="A680" s="16" t="e">
        <f>#REF!</f>
        <v>#REF!</v>
      </c>
      <c r="B680" s="16" t="e">
        <f>#REF!</f>
        <v>#REF!</v>
      </c>
      <c r="C680" s="16" t="e">
        <f>#REF!</f>
        <v>#REF!</v>
      </c>
      <c r="D680" s="16" t="e">
        <f>#REF!</f>
        <v>#REF!</v>
      </c>
      <c r="E680" s="16" t="e">
        <f>#REF!</f>
        <v>#REF!</v>
      </c>
      <c r="F680" s="16" t="e">
        <f>#REF!</f>
        <v>#REF!</v>
      </c>
      <c r="G680" s="16" t="e">
        <f>#REF!</f>
        <v>#REF!</v>
      </c>
      <c r="H680" s="16" t="e">
        <f>#REF!</f>
        <v>#REF!</v>
      </c>
      <c r="I680" s="16" t="e">
        <f>#REF!</f>
        <v>#REF!</v>
      </c>
      <c r="J680" s="16" t="e">
        <f>#REF!</f>
        <v>#REF!</v>
      </c>
      <c r="K680" s="16"/>
      <c r="L680" s="16"/>
      <c r="M680" s="16"/>
      <c r="N680" s="16"/>
      <c r="O680" s="16"/>
      <c r="P680" s="31"/>
      <c r="Q680" s="31"/>
    </row>
    <row r="681" spans="1:17" ht="22.5" customHeight="1" thickTop="1" thickBot="1" x14ac:dyDescent="0.25">
      <c r="A681" s="16" t="e">
        <f>#REF!</f>
        <v>#REF!</v>
      </c>
      <c r="B681" s="16" t="e">
        <f>#REF!</f>
        <v>#REF!</v>
      </c>
      <c r="C681" s="16" t="e">
        <f>#REF!</f>
        <v>#REF!</v>
      </c>
      <c r="D681" s="16" t="e">
        <f>#REF!</f>
        <v>#REF!</v>
      </c>
      <c r="E681" s="16" t="e">
        <f>#REF!</f>
        <v>#REF!</v>
      </c>
      <c r="F681" s="16" t="e">
        <f>#REF!</f>
        <v>#REF!</v>
      </c>
      <c r="G681" s="16" t="e">
        <f>#REF!</f>
        <v>#REF!</v>
      </c>
      <c r="H681" s="16" t="e">
        <f>#REF!</f>
        <v>#REF!</v>
      </c>
      <c r="I681" s="16" t="e">
        <f>#REF!</f>
        <v>#REF!</v>
      </c>
      <c r="J681" s="16" t="e">
        <f>#REF!</f>
        <v>#REF!</v>
      </c>
      <c r="K681" s="16" t="s">
        <v>744</v>
      </c>
      <c r="L681" s="16"/>
      <c r="M681" s="16"/>
      <c r="N681" s="16"/>
      <c r="O681" s="16"/>
      <c r="P681" s="30"/>
      <c r="Q681" s="30"/>
    </row>
    <row r="682" spans="1:17" ht="22.5" customHeight="1" thickTop="1" thickBot="1" x14ac:dyDescent="0.25">
      <c r="A682" s="16" t="e">
        <f>#REF!</f>
        <v>#REF!</v>
      </c>
      <c r="B682" s="16" t="e">
        <f>#REF!</f>
        <v>#REF!</v>
      </c>
      <c r="C682" s="16" t="e">
        <f>#REF!</f>
        <v>#REF!</v>
      </c>
      <c r="D682" s="16" t="e">
        <f>#REF!</f>
        <v>#REF!</v>
      </c>
      <c r="E682" s="16" t="e">
        <f>#REF!</f>
        <v>#REF!</v>
      </c>
      <c r="F682" s="16" t="e">
        <f>#REF!</f>
        <v>#REF!</v>
      </c>
      <c r="G682" s="16" t="e">
        <f>#REF!</f>
        <v>#REF!</v>
      </c>
      <c r="H682" s="16" t="e">
        <f>#REF!</f>
        <v>#REF!</v>
      </c>
      <c r="I682" s="16" t="e">
        <f>#REF!</f>
        <v>#REF!</v>
      </c>
      <c r="J682" s="16" t="e">
        <f>#REF!</f>
        <v>#REF!</v>
      </c>
      <c r="K682" s="16" t="s">
        <v>744</v>
      </c>
      <c r="L682" s="16"/>
      <c r="M682" s="16"/>
      <c r="N682" s="16"/>
      <c r="O682" s="16"/>
      <c r="P682" s="30"/>
      <c r="Q682" s="30"/>
    </row>
    <row r="683" spans="1:17" ht="22.5" customHeight="1" thickTop="1" thickBot="1" x14ac:dyDescent="0.25">
      <c r="A683" s="16" t="e">
        <f>#REF!</f>
        <v>#REF!</v>
      </c>
      <c r="B683" s="16" t="e">
        <f>#REF!</f>
        <v>#REF!</v>
      </c>
      <c r="C683" s="16" t="e">
        <f>#REF!</f>
        <v>#REF!</v>
      </c>
      <c r="D683" s="16" t="e">
        <f>#REF!</f>
        <v>#REF!</v>
      </c>
      <c r="E683" s="16" t="e">
        <f>#REF!</f>
        <v>#REF!</v>
      </c>
      <c r="F683" s="16" t="e">
        <f>#REF!</f>
        <v>#REF!</v>
      </c>
      <c r="G683" s="16" t="e">
        <f>#REF!</f>
        <v>#REF!</v>
      </c>
      <c r="H683" s="16" t="e">
        <f>#REF!</f>
        <v>#REF!</v>
      </c>
      <c r="I683" s="16" t="e">
        <f>#REF!</f>
        <v>#REF!</v>
      </c>
      <c r="J683" s="16" t="e">
        <f>#REF!</f>
        <v>#REF!</v>
      </c>
      <c r="K683" s="16" t="s">
        <v>744</v>
      </c>
      <c r="L683" s="16"/>
      <c r="M683" s="16"/>
      <c r="N683" s="16"/>
      <c r="O683" s="16"/>
      <c r="P683" s="31"/>
      <c r="Q683" s="31"/>
    </row>
    <row r="684" spans="1:17" ht="22.5" customHeight="1" thickTop="1" thickBot="1" x14ac:dyDescent="0.25">
      <c r="A684" s="16" t="e">
        <f>#REF!</f>
        <v>#REF!</v>
      </c>
      <c r="B684" s="16" t="e">
        <f>#REF!</f>
        <v>#REF!</v>
      </c>
      <c r="C684" s="16" t="e">
        <f>#REF!</f>
        <v>#REF!</v>
      </c>
      <c r="D684" s="16" t="e">
        <f>#REF!</f>
        <v>#REF!</v>
      </c>
      <c r="E684" s="16" t="e">
        <f>#REF!</f>
        <v>#REF!</v>
      </c>
      <c r="F684" s="16" t="e">
        <f>#REF!</f>
        <v>#REF!</v>
      </c>
      <c r="G684" s="16" t="e">
        <f>#REF!</f>
        <v>#REF!</v>
      </c>
      <c r="H684" s="16" t="e">
        <f>#REF!</f>
        <v>#REF!</v>
      </c>
      <c r="I684" s="16" t="e">
        <f>#REF!</f>
        <v>#REF!</v>
      </c>
      <c r="J684" s="16" t="e">
        <f>#REF!</f>
        <v>#REF!</v>
      </c>
      <c r="K684" s="16" t="s">
        <v>744</v>
      </c>
      <c r="L684" s="16"/>
      <c r="M684" s="16"/>
      <c r="N684" s="16"/>
      <c r="O684" s="16"/>
      <c r="P684" s="30"/>
      <c r="Q684" s="30"/>
    </row>
    <row r="685" spans="1:17" ht="22.5" customHeight="1" thickTop="1" thickBot="1" x14ac:dyDescent="0.25">
      <c r="A685" s="16" t="e">
        <f>#REF!</f>
        <v>#REF!</v>
      </c>
      <c r="B685" s="16" t="e">
        <f>#REF!</f>
        <v>#REF!</v>
      </c>
      <c r="C685" s="16" t="e">
        <f>#REF!</f>
        <v>#REF!</v>
      </c>
      <c r="D685" s="16" t="e">
        <f>#REF!</f>
        <v>#REF!</v>
      </c>
      <c r="E685" s="16" t="e">
        <f>#REF!</f>
        <v>#REF!</v>
      </c>
      <c r="F685" s="16" t="e">
        <f>#REF!</f>
        <v>#REF!</v>
      </c>
      <c r="G685" s="16" t="e">
        <f>#REF!</f>
        <v>#REF!</v>
      </c>
      <c r="H685" s="16" t="e">
        <f>#REF!</f>
        <v>#REF!</v>
      </c>
      <c r="I685" s="16" t="e">
        <f>#REF!</f>
        <v>#REF!</v>
      </c>
      <c r="J685" s="16" t="e">
        <f>#REF!</f>
        <v>#REF!</v>
      </c>
      <c r="K685" s="16" t="s">
        <v>744</v>
      </c>
      <c r="L685" s="16"/>
      <c r="M685" s="16"/>
      <c r="N685" s="16"/>
      <c r="O685" s="16"/>
      <c r="P685" s="32"/>
      <c r="Q685" s="32"/>
    </row>
    <row r="686" spans="1:17" ht="22.5" customHeight="1" thickTop="1" thickBot="1" x14ac:dyDescent="0.25">
      <c r="A686" s="16" t="e">
        <f>#REF!</f>
        <v>#REF!</v>
      </c>
      <c r="B686" s="16" t="e">
        <f>#REF!</f>
        <v>#REF!</v>
      </c>
      <c r="C686" s="16" t="e">
        <f>#REF!</f>
        <v>#REF!</v>
      </c>
      <c r="D686" s="16" t="e">
        <f>#REF!</f>
        <v>#REF!</v>
      </c>
      <c r="E686" s="16" t="e">
        <f>#REF!</f>
        <v>#REF!</v>
      </c>
      <c r="F686" s="16" t="e">
        <f>#REF!</f>
        <v>#REF!</v>
      </c>
      <c r="G686" s="16" t="e">
        <f>#REF!</f>
        <v>#REF!</v>
      </c>
      <c r="H686" s="16" t="e">
        <f>#REF!</f>
        <v>#REF!</v>
      </c>
      <c r="I686" s="16" t="e">
        <f>#REF!</f>
        <v>#REF!</v>
      </c>
      <c r="J686" s="16" t="e">
        <f>#REF!</f>
        <v>#REF!</v>
      </c>
      <c r="K686" s="16" t="s">
        <v>744</v>
      </c>
      <c r="L686" s="16"/>
      <c r="M686" s="16"/>
      <c r="N686" s="16"/>
      <c r="O686" s="16"/>
      <c r="P686" s="32"/>
      <c r="Q686" s="32"/>
    </row>
    <row r="687" spans="1:17" ht="22.5" customHeight="1" thickTop="1" thickBot="1" x14ac:dyDescent="0.25">
      <c r="A687" s="16" t="e">
        <f>#REF!</f>
        <v>#REF!</v>
      </c>
      <c r="B687" s="16" t="e">
        <f>#REF!</f>
        <v>#REF!</v>
      </c>
      <c r="C687" s="16" t="e">
        <f>#REF!</f>
        <v>#REF!</v>
      </c>
      <c r="D687" s="16" t="e">
        <f>#REF!</f>
        <v>#REF!</v>
      </c>
      <c r="E687" s="16" t="e">
        <f>#REF!</f>
        <v>#REF!</v>
      </c>
      <c r="F687" s="16" t="e">
        <f>#REF!</f>
        <v>#REF!</v>
      </c>
      <c r="G687" s="16" t="e">
        <f>#REF!</f>
        <v>#REF!</v>
      </c>
      <c r="H687" s="16" t="e">
        <f>#REF!</f>
        <v>#REF!</v>
      </c>
      <c r="I687" s="16" t="e">
        <f>#REF!</f>
        <v>#REF!</v>
      </c>
      <c r="J687" s="16" t="e">
        <f>#REF!</f>
        <v>#REF!</v>
      </c>
      <c r="K687" s="16" t="s">
        <v>744</v>
      </c>
      <c r="L687" s="16"/>
      <c r="M687" s="16"/>
      <c r="N687" s="16"/>
      <c r="O687" s="16"/>
      <c r="P687" s="32"/>
      <c r="Q687" s="32"/>
    </row>
    <row r="688" spans="1:17" ht="22.5" customHeight="1" thickTop="1" thickBot="1" x14ac:dyDescent="0.25">
      <c r="A688" s="16" t="e">
        <f>#REF!</f>
        <v>#REF!</v>
      </c>
      <c r="B688" s="16" t="e">
        <f>#REF!</f>
        <v>#REF!</v>
      </c>
      <c r="C688" s="16" t="e">
        <f>#REF!</f>
        <v>#REF!</v>
      </c>
      <c r="D688" s="16" t="e">
        <f>#REF!</f>
        <v>#REF!</v>
      </c>
      <c r="E688" s="16" t="e">
        <f>#REF!</f>
        <v>#REF!</v>
      </c>
      <c r="F688" s="16" t="e">
        <f>#REF!</f>
        <v>#REF!</v>
      </c>
      <c r="G688" s="16" t="e">
        <f>#REF!</f>
        <v>#REF!</v>
      </c>
      <c r="H688" s="16" t="e">
        <f>#REF!</f>
        <v>#REF!</v>
      </c>
      <c r="I688" s="16" t="e">
        <f>#REF!</f>
        <v>#REF!</v>
      </c>
      <c r="J688" s="16" t="e">
        <f>#REF!</f>
        <v>#REF!</v>
      </c>
      <c r="K688" s="16" t="s">
        <v>744</v>
      </c>
      <c r="L688" s="16"/>
      <c r="M688" s="16"/>
      <c r="N688" s="16"/>
      <c r="O688" s="16"/>
      <c r="P688" s="30"/>
      <c r="Q688" s="30"/>
    </row>
    <row r="689" spans="1:17" ht="22.5" customHeight="1" thickTop="1" thickBot="1" x14ac:dyDescent="0.25">
      <c r="A689" s="16" t="e">
        <f>#REF!</f>
        <v>#REF!</v>
      </c>
      <c r="B689" s="16" t="e">
        <f>#REF!</f>
        <v>#REF!</v>
      </c>
      <c r="C689" s="16" t="e">
        <f>#REF!</f>
        <v>#REF!</v>
      </c>
      <c r="D689" s="16" t="e">
        <f>#REF!</f>
        <v>#REF!</v>
      </c>
      <c r="E689" s="16" t="e">
        <f>#REF!</f>
        <v>#REF!</v>
      </c>
      <c r="F689" s="16" t="e">
        <f>#REF!</f>
        <v>#REF!</v>
      </c>
      <c r="G689" s="16" t="e">
        <f>#REF!</f>
        <v>#REF!</v>
      </c>
      <c r="H689" s="16" t="e">
        <f>#REF!</f>
        <v>#REF!</v>
      </c>
      <c r="I689" s="16" t="e">
        <f>#REF!</f>
        <v>#REF!</v>
      </c>
      <c r="J689" s="16" t="e">
        <f>#REF!</f>
        <v>#REF!</v>
      </c>
      <c r="K689" s="16" t="s">
        <v>744</v>
      </c>
      <c r="L689" s="16"/>
      <c r="M689" s="16"/>
      <c r="N689" s="16"/>
      <c r="O689" s="16"/>
      <c r="P689" s="30"/>
      <c r="Q689" s="30"/>
    </row>
    <row r="690" spans="1:17" ht="22.5" customHeight="1" thickTop="1" thickBot="1" x14ac:dyDescent="0.25">
      <c r="A690" s="16" t="e">
        <f>#REF!</f>
        <v>#REF!</v>
      </c>
      <c r="B690" s="16" t="e">
        <f>#REF!</f>
        <v>#REF!</v>
      </c>
      <c r="C690" s="16" t="e">
        <f>#REF!</f>
        <v>#REF!</v>
      </c>
      <c r="D690" s="16" t="e">
        <f>#REF!</f>
        <v>#REF!</v>
      </c>
      <c r="E690" s="16" t="e">
        <f>#REF!</f>
        <v>#REF!</v>
      </c>
      <c r="F690" s="16" t="e">
        <f>#REF!</f>
        <v>#REF!</v>
      </c>
      <c r="G690" s="16" t="e">
        <f>#REF!</f>
        <v>#REF!</v>
      </c>
      <c r="H690" s="16" t="e">
        <f>#REF!</f>
        <v>#REF!</v>
      </c>
      <c r="I690" s="16" t="e">
        <f>#REF!</f>
        <v>#REF!</v>
      </c>
      <c r="J690" s="16" t="e">
        <f>#REF!</f>
        <v>#REF!</v>
      </c>
      <c r="K690" s="16" t="s">
        <v>744</v>
      </c>
      <c r="L690" s="16"/>
      <c r="M690" s="16"/>
      <c r="N690" s="16"/>
      <c r="O690" s="16"/>
      <c r="P690" s="30"/>
      <c r="Q690" s="30"/>
    </row>
    <row r="691" spans="1:17" ht="22.5" customHeight="1" thickTop="1" thickBot="1" x14ac:dyDescent="0.25">
      <c r="A691" s="16" t="e">
        <f>#REF!</f>
        <v>#REF!</v>
      </c>
      <c r="B691" s="16" t="e">
        <f>#REF!</f>
        <v>#REF!</v>
      </c>
      <c r="C691" s="16" t="e">
        <f>#REF!</f>
        <v>#REF!</v>
      </c>
      <c r="D691" s="16" t="e">
        <f>#REF!</f>
        <v>#REF!</v>
      </c>
      <c r="E691" s="16" t="e">
        <f>#REF!</f>
        <v>#REF!</v>
      </c>
      <c r="F691" s="16" t="e">
        <f>#REF!</f>
        <v>#REF!</v>
      </c>
      <c r="G691" s="16" t="e">
        <f>#REF!</f>
        <v>#REF!</v>
      </c>
      <c r="H691" s="16" t="e">
        <f>#REF!</f>
        <v>#REF!</v>
      </c>
      <c r="I691" s="16" t="e">
        <f>#REF!</f>
        <v>#REF!</v>
      </c>
      <c r="J691" s="16" t="e">
        <f>#REF!</f>
        <v>#REF!</v>
      </c>
      <c r="K691" s="16" t="s">
        <v>744</v>
      </c>
      <c r="L691" s="16"/>
      <c r="M691" s="16"/>
      <c r="N691" s="16"/>
      <c r="O691" s="16"/>
      <c r="P691" s="30"/>
      <c r="Q691" s="30"/>
    </row>
    <row r="692" spans="1:17" ht="22.5" customHeight="1" thickTop="1" thickBot="1" x14ac:dyDescent="0.25">
      <c r="A692" s="16" t="e">
        <f>#REF!</f>
        <v>#REF!</v>
      </c>
      <c r="B692" s="16" t="e">
        <f>#REF!</f>
        <v>#REF!</v>
      </c>
      <c r="C692" s="16" t="e">
        <f>#REF!</f>
        <v>#REF!</v>
      </c>
      <c r="D692" s="16" t="e">
        <f>#REF!</f>
        <v>#REF!</v>
      </c>
      <c r="E692" s="16" t="e">
        <f>#REF!</f>
        <v>#REF!</v>
      </c>
      <c r="F692" s="16" t="e">
        <f>#REF!</f>
        <v>#REF!</v>
      </c>
      <c r="G692" s="16" t="e">
        <f>#REF!</f>
        <v>#REF!</v>
      </c>
      <c r="H692" s="16" t="e">
        <f>#REF!</f>
        <v>#REF!</v>
      </c>
      <c r="I692" s="16" t="e">
        <f>#REF!</f>
        <v>#REF!</v>
      </c>
      <c r="J692" s="16" t="e">
        <f>#REF!</f>
        <v>#REF!</v>
      </c>
      <c r="K692" s="16" t="s">
        <v>744</v>
      </c>
      <c r="L692" s="16"/>
      <c r="M692" s="16"/>
      <c r="N692" s="16"/>
      <c r="O692" s="16"/>
      <c r="P692" s="31"/>
      <c r="Q692" s="31"/>
    </row>
    <row r="693" spans="1:17" ht="22.5" customHeight="1" thickTop="1" thickBot="1" x14ac:dyDescent="0.25">
      <c r="A693" s="16" t="e">
        <f>#REF!</f>
        <v>#REF!</v>
      </c>
      <c r="B693" s="16" t="e">
        <f>#REF!</f>
        <v>#REF!</v>
      </c>
      <c r="C693" s="16" t="e">
        <f>#REF!</f>
        <v>#REF!</v>
      </c>
      <c r="D693" s="16" t="e">
        <f>#REF!</f>
        <v>#REF!</v>
      </c>
      <c r="E693" s="16" t="e">
        <f>#REF!</f>
        <v>#REF!</v>
      </c>
      <c r="F693" s="16" t="e">
        <f>#REF!</f>
        <v>#REF!</v>
      </c>
      <c r="G693" s="16" t="e">
        <f>#REF!</f>
        <v>#REF!</v>
      </c>
      <c r="H693" s="16" t="e">
        <f>#REF!</f>
        <v>#REF!</v>
      </c>
      <c r="I693" s="16" t="e">
        <f>#REF!</f>
        <v>#REF!</v>
      </c>
      <c r="J693" s="16" t="e">
        <f>#REF!</f>
        <v>#REF!</v>
      </c>
      <c r="K693" s="16" t="s">
        <v>744</v>
      </c>
      <c r="L693" s="16"/>
      <c r="M693" s="16"/>
      <c r="N693" s="16"/>
      <c r="O693" s="16"/>
      <c r="P693" s="30"/>
      <c r="Q693" s="30"/>
    </row>
    <row r="694" spans="1:17" ht="22.5" customHeight="1" thickTop="1" thickBot="1" x14ac:dyDescent="0.25">
      <c r="A694" s="16" t="e">
        <f>#REF!</f>
        <v>#REF!</v>
      </c>
      <c r="B694" s="16" t="e">
        <f>#REF!</f>
        <v>#REF!</v>
      </c>
      <c r="C694" s="16" t="e">
        <f>#REF!</f>
        <v>#REF!</v>
      </c>
      <c r="D694" s="16" t="e">
        <f>#REF!</f>
        <v>#REF!</v>
      </c>
      <c r="E694" s="16" t="e">
        <f>#REF!</f>
        <v>#REF!</v>
      </c>
      <c r="F694" s="16" t="e">
        <f>#REF!</f>
        <v>#REF!</v>
      </c>
      <c r="G694" s="16" t="e">
        <f>#REF!</f>
        <v>#REF!</v>
      </c>
      <c r="H694" s="16" t="e">
        <f>#REF!</f>
        <v>#REF!</v>
      </c>
      <c r="I694" s="16" t="e">
        <f>#REF!</f>
        <v>#REF!</v>
      </c>
      <c r="J694" s="16" t="e">
        <f>#REF!</f>
        <v>#REF!</v>
      </c>
      <c r="K694" s="16" t="s">
        <v>744</v>
      </c>
      <c r="L694" s="16"/>
      <c r="M694" s="16"/>
      <c r="N694" s="16"/>
      <c r="O694" s="16"/>
      <c r="P694" s="31"/>
      <c r="Q694" s="31"/>
    </row>
    <row r="695" spans="1:17" ht="22.5" customHeight="1" thickTop="1" thickBot="1" x14ac:dyDescent="0.25">
      <c r="A695" s="16" t="e">
        <f>#REF!</f>
        <v>#REF!</v>
      </c>
      <c r="B695" s="16" t="e">
        <f>#REF!</f>
        <v>#REF!</v>
      </c>
      <c r="C695" s="16" t="e">
        <f>#REF!</f>
        <v>#REF!</v>
      </c>
      <c r="D695" s="16" t="e">
        <f>#REF!</f>
        <v>#REF!</v>
      </c>
      <c r="E695" s="16" t="e">
        <f>#REF!</f>
        <v>#REF!</v>
      </c>
      <c r="F695" s="16" t="e">
        <f>#REF!</f>
        <v>#REF!</v>
      </c>
      <c r="G695" s="16" t="e">
        <f>#REF!</f>
        <v>#REF!</v>
      </c>
      <c r="H695" s="16" t="e">
        <f>#REF!</f>
        <v>#REF!</v>
      </c>
      <c r="I695" s="16" t="e">
        <f>#REF!</f>
        <v>#REF!</v>
      </c>
      <c r="J695" s="16" t="e">
        <f>#REF!</f>
        <v>#REF!</v>
      </c>
      <c r="K695" s="16" t="s">
        <v>744</v>
      </c>
      <c r="L695" s="16"/>
      <c r="M695" s="16"/>
      <c r="N695" s="16"/>
      <c r="O695" s="16"/>
      <c r="P695" s="30"/>
      <c r="Q695" s="30"/>
    </row>
    <row r="696" spans="1:17" ht="22.5" customHeight="1" thickTop="1" thickBot="1" x14ac:dyDescent="0.25">
      <c r="A696" s="16" t="e">
        <f>#REF!</f>
        <v>#REF!</v>
      </c>
      <c r="B696" s="16" t="e">
        <f>#REF!</f>
        <v>#REF!</v>
      </c>
      <c r="C696" s="16" t="e">
        <f>#REF!</f>
        <v>#REF!</v>
      </c>
      <c r="D696" s="16" t="e">
        <f>#REF!</f>
        <v>#REF!</v>
      </c>
      <c r="E696" s="16" t="e">
        <f>#REF!</f>
        <v>#REF!</v>
      </c>
      <c r="F696" s="16" t="e">
        <f>#REF!</f>
        <v>#REF!</v>
      </c>
      <c r="G696" s="16" t="e">
        <f>#REF!</f>
        <v>#REF!</v>
      </c>
      <c r="H696" s="16" t="e">
        <f>#REF!</f>
        <v>#REF!</v>
      </c>
      <c r="I696" s="16" t="e">
        <f>#REF!</f>
        <v>#REF!</v>
      </c>
      <c r="J696" s="16" t="e">
        <f>#REF!</f>
        <v>#REF!</v>
      </c>
      <c r="K696" s="16" t="s">
        <v>744</v>
      </c>
      <c r="L696" s="16"/>
      <c r="M696" s="16"/>
      <c r="N696" s="16"/>
      <c r="O696" s="16"/>
      <c r="P696" s="33"/>
      <c r="Q696" s="33"/>
    </row>
    <row r="697" spans="1:17" ht="22.5" customHeight="1" thickTop="1" thickBot="1" x14ac:dyDescent="0.25">
      <c r="A697" s="16" t="e">
        <f>#REF!</f>
        <v>#REF!</v>
      </c>
      <c r="B697" s="16" t="e">
        <f>#REF!</f>
        <v>#REF!</v>
      </c>
      <c r="C697" s="16" t="e">
        <f>#REF!</f>
        <v>#REF!</v>
      </c>
      <c r="D697" s="16" t="e">
        <f>#REF!</f>
        <v>#REF!</v>
      </c>
      <c r="E697" s="16" t="e">
        <f>#REF!</f>
        <v>#REF!</v>
      </c>
      <c r="F697" s="16" t="e">
        <f>#REF!</f>
        <v>#REF!</v>
      </c>
      <c r="G697" s="16" t="e">
        <f>#REF!</f>
        <v>#REF!</v>
      </c>
      <c r="H697" s="16" t="e">
        <f>#REF!</f>
        <v>#REF!</v>
      </c>
      <c r="I697" s="16" t="e">
        <f>#REF!</f>
        <v>#REF!</v>
      </c>
      <c r="J697" s="16" t="e">
        <f>#REF!</f>
        <v>#REF!</v>
      </c>
      <c r="K697" s="16" t="s">
        <v>744</v>
      </c>
      <c r="L697" s="16"/>
      <c r="M697" s="16"/>
      <c r="N697" s="16"/>
      <c r="O697" s="16"/>
      <c r="P697" s="33"/>
      <c r="Q697" s="33"/>
    </row>
    <row r="698" spans="1:17" ht="22.5" customHeight="1" thickTop="1" thickBot="1" x14ac:dyDescent="0.25">
      <c r="A698" s="16" t="e">
        <f>#REF!</f>
        <v>#REF!</v>
      </c>
      <c r="B698" s="16" t="e">
        <f>#REF!</f>
        <v>#REF!</v>
      </c>
      <c r="C698" s="16" t="e">
        <f>#REF!</f>
        <v>#REF!</v>
      </c>
      <c r="D698" s="16" t="e">
        <f>#REF!</f>
        <v>#REF!</v>
      </c>
      <c r="E698" s="16" t="e">
        <f>#REF!</f>
        <v>#REF!</v>
      </c>
      <c r="F698" s="16" t="e">
        <f>#REF!</f>
        <v>#REF!</v>
      </c>
      <c r="G698" s="16" t="e">
        <f>#REF!</f>
        <v>#REF!</v>
      </c>
      <c r="H698" s="16" t="e">
        <f>#REF!</f>
        <v>#REF!</v>
      </c>
      <c r="I698" s="16" t="e">
        <f>#REF!</f>
        <v>#REF!</v>
      </c>
      <c r="J698" s="16" t="e">
        <f>#REF!</f>
        <v>#REF!</v>
      </c>
      <c r="K698" s="16" t="s">
        <v>744</v>
      </c>
      <c r="L698" s="16"/>
      <c r="M698" s="16"/>
      <c r="N698" s="16"/>
      <c r="O698" s="16"/>
      <c r="P698" s="33"/>
      <c r="Q698" s="33"/>
    </row>
    <row r="699" spans="1:17" ht="22.5" customHeight="1" thickTop="1" thickBot="1" x14ac:dyDescent="0.25">
      <c r="A699" s="16" t="e">
        <f>#REF!</f>
        <v>#REF!</v>
      </c>
      <c r="B699" s="16" t="e">
        <f>#REF!</f>
        <v>#REF!</v>
      </c>
      <c r="C699" s="16" t="e">
        <f>#REF!</f>
        <v>#REF!</v>
      </c>
      <c r="D699" s="16" t="e">
        <f>#REF!</f>
        <v>#REF!</v>
      </c>
      <c r="E699" s="16" t="e">
        <f>#REF!</f>
        <v>#REF!</v>
      </c>
      <c r="F699" s="16" t="e">
        <f>#REF!</f>
        <v>#REF!</v>
      </c>
      <c r="G699" s="16" t="e">
        <f>#REF!</f>
        <v>#REF!</v>
      </c>
      <c r="H699" s="16" t="e">
        <f>#REF!</f>
        <v>#REF!</v>
      </c>
      <c r="I699" s="16" t="e">
        <f>#REF!</f>
        <v>#REF!</v>
      </c>
      <c r="J699" s="16" t="e">
        <f>#REF!</f>
        <v>#REF!</v>
      </c>
      <c r="K699" s="16" t="s">
        <v>744</v>
      </c>
      <c r="L699" s="16"/>
      <c r="M699" s="16"/>
      <c r="N699" s="16"/>
      <c r="O699" s="16"/>
      <c r="P699" s="30"/>
      <c r="Q699" s="30"/>
    </row>
    <row r="700" spans="1:17" ht="22.5" customHeight="1" thickTop="1" thickBot="1" x14ac:dyDescent="0.25">
      <c r="A700" s="16" t="e">
        <f>#REF!</f>
        <v>#REF!</v>
      </c>
      <c r="B700" s="16" t="e">
        <f>#REF!</f>
        <v>#REF!</v>
      </c>
      <c r="C700" s="16" t="e">
        <f>#REF!</f>
        <v>#REF!</v>
      </c>
      <c r="D700" s="16" t="e">
        <f>#REF!</f>
        <v>#REF!</v>
      </c>
      <c r="E700" s="16" t="e">
        <f>#REF!</f>
        <v>#REF!</v>
      </c>
      <c r="F700" s="16" t="e">
        <f>#REF!</f>
        <v>#REF!</v>
      </c>
      <c r="G700" s="16" t="e">
        <f>#REF!</f>
        <v>#REF!</v>
      </c>
      <c r="H700" s="16" t="e">
        <f>#REF!</f>
        <v>#REF!</v>
      </c>
      <c r="I700" s="16" t="e">
        <f>#REF!</f>
        <v>#REF!</v>
      </c>
      <c r="J700" s="16" t="e">
        <f>#REF!</f>
        <v>#REF!</v>
      </c>
      <c r="K700" s="16" t="s">
        <v>744</v>
      </c>
      <c r="L700" s="16"/>
      <c r="M700" s="16"/>
      <c r="N700" s="16"/>
      <c r="O700" s="16"/>
      <c r="P700" s="31"/>
      <c r="Q700" s="31"/>
    </row>
    <row r="701" spans="1:17" ht="22.5" customHeight="1" thickTop="1" thickBot="1" x14ac:dyDescent="0.25">
      <c r="A701" s="16" t="e">
        <f>#REF!</f>
        <v>#REF!</v>
      </c>
      <c r="B701" s="16" t="e">
        <f>#REF!</f>
        <v>#REF!</v>
      </c>
      <c r="C701" s="16" t="e">
        <f>#REF!</f>
        <v>#REF!</v>
      </c>
      <c r="D701" s="16" t="e">
        <f>#REF!</f>
        <v>#REF!</v>
      </c>
      <c r="E701" s="16" t="e">
        <f>#REF!</f>
        <v>#REF!</v>
      </c>
      <c r="F701" s="16" t="e">
        <f>#REF!</f>
        <v>#REF!</v>
      </c>
      <c r="G701" s="16" t="e">
        <f>#REF!</f>
        <v>#REF!</v>
      </c>
      <c r="H701" s="16" t="e">
        <f>#REF!</f>
        <v>#REF!</v>
      </c>
      <c r="I701" s="16" t="e">
        <f>#REF!</f>
        <v>#REF!</v>
      </c>
      <c r="J701" s="16" t="e">
        <f>#REF!</f>
        <v>#REF!</v>
      </c>
      <c r="K701" s="16" t="s">
        <v>744</v>
      </c>
      <c r="L701" s="16"/>
      <c r="M701" s="16"/>
      <c r="N701" s="16"/>
      <c r="O701" s="16"/>
      <c r="P701" s="31"/>
      <c r="Q701" s="31"/>
    </row>
    <row r="702" spans="1:17" ht="22.5" customHeight="1" thickTop="1" thickBot="1" x14ac:dyDescent="0.25">
      <c r="A702" s="16" t="e">
        <f>#REF!</f>
        <v>#REF!</v>
      </c>
      <c r="B702" s="16" t="e">
        <f>#REF!</f>
        <v>#REF!</v>
      </c>
      <c r="C702" s="16" t="e">
        <f>#REF!</f>
        <v>#REF!</v>
      </c>
      <c r="D702" s="16" t="e">
        <f>#REF!</f>
        <v>#REF!</v>
      </c>
      <c r="E702" s="16" t="e">
        <f>#REF!</f>
        <v>#REF!</v>
      </c>
      <c r="F702" s="16" t="e">
        <f>#REF!</f>
        <v>#REF!</v>
      </c>
      <c r="G702" s="16" t="e">
        <f>#REF!</f>
        <v>#REF!</v>
      </c>
      <c r="H702" s="16" t="e">
        <f>#REF!</f>
        <v>#REF!</v>
      </c>
      <c r="I702" s="16" t="e">
        <f>#REF!</f>
        <v>#REF!</v>
      </c>
      <c r="J702" s="16" t="e">
        <f>#REF!</f>
        <v>#REF!</v>
      </c>
      <c r="K702" s="16" t="s">
        <v>744</v>
      </c>
      <c r="L702" s="16"/>
      <c r="M702" s="16"/>
      <c r="N702" s="16"/>
      <c r="O702" s="16"/>
      <c r="P702" s="31"/>
      <c r="Q702" s="31"/>
    </row>
    <row r="703" spans="1:17" ht="22.5" customHeight="1" thickTop="1" thickBot="1" x14ac:dyDescent="0.25">
      <c r="A703" s="16" t="e">
        <f>#REF!</f>
        <v>#REF!</v>
      </c>
      <c r="B703" s="16" t="e">
        <f>#REF!</f>
        <v>#REF!</v>
      </c>
      <c r="C703" s="16" t="e">
        <f>#REF!</f>
        <v>#REF!</v>
      </c>
      <c r="D703" s="16" t="e">
        <f>#REF!</f>
        <v>#REF!</v>
      </c>
      <c r="E703" s="16" t="e">
        <f>#REF!</f>
        <v>#REF!</v>
      </c>
      <c r="F703" s="16" t="e">
        <f>#REF!</f>
        <v>#REF!</v>
      </c>
      <c r="G703" s="16" t="e">
        <f>#REF!</f>
        <v>#REF!</v>
      </c>
      <c r="H703" s="16" t="e">
        <f>#REF!</f>
        <v>#REF!</v>
      </c>
      <c r="I703" s="16" t="e">
        <f>#REF!</f>
        <v>#REF!</v>
      </c>
      <c r="J703" s="16" t="e">
        <f>#REF!</f>
        <v>#REF!</v>
      </c>
      <c r="K703" s="16" t="s">
        <v>744</v>
      </c>
      <c r="L703" s="16"/>
      <c r="M703" s="16"/>
      <c r="N703" s="16"/>
      <c r="O703" s="16"/>
      <c r="P703" s="30"/>
      <c r="Q703" s="30"/>
    </row>
    <row r="704" spans="1:17" ht="22.5" customHeight="1" thickTop="1" thickBot="1" x14ac:dyDescent="0.25">
      <c r="A704" s="16" t="e">
        <f>#REF!</f>
        <v>#REF!</v>
      </c>
      <c r="B704" s="16" t="e">
        <f>#REF!</f>
        <v>#REF!</v>
      </c>
      <c r="C704" s="16" t="e">
        <f>#REF!</f>
        <v>#REF!</v>
      </c>
      <c r="D704" s="16" t="e">
        <f>#REF!</f>
        <v>#REF!</v>
      </c>
      <c r="E704" s="16" t="e">
        <f>#REF!</f>
        <v>#REF!</v>
      </c>
      <c r="F704" s="16" t="e">
        <f>#REF!</f>
        <v>#REF!</v>
      </c>
      <c r="G704" s="16" t="e">
        <f>#REF!</f>
        <v>#REF!</v>
      </c>
      <c r="H704" s="16" t="e">
        <f>#REF!</f>
        <v>#REF!</v>
      </c>
      <c r="I704" s="16" t="e">
        <f>#REF!</f>
        <v>#REF!</v>
      </c>
      <c r="J704" s="16" t="e">
        <f>#REF!</f>
        <v>#REF!</v>
      </c>
      <c r="K704" s="16" t="s">
        <v>744</v>
      </c>
      <c r="L704" s="16"/>
      <c r="M704" s="16"/>
      <c r="N704" s="16"/>
      <c r="O704" s="16"/>
      <c r="P704" s="30"/>
      <c r="Q704" s="30"/>
    </row>
    <row r="705" spans="1:17" ht="22.5" customHeight="1" thickTop="1" thickBot="1" x14ac:dyDescent="0.25">
      <c r="A705" s="16" t="e">
        <f>#REF!</f>
        <v>#REF!</v>
      </c>
      <c r="B705" s="16" t="e">
        <f>#REF!</f>
        <v>#REF!</v>
      </c>
      <c r="C705" s="16" t="e">
        <f>#REF!</f>
        <v>#REF!</v>
      </c>
      <c r="D705" s="16" t="e">
        <f>#REF!</f>
        <v>#REF!</v>
      </c>
      <c r="E705" s="16" t="e">
        <f>#REF!</f>
        <v>#REF!</v>
      </c>
      <c r="F705" s="16" t="e">
        <f>#REF!</f>
        <v>#REF!</v>
      </c>
      <c r="G705" s="16" t="e">
        <f>#REF!</f>
        <v>#REF!</v>
      </c>
      <c r="H705" s="16" t="e">
        <f>#REF!</f>
        <v>#REF!</v>
      </c>
      <c r="I705" s="16" t="e">
        <f>#REF!</f>
        <v>#REF!</v>
      </c>
      <c r="J705" s="16" t="e">
        <f>#REF!</f>
        <v>#REF!</v>
      </c>
      <c r="K705" s="16" t="s">
        <v>744</v>
      </c>
      <c r="L705" s="16"/>
      <c r="M705" s="16"/>
      <c r="N705" s="16"/>
      <c r="O705" s="16"/>
      <c r="P705" s="30"/>
      <c r="Q705" s="30"/>
    </row>
    <row r="706" spans="1:17" ht="22.5" customHeight="1" thickTop="1" thickBot="1" x14ac:dyDescent="0.25">
      <c r="A706" s="16" t="e">
        <f>#REF!</f>
        <v>#REF!</v>
      </c>
      <c r="B706" s="16" t="e">
        <f>#REF!</f>
        <v>#REF!</v>
      </c>
      <c r="C706" s="16" t="e">
        <f>#REF!</f>
        <v>#REF!</v>
      </c>
      <c r="D706" s="16" t="e">
        <f>#REF!</f>
        <v>#REF!</v>
      </c>
      <c r="E706" s="16" t="e">
        <f>#REF!</f>
        <v>#REF!</v>
      </c>
      <c r="F706" s="16" t="e">
        <f>#REF!</f>
        <v>#REF!</v>
      </c>
      <c r="G706" s="16" t="e">
        <f>#REF!</f>
        <v>#REF!</v>
      </c>
      <c r="H706" s="16" t="e">
        <f>#REF!</f>
        <v>#REF!</v>
      </c>
      <c r="I706" s="16" t="e">
        <f>#REF!</f>
        <v>#REF!</v>
      </c>
      <c r="J706" s="16" t="e">
        <f>#REF!</f>
        <v>#REF!</v>
      </c>
      <c r="K706" s="16" t="s">
        <v>744</v>
      </c>
      <c r="L706" s="16"/>
      <c r="M706" s="16"/>
      <c r="N706" s="16"/>
      <c r="O706" s="16"/>
      <c r="P706" s="30"/>
      <c r="Q706" s="30"/>
    </row>
    <row r="707" spans="1:17" ht="22.5" customHeight="1" thickTop="1" thickBot="1" x14ac:dyDescent="0.25">
      <c r="A707" s="16" t="e">
        <f>#REF!</f>
        <v>#REF!</v>
      </c>
      <c r="B707" s="16" t="e">
        <f>#REF!</f>
        <v>#REF!</v>
      </c>
      <c r="C707" s="16" t="e">
        <f>#REF!</f>
        <v>#REF!</v>
      </c>
      <c r="D707" s="16" t="e">
        <f>#REF!</f>
        <v>#REF!</v>
      </c>
      <c r="E707" s="16" t="e">
        <f>#REF!</f>
        <v>#REF!</v>
      </c>
      <c r="F707" s="16" t="e">
        <f>#REF!</f>
        <v>#REF!</v>
      </c>
      <c r="G707" s="16" t="e">
        <f>#REF!</f>
        <v>#REF!</v>
      </c>
      <c r="H707" s="16" t="e">
        <f>#REF!</f>
        <v>#REF!</v>
      </c>
      <c r="I707" s="16" t="e">
        <f>#REF!</f>
        <v>#REF!</v>
      </c>
      <c r="J707" s="16" t="e">
        <f>#REF!</f>
        <v>#REF!</v>
      </c>
      <c r="K707" s="16" t="s">
        <v>744</v>
      </c>
      <c r="L707" s="16"/>
      <c r="M707" s="16"/>
      <c r="N707" s="16"/>
      <c r="O707" s="16"/>
      <c r="P707" s="30">
        <v>51</v>
      </c>
      <c r="Q707" s="30"/>
    </row>
    <row r="708" spans="1:17" ht="22.5" customHeight="1" thickTop="1" thickBot="1" x14ac:dyDescent="0.25">
      <c r="A708" s="16" t="e">
        <f>#REF!</f>
        <v>#REF!</v>
      </c>
      <c r="B708" s="16" t="e">
        <f>#REF!</f>
        <v>#REF!</v>
      </c>
      <c r="C708" s="16" t="e">
        <f>#REF!</f>
        <v>#REF!</v>
      </c>
      <c r="D708" s="16" t="e">
        <f>#REF!</f>
        <v>#REF!</v>
      </c>
      <c r="E708" s="16" t="e">
        <f>#REF!</f>
        <v>#REF!</v>
      </c>
      <c r="F708" s="16" t="e">
        <f>#REF!</f>
        <v>#REF!</v>
      </c>
      <c r="G708" s="16" t="e">
        <f>#REF!</f>
        <v>#REF!</v>
      </c>
      <c r="H708" s="16" t="e">
        <f>#REF!</f>
        <v>#REF!</v>
      </c>
      <c r="I708" s="16" t="e">
        <f>#REF!</f>
        <v>#REF!</v>
      </c>
      <c r="J708" s="16" t="e">
        <f>#REF!</f>
        <v>#REF!</v>
      </c>
      <c r="K708" s="16" t="s">
        <v>744</v>
      </c>
      <c r="L708" s="16"/>
      <c r="M708" s="16"/>
      <c r="N708" s="16"/>
      <c r="O708" s="16"/>
      <c r="P708" s="30">
        <v>51</v>
      </c>
      <c r="Q708" s="30"/>
    </row>
    <row r="709" spans="1:17" ht="22.5" customHeight="1" thickTop="1" thickBot="1" x14ac:dyDescent="0.25">
      <c r="A709" s="16" t="e">
        <f>#REF!</f>
        <v>#REF!</v>
      </c>
      <c r="B709" s="16" t="e">
        <f>#REF!</f>
        <v>#REF!</v>
      </c>
      <c r="C709" s="16" t="e">
        <f>#REF!</f>
        <v>#REF!</v>
      </c>
      <c r="D709" s="16" t="e">
        <f>#REF!</f>
        <v>#REF!</v>
      </c>
      <c r="E709" s="16" t="e">
        <f>#REF!</f>
        <v>#REF!</v>
      </c>
      <c r="F709" s="16" t="e">
        <f>#REF!</f>
        <v>#REF!</v>
      </c>
      <c r="G709" s="16" t="e">
        <f>#REF!</f>
        <v>#REF!</v>
      </c>
      <c r="H709" s="16" t="e">
        <f>#REF!</f>
        <v>#REF!</v>
      </c>
      <c r="I709" s="16" t="e">
        <f>#REF!</f>
        <v>#REF!</v>
      </c>
      <c r="J709" s="16" t="e">
        <f>#REF!</f>
        <v>#REF!</v>
      </c>
      <c r="K709" s="16" t="s">
        <v>744</v>
      </c>
      <c r="L709" s="16"/>
      <c r="M709" s="16"/>
      <c r="N709" s="16"/>
      <c r="O709" s="16"/>
      <c r="P709" s="33"/>
      <c r="Q709" s="33"/>
    </row>
    <row r="710" spans="1:17" ht="22.5" customHeight="1" thickTop="1" thickBot="1" x14ac:dyDescent="0.25">
      <c r="A710" s="16" t="e">
        <f>#REF!</f>
        <v>#REF!</v>
      </c>
      <c r="B710" s="16" t="e">
        <f>#REF!</f>
        <v>#REF!</v>
      </c>
      <c r="C710" s="16" t="e">
        <f>#REF!</f>
        <v>#REF!</v>
      </c>
      <c r="D710" s="16" t="e">
        <f>#REF!</f>
        <v>#REF!</v>
      </c>
      <c r="E710" s="16" t="e">
        <f>#REF!</f>
        <v>#REF!</v>
      </c>
      <c r="F710" s="16" t="e">
        <f>#REF!</f>
        <v>#REF!</v>
      </c>
      <c r="G710" s="16" t="e">
        <f>#REF!</f>
        <v>#REF!</v>
      </c>
      <c r="H710" s="16" t="e">
        <f>#REF!</f>
        <v>#REF!</v>
      </c>
      <c r="I710" s="16" t="e">
        <f>#REF!</f>
        <v>#REF!</v>
      </c>
      <c r="J710" s="16" t="e">
        <f>#REF!</f>
        <v>#REF!</v>
      </c>
      <c r="K710" s="16"/>
      <c r="L710" s="16"/>
      <c r="M710" s="16"/>
      <c r="N710" s="16"/>
      <c r="O710" s="16"/>
      <c r="P710" s="31"/>
      <c r="Q710" s="31"/>
    </row>
    <row r="711" spans="1:17" ht="22.5" customHeight="1" thickTop="1" thickBot="1" x14ac:dyDescent="0.25">
      <c r="A711" s="16" t="e">
        <f>#REF!</f>
        <v>#REF!</v>
      </c>
      <c r="B711" s="16" t="e">
        <f>#REF!</f>
        <v>#REF!</v>
      </c>
      <c r="C711" s="16" t="e">
        <f>#REF!</f>
        <v>#REF!</v>
      </c>
      <c r="D711" s="16" t="e">
        <f>#REF!</f>
        <v>#REF!</v>
      </c>
      <c r="E711" s="16" t="e">
        <f>#REF!</f>
        <v>#REF!</v>
      </c>
      <c r="F711" s="16" t="e">
        <f>#REF!</f>
        <v>#REF!</v>
      </c>
      <c r="G711" s="16" t="e">
        <f>#REF!</f>
        <v>#REF!</v>
      </c>
      <c r="H711" s="16" t="e">
        <f>#REF!</f>
        <v>#REF!</v>
      </c>
      <c r="I711" s="16" t="e">
        <f>#REF!</f>
        <v>#REF!</v>
      </c>
      <c r="J711" s="16" t="e">
        <f>#REF!</f>
        <v>#REF!</v>
      </c>
      <c r="K711" s="16" t="s">
        <v>744</v>
      </c>
      <c r="L711" s="16"/>
      <c r="M711" s="16"/>
      <c r="N711" s="16"/>
      <c r="O711" s="16"/>
      <c r="P711" s="31">
        <v>54</v>
      </c>
      <c r="Q711" s="31"/>
    </row>
    <row r="712" spans="1:17" ht="22.5" customHeight="1" thickTop="1" thickBot="1" x14ac:dyDescent="0.25">
      <c r="A712" s="16" t="e">
        <f>#REF!</f>
        <v>#REF!</v>
      </c>
      <c r="B712" s="16" t="e">
        <f>#REF!</f>
        <v>#REF!</v>
      </c>
      <c r="C712" s="16" t="e">
        <f>#REF!</f>
        <v>#REF!</v>
      </c>
      <c r="D712" s="16" t="e">
        <f>#REF!</f>
        <v>#REF!</v>
      </c>
      <c r="E712" s="16" t="e">
        <f>#REF!</f>
        <v>#REF!</v>
      </c>
      <c r="F712" s="16" t="e">
        <f>#REF!</f>
        <v>#REF!</v>
      </c>
      <c r="G712" s="16" t="e">
        <f>#REF!</f>
        <v>#REF!</v>
      </c>
      <c r="H712" s="16" t="e">
        <f>#REF!</f>
        <v>#REF!</v>
      </c>
      <c r="I712" s="16" t="e">
        <f>#REF!</f>
        <v>#REF!</v>
      </c>
      <c r="J712" s="16" t="e">
        <f>#REF!</f>
        <v>#REF!</v>
      </c>
      <c r="K712" s="16" t="s">
        <v>744</v>
      </c>
      <c r="L712" s="16"/>
      <c r="M712" s="16"/>
      <c r="N712" s="16"/>
      <c r="O712" s="16"/>
    </row>
    <row r="713" spans="1:17" ht="22.5" customHeight="1" thickTop="1" thickBot="1" x14ac:dyDescent="0.25">
      <c r="A713" s="16" t="e">
        <f>#REF!</f>
        <v>#REF!</v>
      </c>
      <c r="B713" s="16" t="e">
        <f>#REF!</f>
        <v>#REF!</v>
      </c>
      <c r="C713" s="16" t="e">
        <f>#REF!</f>
        <v>#REF!</v>
      </c>
      <c r="D713" s="16" t="e">
        <f>#REF!</f>
        <v>#REF!</v>
      </c>
      <c r="E713" s="16" t="e">
        <f>#REF!</f>
        <v>#REF!</v>
      </c>
      <c r="F713" s="16" t="e">
        <f>#REF!</f>
        <v>#REF!</v>
      </c>
      <c r="G713" s="16" t="e">
        <f>#REF!</f>
        <v>#REF!</v>
      </c>
      <c r="H713" s="16" t="e">
        <f>#REF!</f>
        <v>#REF!</v>
      </c>
      <c r="I713" s="16" t="e">
        <f>#REF!</f>
        <v>#REF!</v>
      </c>
      <c r="J713" s="16" t="e">
        <f>#REF!</f>
        <v>#REF!</v>
      </c>
      <c r="K713" s="16" t="s">
        <v>744</v>
      </c>
      <c r="L713" s="16"/>
      <c r="M713" s="16"/>
      <c r="N713" s="16"/>
      <c r="O713" s="16"/>
    </row>
    <row r="714" spans="1:17" ht="22.5" customHeight="1" thickTop="1" thickBot="1" x14ac:dyDescent="0.25">
      <c r="A714" s="16" t="e">
        <f>#REF!</f>
        <v>#REF!</v>
      </c>
      <c r="B714" s="16" t="e">
        <f>#REF!</f>
        <v>#REF!</v>
      </c>
      <c r="C714" s="16" t="e">
        <f>#REF!</f>
        <v>#REF!</v>
      </c>
      <c r="D714" s="16" t="e">
        <f>#REF!</f>
        <v>#REF!</v>
      </c>
      <c r="E714" s="16" t="e">
        <f>#REF!</f>
        <v>#REF!</v>
      </c>
      <c r="F714" s="16" t="e">
        <f>#REF!</f>
        <v>#REF!</v>
      </c>
      <c r="G714" s="16" t="e">
        <f>#REF!</f>
        <v>#REF!</v>
      </c>
      <c r="H714" s="16" t="e">
        <f>#REF!</f>
        <v>#REF!</v>
      </c>
      <c r="I714" s="16" t="e">
        <f>#REF!</f>
        <v>#REF!</v>
      </c>
      <c r="J714" s="16" t="e">
        <f>#REF!</f>
        <v>#REF!</v>
      </c>
      <c r="K714" s="16" t="s">
        <v>744</v>
      </c>
      <c r="L714" s="16"/>
      <c r="M714" s="16"/>
      <c r="N714" s="16"/>
      <c r="O714" s="16"/>
    </row>
    <row r="715" spans="1:17" ht="22.5" customHeight="1" thickTop="1" thickBot="1" x14ac:dyDescent="0.25">
      <c r="A715" s="16" t="e">
        <f>#REF!</f>
        <v>#REF!</v>
      </c>
      <c r="B715" s="16" t="e">
        <f>#REF!</f>
        <v>#REF!</v>
      </c>
      <c r="C715" s="16" t="e">
        <f>#REF!</f>
        <v>#REF!</v>
      </c>
      <c r="D715" s="16" t="e">
        <f>#REF!</f>
        <v>#REF!</v>
      </c>
      <c r="E715" s="16" t="e">
        <f>#REF!</f>
        <v>#REF!</v>
      </c>
      <c r="F715" s="16" t="e">
        <f>#REF!</f>
        <v>#REF!</v>
      </c>
      <c r="G715" s="16" t="e">
        <f>#REF!</f>
        <v>#REF!</v>
      </c>
      <c r="H715" s="16" t="e">
        <f>#REF!</f>
        <v>#REF!</v>
      </c>
      <c r="I715" s="16" t="e">
        <f>#REF!</f>
        <v>#REF!</v>
      </c>
      <c r="J715" s="16" t="e">
        <f>#REF!</f>
        <v>#REF!</v>
      </c>
      <c r="K715" s="16" t="s">
        <v>744</v>
      </c>
      <c r="L715" s="16"/>
      <c r="M715" s="16"/>
      <c r="N715" s="16"/>
      <c r="O715" s="16"/>
    </row>
    <row r="716" spans="1:17" ht="22.5" customHeight="1" thickTop="1" thickBot="1" x14ac:dyDescent="0.25">
      <c r="A716" s="16" t="e">
        <f>#REF!</f>
        <v>#REF!</v>
      </c>
      <c r="B716" s="16" t="e">
        <f>#REF!</f>
        <v>#REF!</v>
      </c>
      <c r="C716" s="16" t="e">
        <f>#REF!</f>
        <v>#REF!</v>
      </c>
      <c r="D716" s="16" t="e">
        <f>#REF!</f>
        <v>#REF!</v>
      </c>
      <c r="E716" s="16" t="e">
        <f>#REF!</f>
        <v>#REF!</v>
      </c>
      <c r="F716" s="16" t="e">
        <f>#REF!</f>
        <v>#REF!</v>
      </c>
      <c r="G716" s="16" t="e">
        <f>#REF!</f>
        <v>#REF!</v>
      </c>
      <c r="H716" s="16" t="e">
        <f>#REF!</f>
        <v>#REF!</v>
      </c>
      <c r="I716" s="16" t="e">
        <f>#REF!</f>
        <v>#REF!</v>
      </c>
      <c r="J716" s="16" t="e">
        <f>#REF!</f>
        <v>#REF!</v>
      </c>
      <c r="K716" s="16"/>
      <c r="L716" s="16"/>
      <c r="M716" s="16"/>
      <c r="N716" s="16"/>
      <c r="O716" s="16"/>
    </row>
    <row r="717" spans="1:17" ht="22.5" customHeight="1" thickTop="1" thickBot="1" x14ac:dyDescent="0.25">
      <c r="A717" s="16" t="e">
        <f>#REF!</f>
        <v>#REF!</v>
      </c>
      <c r="B717" s="16" t="e">
        <f>#REF!</f>
        <v>#REF!</v>
      </c>
      <c r="C717" s="16" t="e">
        <f>#REF!</f>
        <v>#REF!</v>
      </c>
      <c r="D717" s="16" t="e">
        <f>#REF!</f>
        <v>#REF!</v>
      </c>
      <c r="E717" s="16" t="e">
        <f>#REF!</f>
        <v>#REF!</v>
      </c>
      <c r="F717" s="16" t="e">
        <f>#REF!</f>
        <v>#REF!</v>
      </c>
      <c r="G717" s="16" t="e">
        <f>#REF!</f>
        <v>#REF!</v>
      </c>
      <c r="H717" s="16" t="e">
        <f>#REF!</f>
        <v>#REF!</v>
      </c>
      <c r="I717" s="16" t="e">
        <f>#REF!</f>
        <v>#REF!</v>
      </c>
      <c r="J717" s="16" t="e">
        <f>#REF!</f>
        <v>#REF!</v>
      </c>
      <c r="K717" s="16" t="s">
        <v>744</v>
      </c>
      <c r="L717" s="16"/>
      <c r="M717" s="16"/>
      <c r="N717" s="16"/>
      <c r="O717" s="16"/>
    </row>
    <row r="718" spans="1:17" ht="22.5" customHeight="1" thickTop="1" thickBot="1" x14ac:dyDescent="0.25">
      <c r="A718" s="16" t="e">
        <f>#REF!</f>
        <v>#REF!</v>
      </c>
      <c r="B718" s="16" t="e">
        <f>#REF!</f>
        <v>#REF!</v>
      </c>
      <c r="C718" s="16" t="e">
        <f>#REF!</f>
        <v>#REF!</v>
      </c>
      <c r="D718" s="16" t="e">
        <f>#REF!</f>
        <v>#REF!</v>
      </c>
      <c r="E718" s="16" t="e">
        <f>#REF!</f>
        <v>#REF!</v>
      </c>
      <c r="F718" s="16" t="e">
        <f>#REF!</f>
        <v>#REF!</v>
      </c>
      <c r="G718" s="16" t="e">
        <f>#REF!</f>
        <v>#REF!</v>
      </c>
      <c r="H718" s="16" t="e">
        <f>#REF!</f>
        <v>#REF!</v>
      </c>
      <c r="I718" s="16" t="e">
        <f>#REF!</f>
        <v>#REF!</v>
      </c>
      <c r="J718" s="16" t="e">
        <f>#REF!</f>
        <v>#REF!</v>
      </c>
      <c r="K718" s="16" t="s">
        <v>744</v>
      </c>
      <c r="L718" s="16"/>
      <c r="M718" s="16"/>
      <c r="N718" s="16"/>
      <c r="O718" s="16"/>
    </row>
    <row r="719" spans="1:17" ht="22.5" customHeight="1" thickTop="1" thickBot="1" x14ac:dyDescent="0.25">
      <c r="A719" s="16" t="e">
        <f>#REF!</f>
        <v>#REF!</v>
      </c>
      <c r="B719" s="16" t="e">
        <f>#REF!</f>
        <v>#REF!</v>
      </c>
      <c r="C719" s="16" t="e">
        <f>#REF!</f>
        <v>#REF!</v>
      </c>
      <c r="D719" s="16" t="e">
        <f>#REF!</f>
        <v>#REF!</v>
      </c>
      <c r="E719" s="16" t="e">
        <f>#REF!</f>
        <v>#REF!</v>
      </c>
      <c r="F719" s="16" t="e">
        <f>#REF!</f>
        <v>#REF!</v>
      </c>
      <c r="G719" s="16" t="e">
        <f>#REF!</f>
        <v>#REF!</v>
      </c>
      <c r="H719" s="16" t="e">
        <f>#REF!</f>
        <v>#REF!</v>
      </c>
      <c r="I719" s="16" t="e">
        <f>#REF!</f>
        <v>#REF!</v>
      </c>
      <c r="J719" s="16" t="e">
        <f>#REF!</f>
        <v>#REF!</v>
      </c>
      <c r="K719" s="16" t="s">
        <v>744</v>
      </c>
      <c r="L719" s="16"/>
      <c r="M719" s="16"/>
      <c r="N719" s="16"/>
      <c r="O719" s="16"/>
    </row>
    <row r="720" spans="1:17" ht="22.5" customHeight="1" thickTop="1" thickBot="1" x14ac:dyDescent="0.25">
      <c r="A720" s="16" t="e">
        <f>#REF!</f>
        <v>#REF!</v>
      </c>
      <c r="B720" s="16" t="e">
        <f>#REF!</f>
        <v>#REF!</v>
      </c>
      <c r="C720" s="16" t="e">
        <f>#REF!</f>
        <v>#REF!</v>
      </c>
      <c r="D720" s="16" t="e">
        <f>#REF!</f>
        <v>#REF!</v>
      </c>
      <c r="E720" s="16" t="e">
        <f>#REF!</f>
        <v>#REF!</v>
      </c>
      <c r="F720" s="16" t="e">
        <f>#REF!</f>
        <v>#REF!</v>
      </c>
      <c r="G720" s="16" t="e">
        <f>#REF!</f>
        <v>#REF!</v>
      </c>
      <c r="H720" s="16" t="e">
        <f>#REF!</f>
        <v>#REF!</v>
      </c>
      <c r="I720" s="16" t="e">
        <f>#REF!</f>
        <v>#REF!</v>
      </c>
      <c r="J720" s="16" t="e">
        <f>#REF!</f>
        <v>#REF!</v>
      </c>
      <c r="K720" s="16" t="s">
        <v>744</v>
      </c>
      <c r="L720" s="16"/>
      <c r="M720" s="16"/>
      <c r="N720" s="16"/>
      <c r="O720" s="16"/>
    </row>
    <row r="721" spans="1:15" ht="22.5" customHeight="1" thickTop="1" thickBot="1" x14ac:dyDescent="0.25">
      <c r="A721" s="16" t="e">
        <f>#REF!</f>
        <v>#REF!</v>
      </c>
      <c r="B721" s="16" t="e">
        <f>#REF!</f>
        <v>#REF!</v>
      </c>
      <c r="C721" s="16" t="e">
        <f>#REF!</f>
        <v>#REF!</v>
      </c>
      <c r="D721" s="16" t="e">
        <f>#REF!</f>
        <v>#REF!</v>
      </c>
      <c r="E721" s="16" t="e">
        <f>#REF!</f>
        <v>#REF!</v>
      </c>
      <c r="F721" s="16" t="e">
        <f>#REF!</f>
        <v>#REF!</v>
      </c>
      <c r="G721" s="16" t="e">
        <f>#REF!</f>
        <v>#REF!</v>
      </c>
      <c r="H721" s="16" t="e">
        <f>#REF!</f>
        <v>#REF!</v>
      </c>
      <c r="I721" s="16" t="e">
        <f>#REF!</f>
        <v>#REF!</v>
      </c>
      <c r="J721" s="16" t="e">
        <f>#REF!</f>
        <v>#REF!</v>
      </c>
      <c r="K721" s="16" t="s">
        <v>744</v>
      </c>
      <c r="L721" s="16"/>
      <c r="M721" s="16"/>
      <c r="N721" s="16"/>
      <c r="O721" s="16"/>
    </row>
    <row r="722" spans="1:15" ht="22.5" customHeight="1" thickTop="1" thickBot="1" x14ac:dyDescent="0.25">
      <c r="A722" s="16" t="e">
        <f>#REF!</f>
        <v>#REF!</v>
      </c>
      <c r="B722" s="16" t="e">
        <f>#REF!</f>
        <v>#REF!</v>
      </c>
      <c r="C722" s="16" t="e">
        <f>#REF!</f>
        <v>#REF!</v>
      </c>
      <c r="D722" s="16" t="e">
        <f>#REF!</f>
        <v>#REF!</v>
      </c>
      <c r="E722" s="16" t="e">
        <f>#REF!</f>
        <v>#REF!</v>
      </c>
      <c r="F722" s="16" t="e">
        <f>#REF!</f>
        <v>#REF!</v>
      </c>
      <c r="G722" s="16" t="e">
        <f>#REF!</f>
        <v>#REF!</v>
      </c>
      <c r="H722" s="16" t="e">
        <f>#REF!</f>
        <v>#REF!</v>
      </c>
      <c r="I722" s="16" t="e">
        <f>#REF!</f>
        <v>#REF!</v>
      </c>
      <c r="J722" s="16" t="e">
        <f>#REF!</f>
        <v>#REF!</v>
      </c>
      <c r="K722" s="16" t="s">
        <v>744</v>
      </c>
      <c r="L722" s="16"/>
      <c r="M722" s="16"/>
      <c r="N722" s="16"/>
      <c r="O722" s="16"/>
    </row>
    <row r="723" spans="1:15" ht="22.5" customHeight="1" thickTop="1" thickBot="1" x14ac:dyDescent="0.25">
      <c r="A723" s="16" t="e">
        <f>#REF!</f>
        <v>#REF!</v>
      </c>
      <c r="B723" s="16" t="e">
        <f>#REF!</f>
        <v>#REF!</v>
      </c>
      <c r="C723" s="16" t="e">
        <f>#REF!</f>
        <v>#REF!</v>
      </c>
      <c r="D723" s="16" t="e">
        <f>#REF!</f>
        <v>#REF!</v>
      </c>
      <c r="E723" s="16" t="e">
        <f>#REF!</f>
        <v>#REF!</v>
      </c>
      <c r="F723" s="16" t="e">
        <f>#REF!</f>
        <v>#REF!</v>
      </c>
      <c r="G723" s="16" t="e">
        <f>#REF!</f>
        <v>#REF!</v>
      </c>
      <c r="H723" s="16" t="e">
        <f>#REF!</f>
        <v>#REF!</v>
      </c>
      <c r="I723" s="16" t="e">
        <f>#REF!</f>
        <v>#REF!</v>
      </c>
      <c r="J723" s="16" t="e">
        <f>#REF!</f>
        <v>#REF!</v>
      </c>
      <c r="K723" s="16" t="s">
        <v>744</v>
      </c>
      <c r="L723" s="16"/>
      <c r="M723" s="16"/>
      <c r="N723" s="16"/>
      <c r="O723" s="16"/>
    </row>
    <row r="724" spans="1:15" ht="22.5" customHeight="1" thickTop="1" thickBot="1" x14ac:dyDescent="0.25">
      <c r="A724" s="16" t="e">
        <f>#REF!</f>
        <v>#REF!</v>
      </c>
      <c r="B724" s="16" t="e">
        <f>#REF!</f>
        <v>#REF!</v>
      </c>
      <c r="C724" s="16" t="e">
        <f>#REF!</f>
        <v>#REF!</v>
      </c>
      <c r="D724" s="16" t="e">
        <f>#REF!</f>
        <v>#REF!</v>
      </c>
      <c r="E724" s="16" t="e">
        <f>#REF!</f>
        <v>#REF!</v>
      </c>
      <c r="F724" s="16" t="e">
        <f>#REF!</f>
        <v>#REF!</v>
      </c>
      <c r="G724" s="16" t="e">
        <f>#REF!</f>
        <v>#REF!</v>
      </c>
      <c r="H724" s="16" t="e">
        <f>#REF!</f>
        <v>#REF!</v>
      </c>
      <c r="I724" s="16" t="e">
        <f>#REF!</f>
        <v>#REF!</v>
      </c>
      <c r="J724" s="16" t="e">
        <f>#REF!</f>
        <v>#REF!</v>
      </c>
      <c r="K724" s="16" t="s">
        <v>744</v>
      </c>
      <c r="L724" s="16"/>
      <c r="M724" s="16"/>
      <c r="N724" s="16"/>
      <c r="O724" s="16"/>
    </row>
    <row r="725" spans="1:15" ht="22.5" customHeight="1" thickTop="1" thickBot="1" x14ac:dyDescent="0.25">
      <c r="A725" s="16" t="e">
        <f>#REF!</f>
        <v>#REF!</v>
      </c>
      <c r="B725" s="16" t="e">
        <f>#REF!</f>
        <v>#REF!</v>
      </c>
      <c r="C725" s="16" t="e">
        <f>#REF!</f>
        <v>#REF!</v>
      </c>
      <c r="D725" s="16" t="e">
        <f>#REF!</f>
        <v>#REF!</v>
      </c>
      <c r="E725" s="16" t="e">
        <f>#REF!</f>
        <v>#REF!</v>
      </c>
      <c r="F725" s="16" t="e">
        <f>#REF!</f>
        <v>#REF!</v>
      </c>
      <c r="G725" s="16" t="e">
        <f>#REF!</f>
        <v>#REF!</v>
      </c>
      <c r="H725" s="16" t="e">
        <f>#REF!</f>
        <v>#REF!</v>
      </c>
      <c r="I725" s="16" t="e">
        <f>#REF!</f>
        <v>#REF!</v>
      </c>
      <c r="J725" s="16" t="e">
        <f>#REF!</f>
        <v>#REF!</v>
      </c>
      <c r="K725" s="16" t="s">
        <v>744</v>
      </c>
      <c r="L725" s="16"/>
      <c r="M725" s="16"/>
      <c r="N725" s="16"/>
      <c r="O725" s="16"/>
    </row>
    <row r="726" spans="1:15" ht="22.5" customHeight="1" thickTop="1" thickBot="1" x14ac:dyDescent="0.25">
      <c r="A726" s="16" t="e">
        <f>#REF!</f>
        <v>#REF!</v>
      </c>
      <c r="B726" s="16" t="e">
        <f>#REF!</f>
        <v>#REF!</v>
      </c>
      <c r="C726" s="16" t="e">
        <f>#REF!</f>
        <v>#REF!</v>
      </c>
      <c r="D726" s="16" t="e">
        <f>#REF!</f>
        <v>#REF!</v>
      </c>
      <c r="E726" s="16" t="e">
        <f>#REF!</f>
        <v>#REF!</v>
      </c>
      <c r="F726" s="16" t="e">
        <f>#REF!</f>
        <v>#REF!</v>
      </c>
      <c r="G726" s="16" t="e">
        <f>#REF!</f>
        <v>#REF!</v>
      </c>
      <c r="H726" s="16" t="e">
        <f>#REF!</f>
        <v>#REF!</v>
      </c>
      <c r="I726" s="16" t="e">
        <f>#REF!</f>
        <v>#REF!</v>
      </c>
      <c r="J726" s="16" t="e">
        <f>#REF!</f>
        <v>#REF!</v>
      </c>
      <c r="K726" s="16" t="s">
        <v>744</v>
      </c>
      <c r="L726" s="16"/>
      <c r="M726" s="16"/>
      <c r="N726" s="16"/>
      <c r="O726" s="16"/>
    </row>
    <row r="727" spans="1:15" ht="22.5" customHeight="1" thickTop="1" thickBot="1" x14ac:dyDescent="0.25">
      <c r="A727" s="16" t="e">
        <f>#REF!</f>
        <v>#REF!</v>
      </c>
      <c r="B727" s="16" t="e">
        <f>#REF!</f>
        <v>#REF!</v>
      </c>
      <c r="C727" s="16" t="e">
        <f>#REF!</f>
        <v>#REF!</v>
      </c>
      <c r="D727" s="16" t="e">
        <f>#REF!</f>
        <v>#REF!</v>
      </c>
      <c r="E727" s="16" t="e">
        <f>#REF!</f>
        <v>#REF!</v>
      </c>
      <c r="F727" s="16" t="e">
        <f>#REF!</f>
        <v>#REF!</v>
      </c>
      <c r="G727" s="16" t="e">
        <f>#REF!</f>
        <v>#REF!</v>
      </c>
      <c r="H727" s="16" t="e">
        <f>#REF!</f>
        <v>#REF!</v>
      </c>
      <c r="I727" s="16" t="e">
        <f>#REF!</f>
        <v>#REF!</v>
      </c>
      <c r="J727" s="16" t="e">
        <f>#REF!</f>
        <v>#REF!</v>
      </c>
      <c r="K727" s="16" t="s">
        <v>744</v>
      </c>
      <c r="L727" s="16"/>
      <c r="M727" s="16"/>
      <c r="N727" s="16"/>
      <c r="O727" s="16"/>
    </row>
    <row r="728" spans="1:15" ht="22.5" customHeight="1" thickTop="1" thickBot="1" x14ac:dyDescent="0.25">
      <c r="A728" s="16" t="e">
        <f>#REF!</f>
        <v>#REF!</v>
      </c>
      <c r="B728" s="16" t="e">
        <f>#REF!</f>
        <v>#REF!</v>
      </c>
      <c r="C728" s="16" t="e">
        <f>#REF!</f>
        <v>#REF!</v>
      </c>
      <c r="D728" s="16" t="e">
        <f>#REF!</f>
        <v>#REF!</v>
      </c>
      <c r="E728" s="16" t="e">
        <f>#REF!</f>
        <v>#REF!</v>
      </c>
      <c r="F728" s="16" t="e">
        <f>#REF!</f>
        <v>#REF!</v>
      </c>
      <c r="G728" s="16" t="e">
        <f>#REF!</f>
        <v>#REF!</v>
      </c>
      <c r="H728" s="16" t="e">
        <f>#REF!</f>
        <v>#REF!</v>
      </c>
      <c r="I728" s="16" t="e">
        <f>#REF!</f>
        <v>#REF!</v>
      </c>
      <c r="J728" s="16" t="e">
        <f>#REF!</f>
        <v>#REF!</v>
      </c>
      <c r="K728" s="16" t="s">
        <v>744</v>
      </c>
      <c r="L728" s="16"/>
      <c r="M728" s="16"/>
      <c r="N728" s="16"/>
      <c r="O728" s="16"/>
    </row>
    <row r="729" spans="1:15" ht="22.5" customHeight="1" thickTop="1" thickBot="1" x14ac:dyDescent="0.25">
      <c r="A729" s="16" t="e">
        <f>#REF!</f>
        <v>#REF!</v>
      </c>
      <c r="B729" s="16" t="e">
        <f>#REF!</f>
        <v>#REF!</v>
      </c>
      <c r="C729" s="16" t="e">
        <f>#REF!</f>
        <v>#REF!</v>
      </c>
      <c r="D729" s="16" t="e">
        <f>#REF!</f>
        <v>#REF!</v>
      </c>
      <c r="E729" s="16" t="e">
        <f>#REF!</f>
        <v>#REF!</v>
      </c>
      <c r="F729" s="16" t="e">
        <f>#REF!</f>
        <v>#REF!</v>
      </c>
      <c r="G729" s="16" t="e">
        <f>#REF!</f>
        <v>#REF!</v>
      </c>
      <c r="H729" s="16" t="e">
        <f>#REF!</f>
        <v>#REF!</v>
      </c>
      <c r="I729" s="16" t="e">
        <f>#REF!</f>
        <v>#REF!</v>
      </c>
      <c r="J729" s="16" t="e">
        <f>#REF!</f>
        <v>#REF!</v>
      </c>
      <c r="K729" s="16" t="s">
        <v>744</v>
      </c>
      <c r="L729" s="16"/>
      <c r="M729" s="16"/>
      <c r="N729" s="16"/>
      <c r="O729" s="16"/>
    </row>
    <row r="730" spans="1:15" ht="22.5" customHeight="1" thickTop="1" thickBot="1" x14ac:dyDescent="0.25">
      <c r="A730" s="16" t="e">
        <f>#REF!</f>
        <v>#REF!</v>
      </c>
      <c r="B730" s="16" t="e">
        <f>#REF!</f>
        <v>#REF!</v>
      </c>
      <c r="C730" s="16" t="e">
        <f>#REF!</f>
        <v>#REF!</v>
      </c>
      <c r="D730" s="16" t="e">
        <f>#REF!</f>
        <v>#REF!</v>
      </c>
      <c r="E730" s="16" t="e">
        <f>#REF!</f>
        <v>#REF!</v>
      </c>
      <c r="F730" s="16" t="e">
        <f>#REF!</f>
        <v>#REF!</v>
      </c>
      <c r="G730" s="16" t="e">
        <f>#REF!</f>
        <v>#REF!</v>
      </c>
      <c r="H730" s="16" t="e">
        <f>#REF!</f>
        <v>#REF!</v>
      </c>
      <c r="I730" s="16" t="e">
        <f>#REF!</f>
        <v>#REF!</v>
      </c>
      <c r="J730" s="16" t="e">
        <f>#REF!</f>
        <v>#REF!</v>
      </c>
      <c r="K730" s="16" t="s">
        <v>744</v>
      </c>
      <c r="L730" s="16"/>
      <c r="M730" s="16"/>
      <c r="N730" s="16"/>
      <c r="O730" s="16"/>
    </row>
    <row r="731" spans="1:15" ht="22.5" customHeight="1" thickTop="1" thickBot="1" x14ac:dyDescent="0.25">
      <c r="A731" s="16" t="e">
        <f>#REF!</f>
        <v>#REF!</v>
      </c>
      <c r="B731" s="16" t="e">
        <f>#REF!</f>
        <v>#REF!</v>
      </c>
      <c r="C731" s="16" t="e">
        <f>#REF!</f>
        <v>#REF!</v>
      </c>
      <c r="D731" s="16" t="e">
        <f>#REF!</f>
        <v>#REF!</v>
      </c>
      <c r="E731" s="16" t="e">
        <f>#REF!</f>
        <v>#REF!</v>
      </c>
      <c r="F731" s="16" t="e">
        <f>#REF!</f>
        <v>#REF!</v>
      </c>
      <c r="G731" s="16" t="e">
        <f>#REF!</f>
        <v>#REF!</v>
      </c>
      <c r="H731" s="16" t="e">
        <f>#REF!</f>
        <v>#REF!</v>
      </c>
      <c r="I731" s="16" t="e">
        <f>#REF!</f>
        <v>#REF!</v>
      </c>
      <c r="J731" s="16" t="e">
        <f>#REF!</f>
        <v>#REF!</v>
      </c>
      <c r="K731" s="16" t="s">
        <v>744</v>
      </c>
      <c r="L731" s="16"/>
      <c r="M731" s="16"/>
      <c r="N731" s="16"/>
      <c r="O731" s="16"/>
    </row>
    <row r="732" spans="1:15" ht="22.5" customHeight="1" thickTop="1" thickBot="1" x14ac:dyDescent="0.25">
      <c r="A732" s="16" t="e">
        <f>#REF!</f>
        <v>#REF!</v>
      </c>
      <c r="B732" s="16" t="e">
        <f>#REF!</f>
        <v>#REF!</v>
      </c>
      <c r="C732" s="16" t="e">
        <f>#REF!</f>
        <v>#REF!</v>
      </c>
      <c r="D732" s="16" t="e">
        <f>#REF!</f>
        <v>#REF!</v>
      </c>
      <c r="E732" s="16" t="e">
        <f>#REF!</f>
        <v>#REF!</v>
      </c>
      <c r="F732" s="16" t="e">
        <f>#REF!</f>
        <v>#REF!</v>
      </c>
      <c r="G732" s="16" t="e">
        <f>#REF!</f>
        <v>#REF!</v>
      </c>
      <c r="H732" s="16" t="e">
        <f>#REF!</f>
        <v>#REF!</v>
      </c>
      <c r="I732" s="16" t="e">
        <f>#REF!</f>
        <v>#REF!</v>
      </c>
      <c r="J732" s="16" t="e">
        <f>#REF!</f>
        <v>#REF!</v>
      </c>
      <c r="K732" s="16" t="s">
        <v>744</v>
      </c>
      <c r="L732" s="16"/>
      <c r="M732" s="16"/>
      <c r="N732" s="16"/>
      <c r="O732" s="16"/>
    </row>
    <row r="733" spans="1:15" ht="22.5" customHeight="1" thickTop="1" thickBot="1" x14ac:dyDescent="0.25">
      <c r="A733" s="16" t="e">
        <f>#REF!</f>
        <v>#REF!</v>
      </c>
      <c r="B733" s="16" t="e">
        <f>#REF!</f>
        <v>#REF!</v>
      </c>
      <c r="C733" s="16" t="e">
        <f>#REF!</f>
        <v>#REF!</v>
      </c>
      <c r="D733" s="16" t="e">
        <f>#REF!</f>
        <v>#REF!</v>
      </c>
      <c r="E733" s="16" t="e">
        <f>#REF!</f>
        <v>#REF!</v>
      </c>
      <c r="F733" s="16" t="e">
        <f>#REF!</f>
        <v>#REF!</v>
      </c>
      <c r="G733" s="16" t="e">
        <f>#REF!</f>
        <v>#REF!</v>
      </c>
      <c r="H733" s="16" t="e">
        <f>#REF!</f>
        <v>#REF!</v>
      </c>
      <c r="I733" s="16" t="e">
        <f>#REF!</f>
        <v>#REF!</v>
      </c>
      <c r="J733" s="16" t="e">
        <f>#REF!</f>
        <v>#REF!</v>
      </c>
      <c r="K733" s="16" t="s">
        <v>744</v>
      </c>
      <c r="L733" s="16"/>
      <c r="M733" s="16"/>
      <c r="N733" s="16"/>
      <c r="O733" s="16"/>
    </row>
    <row r="734" spans="1:15" ht="22.5" customHeight="1" thickTop="1" thickBot="1" x14ac:dyDescent="0.25">
      <c r="A734" s="16" t="e">
        <f>#REF!</f>
        <v>#REF!</v>
      </c>
      <c r="B734" s="16" t="e">
        <f>#REF!</f>
        <v>#REF!</v>
      </c>
      <c r="C734" s="16" t="e">
        <f>#REF!</f>
        <v>#REF!</v>
      </c>
      <c r="D734" s="16" t="e">
        <f>#REF!</f>
        <v>#REF!</v>
      </c>
      <c r="E734" s="16" t="e">
        <f>#REF!</f>
        <v>#REF!</v>
      </c>
      <c r="F734" s="16" t="e">
        <f>#REF!</f>
        <v>#REF!</v>
      </c>
      <c r="G734" s="16" t="e">
        <f>#REF!</f>
        <v>#REF!</v>
      </c>
      <c r="H734" s="16" t="e">
        <f>#REF!</f>
        <v>#REF!</v>
      </c>
      <c r="I734" s="16" t="e">
        <f>#REF!</f>
        <v>#REF!</v>
      </c>
      <c r="J734" s="16" t="e">
        <f>#REF!</f>
        <v>#REF!</v>
      </c>
      <c r="K734" s="16" t="s">
        <v>744</v>
      </c>
      <c r="L734" s="16"/>
      <c r="M734" s="16"/>
      <c r="N734" s="16"/>
      <c r="O734" s="16"/>
    </row>
    <row r="735" spans="1:15" ht="22.5" customHeight="1" thickTop="1" thickBot="1" x14ac:dyDescent="0.25">
      <c r="A735" s="16" t="e">
        <f>#REF!</f>
        <v>#REF!</v>
      </c>
      <c r="B735" s="16" t="e">
        <f>#REF!</f>
        <v>#REF!</v>
      </c>
      <c r="C735" s="16" t="e">
        <f>#REF!</f>
        <v>#REF!</v>
      </c>
      <c r="D735" s="16" t="e">
        <f>#REF!</f>
        <v>#REF!</v>
      </c>
      <c r="E735" s="16" t="e">
        <f>#REF!</f>
        <v>#REF!</v>
      </c>
      <c r="F735" s="16" t="e">
        <f>#REF!</f>
        <v>#REF!</v>
      </c>
      <c r="G735" s="16" t="e">
        <f>#REF!</f>
        <v>#REF!</v>
      </c>
      <c r="H735" s="16" t="e">
        <f>#REF!</f>
        <v>#REF!</v>
      </c>
      <c r="I735" s="16" t="e">
        <f>#REF!</f>
        <v>#REF!</v>
      </c>
      <c r="J735" s="16" t="e">
        <f>#REF!</f>
        <v>#REF!</v>
      </c>
      <c r="K735" s="16" t="s">
        <v>744</v>
      </c>
      <c r="L735" s="16"/>
      <c r="M735" s="16"/>
      <c r="N735" s="16"/>
      <c r="O735" s="16"/>
    </row>
    <row r="736" spans="1:15" ht="22.5" customHeight="1" thickTop="1" thickBot="1" x14ac:dyDescent="0.25">
      <c r="A736" s="16" t="e">
        <f>#REF!</f>
        <v>#REF!</v>
      </c>
      <c r="B736" s="16" t="e">
        <f>#REF!</f>
        <v>#REF!</v>
      </c>
      <c r="C736" s="16" t="e">
        <f>#REF!</f>
        <v>#REF!</v>
      </c>
      <c r="D736" s="16" t="e">
        <f>#REF!</f>
        <v>#REF!</v>
      </c>
      <c r="E736" s="16" t="e">
        <f>#REF!</f>
        <v>#REF!</v>
      </c>
      <c r="F736" s="16" t="e">
        <f>#REF!</f>
        <v>#REF!</v>
      </c>
      <c r="G736" s="16" t="e">
        <f>#REF!</f>
        <v>#REF!</v>
      </c>
      <c r="H736" s="16" t="e">
        <f>#REF!</f>
        <v>#REF!</v>
      </c>
      <c r="I736" s="16" t="e">
        <f>#REF!</f>
        <v>#REF!</v>
      </c>
      <c r="J736" s="16" t="e">
        <f>#REF!</f>
        <v>#REF!</v>
      </c>
      <c r="K736" s="16" t="s">
        <v>744</v>
      </c>
      <c r="L736" s="16"/>
      <c r="M736" s="16"/>
      <c r="N736" s="16"/>
      <c r="O736" s="16"/>
    </row>
    <row r="737" spans="1:15" ht="22.5" customHeight="1" thickTop="1" thickBot="1" x14ac:dyDescent="0.25">
      <c r="A737" s="16" t="e">
        <f>#REF!</f>
        <v>#REF!</v>
      </c>
      <c r="B737" s="16" t="e">
        <f>#REF!</f>
        <v>#REF!</v>
      </c>
      <c r="C737" s="16" t="e">
        <f>#REF!</f>
        <v>#REF!</v>
      </c>
      <c r="D737" s="16" t="e">
        <f>#REF!</f>
        <v>#REF!</v>
      </c>
      <c r="E737" s="16" t="e">
        <f>#REF!</f>
        <v>#REF!</v>
      </c>
      <c r="F737" s="16" t="e">
        <f>#REF!</f>
        <v>#REF!</v>
      </c>
      <c r="G737" s="16" t="e">
        <f>#REF!</f>
        <v>#REF!</v>
      </c>
      <c r="H737" s="16" t="e">
        <f>#REF!</f>
        <v>#REF!</v>
      </c>
      <c r="I737" s="16" t="e">
        <f>#REF!</f>
        <v>#REF!</v>
      </c>
      <c r="J737" s="16" t="e">
        <f>#REF!</f>
        <v>#REF!</v>
      </c>
      <c r="K737" s="16" t="s">
        <v>744</v>
      </c>
      <c r="L737" s="16"/>
      <c r="M737" s="16"/>
      <c r="N737" s="16"/>
      <c r="O737" s="16"/>
    </row>
    <row r="738" spans="1:15" ht="22.5" customHeight="1" thickTop="1" thickBot="1" x14ac:dyDescent="0.25">
      <c r="A738" s="16" t="e">
        <f>#REF!</f>
        <v>#REF!</v>
      </c>
      <c r="B738" s="16" t="e">
        <f>#REF!</f>
        <v>#REF!</v>
      </c>
      <c r="C738" s="16" t="e">
        <f>#REF!</f>
        <v>#REF!</v>
      </c>
      <c r="D738" s="16" t="e">
        <f>#REF!</f>
        <v>#REF!</v>
      </c>
      <c r="E738" s="16" t="e">
        <f>#REF!</f>
        <v>#REF!</v>
      </c>
      <c r="F738" s="16" t="e">
        <f>#REF!</f>
        <v>#REF!</v>
      </c>
      <c r="G738" s="16" t="e">
        <f>#REF!</f>
        <v>#REF!</v>
      </c>
      <c r="H738" s="16" t="e">
        <f>#REF!</f>
        <v>#REF!</v>
      </c>
      <c r="I738" s="16" t="e">
        <f>#REF!</f>
        <v>#REF!</v>
      </c>
      <c r="J738" s="16" t="e">
        <f>#REF!</f>
        <v>#REF!</v>
      </c>
      <c r="K738" s="16" t="s">
        <v>744</v>
      </c>
      <c r="L738" s="16"/>
      <c r="M738" s="16"/>
      <c r="N738" s="16"/>
      <c r="O738" s="16"/>
    </row>
    <row r="739" spans="1:15" ht="22.5" customHeight="1" thickTop="1" thickBot="1" x14ac:dyDescent="0.25">
      <c r="A739" s="16" t="e">
        <f>#REF!</f>
        <v>#REF!</v>
      </c>
      <c r="B739" s="16" t="e">
        <f>#REF!</f>
        <v>#REF!</v>
      </c>
      <c r="C739" s="16" t="e">
        <f>#REF!</f>
        <v>#REF!</v>
      </c>
      <c r="D739" s="16" t="e">
        <f>#REF!</f>
        <v>#REF!</v>
      </c>
      <c r="E739" s="16" t="e">
        <f>#REF!</f>
        <v>#REF!</v>
      </c>
      <c r="F739" s="16" t="e">
        <f>#REF!</f>
        <v>#REF!</v>
      </c>
      <c r="G739" s="16" t="e">
        <f>#REF!</f>
        <v>#REF!</v>
      </c>
      <c r="H739" s="16" t="e">
        <f>#REF!</f>
        <v>#REF!</v>
      </c>
      <c r="I739" s="16" t="e">
        <f>#REF!</f>
        <v>#REF!</v>
      </c>
      <c r="J739" s="16" t="e">
        <f>#REF!</f>
        <v>#REF!</v>
      </c>
      <c r="K739" s="16" t="s">
        <v>744</v>
      </c>
      <c r="L739" s="16"/>
      <c r="M739" s="16"/>
      <c r="N739" s="16"/>
      <c r="O739" s="16"/>
    </row>
    <row r="740" spans="1:15" ht="22.5" customHeight="1" thickTop="1" thickBot="1" x14ac:dyDescent="0.25">
      <c r="A740" s="16" t="e">
        <f>#REF!</f>
        <v>#REF!</v>
      </c>
      <c r="B740" s="16" t="e">
        <f>#REF!</f>
        <v>#REF!</v>
      </c>
      <c r="C740" s="16" t="e">
        <f>#REF!</f>
        <v>#REF!</v>
      </c>
      <c r="D740" s="16" t="e">
        <f>#REF!</f>
        <v>#REF!</v>
      </c>
      <c r="E740" s="16" t="e">
        <f>#REF!</f>
        <v>#REF!</v>
      </c>
      <c r="F740" s="16" t="e">
        <f>#REF!</f>
        <v>#REF!</v>
      </c>
      <c r="G740" s="16" t="e">
        <f>#REF!</f>
        <v>#REF!</v>
      </c>
      <c r="H740" s="16" t="e">
        <f>#REF!</f>
        <v>#REF!</v>
      </c>
      <c r="I740" s="16" t="e">
        <f>#REF!</f>
        <v>#REF!</v>
      </c>
      <c r="J740" s="16" t="e">
        <f>#REF!</f>
        <v>#REF!</v>
      </c>
      <c r="K740" s="16" t="s">
        <v>744</v>
      </c>
      <c r="L740" s="16"/>
      <c r="M740" s="16"/>
      <c r="N740" s="16"/>
      <c r="O740" s="16"/>
    </row>
    <row r="741" spans="1:15" ht="22.5" customHeight="1" thickTop="1" thickBot="1" x14ac:dyDescent="0.25">
      <c r="A741" s="16" t="e">
        <f>#REF!</f>
        <v>#REF!</v>
      </c>
      <c r="B741" s="16" t="e">
        <f>#REF!</f>
        <v>#REF!</v>
      </c>
      <c r="C741" s="16" t="e">
        <f>#REF!</f>
        <v>#REF!</v>
      </c>
      <c r="D741" s="16" t="e">
        <f>#REF!</f>
        <v>#REF!</v>
      </c>
      <c r="E741" s="16" t="e">
        <f>#REF!</f>
        <v>#REF!</v>
      </c>
      <c r="F741" s="16" t="e">
        <f>#REF!</f>
        <v>#REF!</v>
      </c>
      <c r="G741" s="16" t="e">
        <f>#REF!</f>
        <v>#REF!</v>
      </c>
      <c r="H741" s="16" t="e">
        <f>#REF!</f>
        <v>#REF!</v>
      </c>
      <c r="I741" s="16" t="e">
        <f>#REF!</f>
        <v>#REF!</v>
      </c>
      <c r="J741" s="16" t="e">
        <f>#REF!</f>
        <v>#REF!</v>
      </c>
      <c r="K741" s="16" t="s">
        <v>744</v>
      </c>
      <c r="L741" s="16"/>
      <c r="M741" s="16"/>
      <c r="N741" s="16"/>
      <c r="O741" s="16"/>
    </row>
    <row r="742" spans="1:15" ht="22.5" customHeight="1" thickTop="1" thickBot="1" x14ac:dyDescent="0.25">
      <c r="A742" s="16" t="e">
        <f>#REF!</f>
        <v>#REF!</v>
      </c>
      <c r="B742" s="16" t="e">
        <f>#REF!</f>
        <v>#REF!</v>
      </c>
      <c r="C742" s="16" t="e">
        <f>#REF!</f>
        <v>#REF!</v>
      </c>
      <c r="D742" s="16" t="e">
        <f>#REF!</f>
        <v>#REF!</v>
      </c>
      <c r="E742" s="16" t="e">
        <f>#REF!</f>
        <v>#REF!</v>
      </c>
      <c r="F742" s="16" t="e">
        <f>#REF!</f>
        <v>#REF!</v>
      </c>
      <c r="G742" s="16" t="e">
        <f>#REF!</f>
        <v>#REF!</v>
      </c>
      <c r="H742" s="16" t="e">
        <f>#REF!</f>
        <v>#REF!</v>
      </c>
      <c r="I742" s="16" t="e">
        <f>#REF!</f>
        <v>#REF!</v>
      </c>
      <c r="J742" s="16" t="e">
        <f>#REF!</f>
        <v>#REF!</v>
      </c>
      <c r="K742" s="16" t="s">
        <v>744</v>
      </c>
      <c r="L742" s="16"/>
      <c r="M742" s="16"/>
      <c r="N742" s="16"/>
      <c r="O742" s="16"/>
    </row>
    <row r="743" spans="1:15" ht="22.5" customHeight="1" thickTop="1" thickBot="1" x14ac:dyDescent="0.25">
      <c r="A743" s="16" t="e">
        <f>#REF!</f>
        <v>#REF!</v>
      </c>
      <c r="B743" s="16" t="e">
        <f>#REF!</f>
        <v>#REF!</v>
      </c>
      <c r="C743" s="16" t="e">
        <f>#REF!</f>
        <v>#REF!</v>
      </c>
      <c r="D743" s="16" t="e">
        <f>#REF!</f>
        <v>#REF!</v>
      </c>
      <c r="E743" s="16" t="e">
        <f>#REF!</f>
        <v>#REF!</v>
      </c>
      <c r="F743" s="16" t="e">
        <f>#REF!</f>
        <v>#REF!</v>
      </c>
      <c r="G743" s="16" t="e">
        <f>#REF!</f>
        <v>#REF!</v>
      </c>
      <c r="H743" s="16" t="e">
        <f>#REF!</f>
        <v>#REF!</v>
      </c>
      <c r="I743" s="16" t="e">
        <f>#REF!</f>
        <v>#REF!</v>
      </c>
      <c r="J743" s="16" t="e">
        <f>#REF!</f>
        <v>#REF!</v>
      </c>
      <c r="K743" s="16" t="s">
        <v>744</v>
      </c>
      <c r="L743" s="16"/>
      <c r="M743" s="16"/>
      <c r="N743" s="16"/>
      <c r="O743" s="16"/>
    </row>
    <row r="744" spans="1:15" ht="22.5" customHeight="1" thickTop="1" thickBot="1" x14ac:dyDescent="0.25">
      <c r="A744" s="16" t="e">
        <f>#REF!</f>
        <v>#REF!</v>
      </c>
      <c r="B744" s="16" t="e">
        <f>#REF!</f>
        <v>#REF!</v>
      </c>
      <c r="C744" s="16" t="e">
        <f>#REF!</f>
        <v>#REF!</v>
      </c>
      <c r="D744" s="16" t="e">
        <f>#REF!</f>
        <v>#REF!</v>
      </c>
      <c r="E744" s="16" t="e">
        <f>#REF!</f>
        <v>#REF!</v>
      </c>
      <c r="F744" s="16" t="e">
        <f>#REF!</f>
        <v>#REF!</v>
      </c>
      <c r="G744" s="16" t="e">
        <f>#REF!</f>
        <v>#REF!</v>
      </c>
      <c r="H744" s="16" t="e">
        <f>#REF!</f>
        <v>#REF!</v>
      </c>
      <c r="I744" s="16" t="e">
        <f>#REF!</f>
        <v>#REF!</v>
      </c>
      <c r="J744" s="16" t="e">
        <f>#REF!</f>
        <v>#REF!</v>
      </c>
      <c r="K744" s="16" t="s">
        <v>744</v>
      </c>
      <c r="L744" s="16"/>
      <c r="M744" s="16"/>
      <c r="N744" s="16"/>
      <c r="O744" s="16"/>
    </row>
    <row r="745" spans="1:15" ht="22.5" customHeight="1" thickTop="1" thickBot="1" x14ac:dyDescent="0.25">
      <c r="A745" s="16" t="e">
        <f>#REF!</f>
        <v>#REF!</v>
      </c>
      <c r="B745" s="16" t="e">
        <f>#REF!</f>
        <v>#REF!</v>
      </c>
      <c r="C745" s="16" t="e">
        <f>#REF!</f>
        <v>#REF!</v>
      </c>
      <c r="D745" s="16" t="e">
        <f>#REF!</f>
        <v>#REF!</v>
      </c>
      <c r="E745" s="16" t="e">
        <f>#REF!</f>
        <v>#REF!</v>
      </c>
      <c r="F745" s="16" t="e">
        <f>#REF!</f>
        <v>#REF!</v>
      </c>
      <c r="G745" s="16" t="e">
        <f>#REF!</f>
        <v>#REF!</v>
      </c>
      <c r="H745" s="16" t="e">
        <f>#REF!</f>
        <v>#REF!</v>
      </c>
      <c r="I745" s="16" t="e">
        <f>#REF!</f>
        <v>#REF!</v>
      </c>
      <c r="J745" s="16" t="e">
        <f>#REF!</f>
        <v>#REF!</v>
      </c>
      <c r="K745" s="16" t="s">
        <v>744</v>
      </c>
      <c r="L745" s="16"/>
      <c r="M745" s="16"/>
      <c r="N745" s="16"/>
      <c r="O745" s="16"/>
    </row>
    <row r="746" spans="1:15" ht="22.5" customHeight="1" thickTop="1" thickBot="1" x14ac:dyDescent="0.25">
      <c r="A746" s="16" t="e">
        <f>#REF!</f>
        <v>#REF!</v>
      </c>
      <c r="B746" s="16" t="e">
        <f>#REF!</f>
        <v>#REF!</v>
      </c>
      <c r="C746" s="16" t="e">
        <f>#REF!</f>
        <v>#REF!</v>
      </c>
      <c r="D746" s="16" t="e">
        <f>#REF!</f>
        <v>#REF!</v>
      </c>
      <c r="E746" s="16" t="e">
        <f>#REF!</f>
        <v>#REF!</v>
      </c>
      <c r="F746" s="16" t="e">
        <f>#REF!</f>
        <v>#REF!</v>
      </c>
      <c r="G746" s="16" t="e">
        <f>#REF!</f>
        <v>#REF!</v>
      </c>
      <c r="H746" s="16" t="e">
        <f>#REF!</f>
        <v>#REF!</v>
      </c>
      <c r="I746" s="16" t="e">
        <f>#REF!</f>
        <v>#REF!</v>
      </c>
      <c r="J746" s="16" t="e">
        <f>#REF!</f>
        <v>#REF!</v>
      </c>
      <c r="K746" s="16" t="s">
        <v>744</v>
      </c>
      <c r="L746" s="16"/>
      <c r="M746" s="16"/>
      <c r="N746" s="16"/>
      <c r="O746" s="16"/>
    </row>
    <row r="747" spans="1:15" ht="22.5" customHeight="1" thickTop="1" thickBot="1" x14ac:dyDescent="0.25">
      <c r="A747" s="16" t="e">
        <f>#REF!</f>
        <v>#REF!</v>
      </c>
      <c r="B747" s="16" t="e">
        <f>#REF!</f>
        <v>#REF!</v>
      </c>
      <c r="C747" s="16" t="e">
        <f>#REF!</f>
        <v>#REF!</v>
      </c>
      <c r="D747" s="16" t="e">
        <f>#REF!</f>
        <v>#REF!</v>
      </c>
      <c r="E747" s="16" t="e">
        <f>#REF!</f>
        <v>#REF!</v>
      </c>
      <c r="F747" s="16" t="e">
        <f>#REF!</f>
        <v>#REF!</v>
      </c>
      <c r="G747" s="16" t="e">
        <f>#REF!</f>
        <v>#REF!</v>
      </c>
      <c r="H747" s="16" t="e">
        <f>#REF!</f>
        <v>#REF!</v>
      </c>
      <c r="I747" s="16" t="e">
        <f>#REF!</f>
        <v>#REF!</v>
      </c>
      <c r="J747" s="16" t="e">
        <f>#REF!</f>
        <v>#REF!</v>
      </c>
      <c r="K747" s="16" t="s">
        <v>744</v>
      </c>
      <c r="L747" s="16"/>
      <c r="M747" s="16"/>
      <c r="N747" s="16"/>
      <c r="O747" s="16"/>
    </row>
    <row r="748" spans="1:15" ht="22.5" customHeight="1" thickTop="1" thickBot="1" x14ac:dyDescent="0.25">
      <c r="A748" s="16" t="e">
        <f>#REF!</f>
        <v>#REF!</v>
      </c>
      <c r="B748" s="16" t="e">
        <f>#REF!</f>
        <v>#REF!</v>
      </c>
      <c r="C748" s="16" t="e">
        <f>#REF!</f>
        <v>#REF!</v>
      </c>
      <c r="D748" s="16" t="e">
        <f>#REF!</f>
        <v>#REF!</v>
      </c>
      <c r="E748" s="16" t="e">
        <f>#REF!</f>
        <v>#REF!</v>
      </c>
      <c r="F748" s="16" t="e">
        <f>#REF!</f>
        <v>#REF!</v>
      </c>
      <c r="G748" s="16" t="e">
        <f>#REF!</f>
        <v>#REF!</v>
      </c>
      <c r="H748" s="16" t="e">
        <f>#REF!</f>
        <v>#REF!</v>
      </c>
      <c r="I748" s="16" t="e">
        <f>#REF!</f>
        <v>#REF!</v>
      </c>
      <c r="J748" s="16" t="e">
        <f>#REF!</f>
        <v>#REF!</v>
      </c>
      <c r="K748" s="16" t="s">
        <v>744</v>
      </c>
      <c r="L748" s="16"/>
      <c r="M748" s="16"/>
      <c r="N748" s="16"/>
      <c r="O748" s="16"/>
    </row>
    <row r="749" spans="1:15" ht="22.5" customHeight="1" thickTop="1" thickBot="1" x14ac:dyDescent="0.25">
      <c r="A749" s="16" t="e">
        <f>#REF!</f>
        <v>#REF!</v>
      </c>
      <c r="B749" s="16" t="e">
        <f>#REF!</f>
        <v>#REF!</v>
      </c>
      <c r="C749" s="16" t="e">
        <f>#REF!</f>
        <v>#REF!</v>
      </c>
      <c r="D749" s="16" t="e">
        <f>#REF!</f>
        <v>#REF!</v>
      </c>
      <c r="E749" s="16" t="e">
        <f>#REF!</f>
        <v>#REF!</v>
      </c>
      <c r="F749" s="16" t="e">
        <f>#REF!</f>
        <v>#REF!</v>
      </c>
      <c r="G749" s="16" t="e">
        <f>#REF!</f>
        <v>#REF!</v>
      </c>
      <c r="H749" s="16" t="e">
        <f>#REF!</f>
        <v>#REF!</v>
      </c>
      <c r="I749" s="16" t="e">
        <f>#REF!</f>
        <v>#REF!</v>
      </c>
      <c r="J749" s="16" t="e">
        <f>#REF!</f>
        <v>#REF!</v>
      </c>
      <c r="K749" s="16" t="s">
        <v>744</v>
      </c>
      <c r="L749" s="16"/>
      <c r="M749" s="16"/>
      <c r="N749" s="16"/>
      <c r="O749" s="16"/>
    </row>
    <row r="750" spans="1:15" ht="22.5" customHeight="1" thickTop="1" thickBot="1" x14ac:dyDescent="0.25">
      <c r="A750" s="16" t="e">
        <f>#REF!</f>
        <v>#REF!</v>
      </c>
      <c r="B750" s="16" t="e">
        <f>#REF!</f>
        <v>#REF!</v>
      </c>
      <c r="C750" s="16" t="e">
        <f>#REF!</f>
        <v>#REF!</v>
      </c>
      <c r="D750" s="16" t="e">
        <f>#REF!</f>
        <v>#REF!</v>
      </c>
      <c r="E750" s="16" t="e">
        <f>#REF!</f>
        <v>#REF!</v>
      </c>
      <c r="F750" s="16" t="e">
        <f>#REF!</f>
        <v>#REF!</v>
      </c>
      <c r="G750" s="16" t="e">
        <f>#REF!</f>
        <v>#REF!</v>
      </c>
      <c r="H750" s="16" t="e">
        <f>#REF!</f>
        <v>#REF!</v>
      </c>
      <c r="I750" s="16" t="e">
        <f>#REF!</f>
        <v>#REF!</v>
      </c>
      <c r="J750" s="16" t="e">
        <f>#REF!</f>
        <v>#REF!</v>
      </c>
      <c r="K750" s="16" t="s">
        <v>744</v>
      </c>
      <c r="L750" s="16"/>
      <c r="M750" s="16"/>
      <c r="N750" s="16"/>
      <c r="O750" s="16"/>
    </row>
    <row r="751" spans="1:15" ht="22.5" customHeight="1" thickTop="1" thickBot="1" x14ac:dyDescent="0.25">
      <c r="A751" s="16" t="e">
        <f>#REF!</f>
        <v>#REF!</v>
      </c>
      <c r="B751" s="16" t="e">
        <f>#REF!</f>
        <v>#REF!</v>
      </c>
      <c r="C751" s="16" t="e">
        <f>#REF!</f>
        <v>#REF!</v>
      </c>
      <c r="D751" s="16" t="e">
        <f>#REF!</f>
        <v>#REF!</v>
      </c>
      <c r="E751" s="16" t="e">
        <f>#REF!</f>
        <v>#REF!</v>
      </c>
      <c r="F751" s="16" t="e">
        <f>#REF!</f>
        <v>#REF!</v>
      </c>
      <c r="G751" s="16" t="e">
        <f>#REF!</f>
        <v>#REF!</v>
      </c>
      <c r="H751" s="16" t="e">
        <f>#REF!</f>
        <v>#REF!</v>
      </c>
      <c r="I751" s="16" t="e">
        <f>#REF!</f>
        <v>#REF!</v>
      </c>
      <c r="J751" s="16" t="e">
        <f>#REF!</f>
        <v>#REF!</v>
      </c>
      <c r="K751" s="16" t="s">
        <v>744</v>
      </c>
      <c r="L751" s="16"/>
      <c r="M751" s="16"/>
      <c r="N751" s="16"/>
      <c r="O751" s="16"/>
    </row>
    <row r="752" spans="1:15" ht="22.5" customHeight="1" thickTop="1" thickBot="1" x14ac:dyDescent="0.25">
      <c r="A752" s="16" t="e">
        <f>#REF!</f>
        <v>#REF!</v>
      </c>
      <c r="B752" s="16" t="e">
        <f>#REF!</f>
        <v>#REF!</v>
      </c>
      <c r="C752" s="16" t="e">
        <f>#REF!</f>
        <v>#REF!</v>
      </c>
      <c r="D752" s="16" t="e">
        <f>#REF!</f>
        <v>#REF!</v>
      </c>
      <c r="E752" s="16" t="e">
        <f>#REF!</f>
        <v>#REF!</v>
      </c>
      <c r="F752" s="16" t="e">
        <f>#REF!</f>
        <v>#REF!</v>
      </c>
      <c r="G752" s="16" t="e">
        <f>#REF!</f>
        <v>#REF!</v>
      </c>
      <c r="H752" s="16" t="e">
        <f>#REF!</f>
        <v>#REF!</v>
      </c>
      <c r="I752" s="16" t="e">
        <f>#REF!</f>
        <v>#REF!</v>
      </c>
      <c r="J752" s="16" t="e">
        <f>#REF!</f>
        <v>#REF!</v>
      </c>
      <c r="K752" s="16" t="s">
        <v>744</v>
      </c>
      <c r="L752" s="16"/>
      <c r="M752" s="16"/>
      <c r="N752" s="16"/>
      <c r="O752" s="16"/>
    </row>
    <row r="753" spans="1:15" ht="22.5" customHeight="1" thickTop="1" thickBot="1" x14ac:dyDescent="0.25">
      <c r="A753" s="16" t="e">
        <f>#REF!</f>
        <v>#REF!</v>
      </c>
      <c r="B753" s="16" t="e">
        <f>#REF!</f>
        <v>#REF!</v>
      </c>
      <c r="C753" s="16" t="e">
        <f>#REF!</f>
        <v>#REF!</v>
      </c>
      <c r="D753" s="16" t="e">
        <f>#REF!</f>
        <v>#REF!</v>
      </c>
      <c r="E753" s="16" t="e">
        <f>#REF!</f>
        <v>#REF!</v>
      </c>
      <c r="F753" s="16" t="e">
        <f>#REF!</f>
        <v>#REF!</v>
      </c>
      <c r="G753" s="16" t="e">
        <f>#REF!</f>
        <v>#REF!</v>
      </c>
      <c r="H753" s="16" t="e">
        <f>#REF!</f>
        <v>#REF!</v>
      </c>
      <c r="I753" s="16" t="e">
        <f>#REF!</f>
        <v>#REF!</v>
      </c>
      <c r="J753" s="16" t="e">
        <f>#REF!</f>
        <v>#REF!</v>
      </c>
      <c r="K753" s="16" t="s">
        <v>744</v>
      </c>
      <c r="L753" s="16"/>
      <c r="M753" s="16"/>
      <c r="N753" s="16"/>
      <c r="O753" s="16"/>
    </row>
    <row r="754" spans="1:15" ht="22.5" customHeight="1" thickTop="1" thickBot="1" x14ac:dyDescent="0.25">
      <c r="A754" s="16" t="e">
        <f>#REF!</f>
        <v>#REF!</v>
      </c>
      <c r="B754" s="16" t="e">
        <f>#REF!</f>
        <v>#REF!</v>
      </c>
      <c r="C754" s="16" t="e">
        <f>#REF!</f>
        <v>#REF!</v>
      </c>
      <c r="D754" s="16" t="e">
        <f>#REF!</f>
        <v>#REF!</v>
      </c>
      <c r="E754" s="16" t="e">
        <f>#REF!</f>
        <v>#REF!</v>
      </c>
      <c r="F754" s="16" t="e">
        <f>#REF!</f>
        <v>#REF!</v>
      </c>
      <c r="G754" s="16" t="e">
        <f>#REF!</f>
        <v>#REF!</v>
      </c>
      <c r="H754" s="16" t="e">
        <f>#REF!</f>
        <v>#REF!</v>
      </c>
      <c r="I754" s="16" t="e">
        <f>#REF!</f>
        <v>#REF!</v>
      </c>
      <c r="J754" s="16" t="e">
        <f>#REF!</f>
        <v>#REF!</v>
      </c>
      <c r="K754" s="16" t="s">
        <v>744</v>
      </c>
      <c r="L754" s="16"/>
      <c r="M754" s="16"/>
      <c r="N754" s="16"/>
      <c r="O754" s="16"/>
    </row>
    <row r="755" spans="1:15" ht="22.5" customHeight="1" thickTop="1" thickBot="1" x14ac:dyDescent="0.25">
      <c r="A755" s="16" t="e">
        <f>#REF!</f>
        <v>#REF!</v>
      </c>
      <c r="B755" s="16" t="e">
        <f>#REF!</f>
        <v>#REF!</v>
      </c>
      <c r="C755" s="16" t="e">
        <f>#REF!</f>
        <v>#REF!</v>
      </c>
      <c r="D755" s="16" t="e">
        <f>#REF!</f>
        <v>#REF!</v>
      </c>
      <c r="E755" s="16" t="e">
        <f>#REF!</f>
        <v>#REF!</v>
      </c>
      <c r="F755" s="16" t="e">
        <f>#REF!</f>
        <v>#REF!</v>
      </c>
      <c r="G755" s="16" t="e">
        <f>#REF!</f>
        <v>#REF!</v>
      </c>
      <c r="H755" s="16" t="e">
        <f>#REF!</f>
        <v>#REF!</v>
      </c>
      <c r="I755" s="16" t="e">
        <f>#REF!</f>
        <v>#REF!</v>
      </c>
      <c r="J755" s="16" t="e">
        <f>#REF!</f>
        <v>#REF!</v>
      </c>
      <c r="K755" s="16" t="s">
        <v>744</v>
      </c>
      <c r="L755" s="16"/>
      <c r="M755" s="16"/>
      <c r="N755" s="16"/>
      <c r="O755" s="16"/>
    </row>
    <row r="756" spans="1:15" ht="22.5" customHeight="1" thickTop="1" thickBot="1" x14ac:dyDescent="0.25">
      <c r="A756" s="16" t="e">
        <f>#REF!</f>
        <v>#REF!</v>
      </c>
      <c r="B756" s="16" t="e">
        <f>#REF!</f>
        <v>#REF!</v>
      </c>
      <c r="C756" s="16" t="e">
        <f>#REF!</f>
        <v>#REF!</v>
      </c>
      <c r="D756" s="16" t="e">
        <f>#REF!</f>
        <v>#REF!</v>
      </c>
      <c r="E756" s="16" t="e">
        <f>#REF!</f>
        <v>#REF!</v>
      </c>
      <c r="F756" s="16" t="e">
        <f>#REF!</f>
        <v>#REF!</v>
      </c>
      <c r="G756" s="16" t="e">
        <f>#REF!</f>
        <v>#REF!</v>
      </c>
      <c r="H756" s="16" t="e">
        <f>#REF!</f>
        <v>#REF!</v>
      </c>
      <c r="I756" s="16" t="e">
        <f>#REF!</f>
        <v>#REF!</v>
      </c>
      <c r="J756" s="16" t="e">
        <f>#REF!</f>
        <v>#REF!</v>
      </c>
      <c r="K756" s="16"/>
      <c r="L756" s="16"/>
      <c r="M756" s="16"/>
      <c r="N756" s="16"/>
      <c r="O756" s="16"/>
    </row>
    <row r="757" spans="1:15" ht="22.5" customHeight="1" thickTop="1" thickBot="1" x14ac:dyDescent="0.25">
      <c r="A757" s="16" t="e">
        <f>#REF!</f>
        <v>#REF!</v>
      </c>
      <c r="B757" s="16" t="e">
        <f>#REF!</f>
        <v>#REF!</v>
      </c>
      <c r="C757" s="16" t="e">
        <f>#REF!</f>
        <v>#REF!</v>
      </c>
      <c r="D757" s="16" t="e">
        <f>#REF!</f>
        <v>#REF!</v>
      </c>
      <c r="E757" s="16" t="e">
        <f>#REF!</f>
        <v>#REF!</v>
      </c>
      <c r="F757" s="16" t="e">
        <f>#REF!</f>
        <v>#REF!</v>
      </c>
      <c r="G757" s="16" t="e">
        <f>#REF!</f>
        <v>#REF!</v>
      </c>
      <c r="H757" s="16" t="e">
        <f>#REF!</f>
        <v>#REF!</v>
      </c>
      <c r="I757" s="16" t="e">
        <f>#REF!</f>
        <v>#REF!</v>
      </c>
      <c r="J757" s="16" t="e">
        <f>#REF!</f>
        <v>#REF!</v>
      </c>
      <c r="K757" s="16"/>
      <c r="L757" s="16"/>
      <c r="M757" s="16"/>
      <c r="N757" s="16"/>
      <c r="O757" s="16"/>
    </row>
    <row r="758" spans="1:15" ht="22.5" customHeight="1" thickTop="1" thickBot="1" x14ac:dyDescent="0.25">
      <c r="A758" s="16" t="e">
        <f>#REF!</f>
        <v>#REF!</v>
      </c>
      <c r="B758" s="16" t="e">
        <f>#REF!</f>
        <v>#REF!</v>
      </c>
      <c r="C758" s="16" t="e">
        <f>#REF!</f>
        <v>#REF!</v>
      </c>
      <c r="D758" s="16" t="e">
        <f>#REF!</f>
        <v>#REF!</v>
      </c>
      <c r="E758" s="16" t="e">
        <f>#REF!</f>
        <v>#REF!</v>
      </c>
      <c r="F758" s="16" t="e">
        <f>#REF!</f>
        <v>#REF!</v>
      </c>
      <c r="G758" s="16" t="e">
        <f>#REF!</f>
        <v>#REF!</v>
      </c>
      <c r="H758" s="16" t="e">
        <f>#REF!</f>
        <v>#REF!</v>
      </c>
      <c r="I758" s="16" t="e">
        <f>#REF!</f>
        <v>#REF!</v>
      </c>
      <c r="J758" s="16" t="e">
        <f>#REF!</f>
        <v>#REF!</v>
      </c>
      <c r="K758" s="16" t="s">
        <v>744</v>
      </c>
      <c r="L758" s="16"/>
      <c r="M758" s="16"/>
      <c r="N758" s="16"/>
      <c r="O758" s="16"/>
    </row>
    <row r="759" spans="1:15" ht="22.5" customHeight="1" thickTop="1" thickBot="1" x14ac:dyDescent="0.25">
      <c r="A759" s="16" t="e">
        <f>#REF!</f>
        <v>#REF!</v>
      </c>
      <c r="B759" s="16" t="e">
        <f>#REF!</f>
        <v>#REF!</v>
      </c>
      <c r="C759" s="16" t="e">
        <f>#REF!</f>
        <v>#REF!</v>
      </c>
      <c r="D759" s="16" t="e">
        <f>#REF!</f>
        <v>#REF!</v>
      </c>
      <c r="E759" s="16" t="e">
        <f>#REF!</f>
        <v>#REF!</v>
      </c>
      <c r="F759" s="16" t="e">
        <f>#REF!</f>
        <v>#REF!</v>
      </c>
      <c r="G759" s="16" t="e">
        <f>#REF!</f>
        <v>#REF!</v>
      </c>
      <c r="H759" s="16" t="e">
        <f>#REF!</f>
        <v>#REF!</v>
      </c>
      <c r="I759" s="16" t="e">
        <f>#REF!</f>
        <v>#REF!</v>
      </c>
      <c r="J759" s="16" t="e">
        <f>#REF!</f>
        <v>#REF!</v>
      </c>
      <c r="K759" s="16" t="s">
        <v>744</v>
      </c>
      <c r="L759" s="16"/>
      <c r="M759" s="16"/>
      <c r="N759" s="16"/>
      <c r="O759" s="16"/>
    </row>
    <row r="760" spans="1:15" ht="22.5" customHeight="1" thickTop="1" thickBot="1" x14ac:dyDescent="0.25">
      <c r="A760" s="16" t="e">
        <f>#REF!</f>
        <v>#REF!</v>
      </c>
      <c r="B760" s="16" t="e">
        <f>#REF!</f>
        <v>#REF!</v>
      </c>
      <c r="C760" s="16" t="e">
        <f>#REF!</f>
        <v>#REF!</v>
      </c>
      <c r="D760" s="16" t="e">
        <f>#REF!</f>
        <v>#REF!</v>
      </c>
      <c r="E760" s="16" t="e">
        <f>#REF!</f>
        <v>#REF!</v>
      </c>
      <c r="F760" s="16" t="e">
        <f>#REF!</f>
        <v>#REF!</v>
      </c>
      <c r="G760" s="16" t="e">
        <f>#REF!</f>
        <v>#REF!</v>
      </c>
      <c r="H760" s="16" t="e">
        <f>#REF!</f>
        <v>#REF!</v>
      </c>
      <c r="I760" s="16" t="e">
        <f>#REF!</f>
        <v>#REF!</v>
      </c>
      <c r="J760" s="16" t="e">
        <f>#REF!</f>
        <v>#REF!</v>
      </c>
      <c r="K760" s="16"/>
      <c r="L760" s="16"/>
      <c r="M760" s="16"/>
      <c r="N760" s="16"/>
      <c r="O760" s="16"/>
    </row>
    <row r="761" spans="1:15" ht="22.5" customHeight="1" thickTop="1" thickBot="1" x14ac:dyDescent="0.25">
      <c r="A761" s="16" t="e">
        <f>#REF!</f>
        <v>#REF!</v>
      </c>
      <c r="B761" s="16" t="e">
        <f>#REF!</f>
        <v>#REF!</v>
      </c>
      <c r="C761" s="16" t="e">
        <f>#REF!</f>
        <v>#REF!</v>
      </c>
      <c r="D761" s="16" t="e">
        <f>#REF!</f>
        <v>#REF!</v>
      </c>
      <c r="E761" s="16" t="e">
        <f>#REF!</f>
        <v>#REF!</v>
      </c>
      <c r="F761" s="16" t="e">
        <f>#REF!</f>
        <v>#REF!</v>
      </c>
      <c r="G761" s="16" t="e">
        <f>#REF!</f>
        <v>#REF!</v>
      </c>
      <c r="H761" s="16" t="e">
        <f>#REF!</f>
        <v>#REF!</v>
      </c>
      <c r="I761" s="16" t="e">
        <f>#REF!</f>
        <v>#REF!</v>
      </c>
      <c r="J761" s="16" t="e">
        <f>#REF!</f>
        <v>#REF!</v>
      </c>
      <c r="K761" s="16"/>
      <c r="L761" s="16"/>
      <c r="M761" s="16"/>
      <c r="N761" s="16"/>
      <c r="O761" s="16"/>
    </row>
    <row r="762" spans="1:15" ht="22.5" customHeight="1" thickTop="1" thickBot="1" x14ac:dyDescent="0.25">
      <c r="A762" s="16" t="e">
        <f>#REF!</f>
        <v>#REF!</v>
      </c>
      <c r="B762" s="16" t="e">
        <f>#REF!</f>
        <v>#REF!</v>
      </c>
      <c r="C762" s="16" t="e">
        <f>#REF!</f>
        <v>#REF!</v>
      </c>
      <c r="D762" s="16" t="e">
        <f>#REF!</f>
        <v>#REF!</v>
      </c>
      <c r="E762" s="16" t="e">
        <f>#REF!</f>
        <v>#REF!</v>
      </c>
      <c r="F762" s="16" t="e">
        <f>#REF!</f>
        <v>#REF!</v>
      </c>
      <c r="G762" s="16" t="e">
        <f>#REF!</f>
        <v>#REF!</v>
      </c>
      <c r="H762" s="16" t="e">
        <f>#REF!</f>
        <v>#REF!</v>
      </c>
      <c r="I762" s="16" t="e">
        <f>#REF!</f>
        <v>#REF!</v>
      </c>
      <c r="J762" s="16" t="e">
        <f>#REF!</f>
        <v>#REF!</v>
      </c>
      <c r="K762" s="16"/>
      <c r="L762" s="16"/>
      <c r="M762" s="16"/>
      <c r="N762" s="16"/>
      <c r="O762" s="16"/>
    </row>
    <row r="763" spans="1:15" ht="22.5" customHeight="1" thickTop="1" thickBot="1" x14ac:dyDescent="0.25">
      <c r="A763" s="16" t="e">
        <f>#REF!</f>
        <v>#REF!</v>
      </c>
      <c r="B763" s="16" t="e">
        <f>#REF!</f>
        <v>#REF!</v>
      </c>
      <c r="C763" s="16" t="e">
        <f>#REF!</f>
        <v>#REF!</v>
      </c>
      <c r="D763" s="16" t="e">
        <f>#REF!</f>
        <v>#REF!</v>
      </c>
      <c r="E763" s="16" t="e">
        <f>#REF!</f>
        <v>#REF!</v>
      </c>
      <c r="F763" s="16" t="e">
        <f>#REF!</f>
        <v>#REF!</v>
      </c>
      <c r="G763" s="16" t="e">
        <f>#REF!</f>
        <v>#REF!</v>
      </c>
      <c r="H763" s="16" t="e">
        <f>#REF!</f>
        <v>#REF!</v>
      </c>
      <c r="I763" s="16" t="e">
        <f>#REF!</f>
        <v>#REF!</v>
      </c>
      <c r="J763" s="16" t="e">
        <f>#REF!</f>
        <v>#REF!</v>
      </c>
      <c r="K763" s="16"/>
      <c r="L763" s="16"/>
      <c r="M763" s="16"/>
      <c r="N763" s="16"/>
      <c r="O763" s="16"/>
    </row>
    <row r="764" spans="1:15" ht="22.5" customHeight="1" thickTop="1" thickBot="1" x14ac:dyDescent="0.25">
      <c r="A764" s="16" t="e">
        <f>#REF!</f>
        <v>#REF!</v>
      </c>
      <c r="B764" s="16" t="e">
        <f>#REF!</f>
        <v>#REF!</v>
      </c>
      <c r="C764" s="16" t="e">
        <f>#REF!</f>
        <v>#REF!</v>
      </c>
      <c r="D764" s="16" t="e">
        <f>#REF!</f>
        <v>#REF!</v>
      </c>
      <c r="E764" s="16" t="e">
        <f>#REF!</f>
        <v>#REF!</v>
      </c>
      <c r="F764" s="16" t="e">
        <f>#REF!</f>
        <v>#REF!</v>
      </c>
      <c r="G764" s="16" t="e">
        <f>#REF!</f>
        <v>#REF!</v>
      </c>
      <c r="H764" s="16" t="e">
        <f>#REF!</f>
        <v>#REF!</v>
      </c>
      <c r="I764" s="16" t="e">
        <f>#REF!</f>
        <v>#REF!</v>
      </c>
      <c r="J764" s="16" t="e">
        <f>#REF!</f>
        <v>#REF!</v>
      </c>
      <c r="K764" s="16"/>
      <c r="L764" s="16"/>
      <c r="M764" s="16"/>
      <c r="N764" s="16"/>
      <c r="O764" s="16"/>
    </row>
    <row r="765" spans="1:15" ht="22.5" customHeight="1" thickTop="1" thickBot="1" x14ac:dyDescent="0.25">
      <c r="A765" s="16" t="e">
        <f>#REF!</f>
        <v>#REF!</v>
      </c>
      <c r="B765" s="16" t="e">
        <f>#REF!</f>
        <v>#REF!</v>
      </c>
      <c r="C765" s="16" t="e">
        <f>#REF!</f>
        <v>#REF!</v>
      </c>
      <c r="D765" s="16" t="e">
        <f>#REF!</f>
        <v>#REF!</v>
      </c>
      <c r="E765" s="16" t="e">
        <f>#REF!</f>
        <v>#REF!</v>
      </c>
      <c r="F765" s="16" t="e">
        <f>#REF!</f>
        <v>#REF!</v>
      </c>
      <c r="G765" s="16" t="e">
        <f>#REF!</f>
        <v>#REF!</v>
      </c>
      <c r="H765" s="16" t="e">
        <f>#REF!</f>
        <v>#REF!</v>
      </c>
      <c r="I765" s="16" t="e">
        <f>#REF!</f>
        <v>#REF!</v>
      </c>
      <c r="J765" s="16" t="e">
        <f>#REF!</f>
        <v>#REF!</v>
      </c>
      <c r="K765" s="16"/>
      <c r="L765" s="16"/>
      <c r="M765" s="16"/>
      <c r="N765" s="16"/>
      <c r="O765" s="16"/>
    </row>
    <row r="766" spans="1:15" ht="22.5" customHeight="1" thickTop="1" thickBot="1" x14ac:dyDescent="0.25">
      <c r="A766" s="16" t="e">
        <f>#REF!</f>
        <v>#REF!</v>
      </c>
      <c r="B766" s="16" t="e">
        <f>#REF!</f>
        <v>#REF!</v>
      </c>
      <c r="C766" s="16" t="e">
        <f>#REF!</f>
        <v>#REF!</v>
      </c>
      <c r="D766" s="16" t="e">
        <f>#REF!</f>
        <v>#REF!</v>
      </c>
      <c r="E766" s="16" t="e">
        <f>#REF!</f>
        <v>#REF!</v>
      </c>
      <c r="F766" s="16" t="e">
        <f>#REF!</f>
        <v>#REF!</v>
      </c>
      <c r="G766" s="16" t="e">
        <f>#REF!</f>
        <v>#REF!</v>
      </c>
      <c r="H766" s="16" t="e">
        <f>#REF!</f>
        <v>#REF!</v>
      </c>
      <c r="I766" s="16" t="e">
        <f>#REF!</f>
        <v>#REF!</v>
      </c>
      <c r="J766" s="16" t="e">
        <f>#REF!</f>
        <v>#REF!</v>
      </c>
      <c r="K766" s="16"/>
      <c r="L766" s="16"/>
      <c r="M766" s="16"/>
      <c r="N766" s="16"/>
      <c r="O766" s="16"/>
    </row>
    <row r="767" spans="1:15" ht="22.5" customHeight="1" thickTop="1" thickBot="1" x14ac:dyDescent="0.25">
      <c r="A767" s="16" t="e">
        <f>#REF!</f>
        <v>#REF!</v>
      </c>
      <c r="B767" s="16" t="e">
        <f>#REF!</f>
        <v>#REF!</v>
      </c>
      <c r="C767" s="16" t="e">
        <f>#REF!</f>
        <v>#REF!</v>
      </c>
      <c r="D767" s="16" t="e">
        <f>#REF!</f>
        <v>#REF!</v>
      </c>
      <c r="E767" s="16" t="e">
        <f>#REF!</f>
        <v>#REF!</v>
      </c>
      <c r="F767" s="16" t="e">
        <f>#REF!</f>
        <v>#REF!</v>
      </c>
      <c r="G767" s="16" t="e">
        <f>#REF!</f>
        <v>#REF!</v>
      </c>
      <c r="H767" s="16" t="e">
        <f>#REF!</f>
        <v>#REF!</v>
      </c>
      <c r="I767" s="16" t="e">
        <f>#REF!</f>
        <v>#REF!</v>
      </c>
      <c r="J767" s="16" t="e">
        <f>#REF!</f>
        <v>#REF!</v>
      </c>
      <c r="K767" s="16"/>
      <c r="L767" s="16"/>
      <c r="M767" s="16"/>
      <c r="N767" s="16"/>
      <c r="O767" s="16"/>
    </row>
    <row r="768" spans="1:15" ht="22.5" customHeight="1" thickTop="1" thickBot="1" x14ac:dyDescent="0.25">
      <c r="A768" s="16" t="e">
        <f>#REF!</f>
        <v>#REF!</v>
      </c>
      <c r="B768" s="16" t="e">
        <f>#REF!</f>
        <v>#REF!</v>
      </c>
      <c r="C768" s="16" t="e">
        <f>#REF!</f>
        <v>#REF!</v>
      </c>
      <c r="D768" s="16" t="e">
        <f>#REF!</f>
        <v>#REF!</v>
      </c>
      <c r="E768" s="16" t="e">
        <f>#REF!</f>
        <v>#REF!</v>
      </c>
      <c r="F768" s="16" t="e">
        <f>#REF!</f>
        <v>#REF!</v>
      </c>
      <c r="G768" s="16" t="e">
        <f>#REF!</f>
        <v>#REF!</v>
      </c>
      <c r="H768" s="16" t="e">
        <f>#REF!</f>
        <v>#REF!</v>
      </c>
      <c r="I768" s="16" t="e">
        <f>#REF!</f>
        <v>#REF!</v>
      </c>
      <c r="J768" s="16" t="e">
        <f>#REF!</f>
        <v>#REF!</v>
      </c>
      <c r="K768" s="16"/>
      <c r="L768" s="16"/>
      <c r="M768" s="16"/>
      <c r="N768" s="16"/>
      <c r="O768" s="16"/>
    </row>
    <row r="769" spans="1:15" ht="22.5" customHeight="1" thickTop="1" thickBot="1" x14ac:dyDescent="0.25">
      <c r="A769" s="16" t="e">
        <f>#REF!</f>
        <v>#REF!</v>
      </c>
      <c r="B769" s="16" t="e">
        <f>#REF!</f>
        <v>#REF!</v>
      </c>
      <c r="C769" s="16" t="e">
        <f>#REF!</f>
        <v>#REF!</v>
      </c>
      <c r="D769" s="16" t="e">
        <f>#REF!</f>
        <v>#REF!</v>
      </c>
      <c r="E769" s="16" t="e">
        <f>#REF!</f>
        <v>#REF!</v>
      </c>
      <c r="F769" s="16" t="e">
        <f>#REF!</f>
        <v>#REF!</v>
      </c>
      <c r="G769" s="16" t="e">
        <f>#REF!</f>
        <v>#REF!</v>
      </c>
      <c r="H769" s="16" t="e">
        <f>#REF!</f>
        <v>#REF!</v>
      </c>
      <c r="I769" s="16" t="e">
        <f>#REF!</f>
        <v>#REF!</v>
      </c>
      <c r="J769" s="16" t="e">
        <f>#REF!</f>
        <v>#REF!</v>
      </c>
      <c r="K769" s="16"/>
      <c r="L769" s="16"/>
      <c r="M769" s="16"/>
      <c r="N769" s="16"/>
      <c r="O769" s="16"/>
    </row>
    <row r="770" spans="1:15" ht="22.5" customHeight="1" thickTop="1" thickBot="1" x14ac:dyDescent="0.25">
      <c r="A770" s="16" t="e">
        <f>#REF!</f>
        <v>#REF!</v>
      </c>
      <c r="B770" s="16" t="e">
        <f>#REF!</f>
        <v>#REF!</v>
      </c>
      <c r="C770" s="16" t="e">
        <f>#REF!</f>
        <v>#REF!</v>
      </c>
      <c r="D770" s="16" t="e">
        <f>#REF!</f>
        <v>#REF!</v>
      </c>
      <c r="E770" s="16" t="e">
        <f>#REF!</f>
        <v>#REF!</v>
      </c>
      <c r="F770" s="16" t="e">
        <f>#REF!</f>
        <v>#REF!</v>
      </c>
      <c r="G770" s="16" t="e">
        <f>#REF!</f>
        <v>#REF!</v>
      </c>
      <c r="H770" s="16" t="e">
        <f>#REF!</f>
        <v>#REF!</v>
      </c>
      <c r="I770" s="16" t="e">
        <f>#REF!</f>
        <v>#REF!</v>
      </c>
      <c r="J770" s="16" t="e">
        <f>#REF!</f>
        <v>#REF!</v>
      </c>
      <c r="K770" s="16"/>
      <c r="L770" s="16"/>
      <c r="M770" s="16"/>
      <c r="N770" s="16"/>
      <c r="O770" s="16"/>
    </row>
    <row r="771" spans="1:15" ht="22.5" customHeight="1" thickTop="1" thickBot="1" x14ac:dyDescent="0.25">
      <c r="A771" s="16" t="e">
        <f>#REF!</f>
        <v>#REF!</v>
      </c>
      <c r="B771" s="16" t="e">
        <f>#REF!</f>
        <v>#REF!</v>
      </c>
      <c r="C771" s="16" t="e">
        <f>#REF!</f>
        <v>#REF!</v>
      </c>
      <c r="D771" s="16" t="e">
        <f>#REF!</f>
        <v>#REF!</v>
      </c>
      <c r="E771" s="16" t="e">
        <f>#REF!</f>
        <v>#REF!</v>
      </c>
      <c r="F771" s="16" t="e">
        <f>#REF!</f>
        <v>#REF!</v>
      </c>
      <c r="G771" s="16" t="e">
        <f>#REF!</f>
        <v>#REF!</v>
      </c>
      <c r="H771" s="16" t="e">
        <f>#REF!</f>
        <v>#REF!</v>
      </c>
      <c r="I771" s="16" t="e">
        <f>#REF!</f>
        <v>#REF!</v>
      </c>
      <c r="J771" s="16" t="e">
        <f>#REF!</f>
        <v>#REF!</v>
      </c>
      <c r="K771" s="16"/>
      <c r="L771" s="16"/>
      <c r="M771" s="16"/>
      <c r="N771" s="16"/>
      <c r="O771" s="16"/>
    </row>
    <row r="772" spans="1:15" ht="22.5" customHeight="1" thickTop="1" thickBot="1" x14ac:dyDescent="0.25">
      <c r="A772" s="16" t="e">
        <f>#REF!</f>
        <v>#REF!</v>
      </c>
      <c r="B772" s="16" t="e">
        <f>#REF!</f>
        <v>#REF!</v>
      </c>
      <c r="C772" s="16" t="e">
        <f>#REF!</f>
        <v>#REF!</v>
      </c>
      <c r="D772" s="16" t="e">
        <f>#REF!</f>
        <v>#REF!</v>
      </c>
      <c r="E772" s="16" t="e">
        <f>#REF!</f>
        <v>#REF!</v>
      </c>
      <c r="F772" s="16" t="e">
        <f>#REF!</f>
        <v>#REF!</v>
      </c>
      <c r="G772" s="16" t="e">
        <f>#REF!</f>
        <v>#REF!</v>
      </c>
      <c r="H772" s="16" t="e">
        <f>#REF!</f>
        <v>#REF!</v>
      </c>
      <c r="I772" s="16" t="e">
        <f>#REF!</f>
        <v>#REF!</v>
      </c>
      <c r="J772" s="16" t="e">
        <f>#REF!</f>
        <v>#REF!</v>
      </c>
      <c r="K772" s="16"/>
      <c r="L772" s="16"/>
      <c r="M772" s="16"/>
      <c r="N772" s="16"/>
      <c r="O772" s="16"/>
    </row>
    <row r="773" spans="1:15" ht="22.5" customHeight="1" thickTop="1" thickBot="1" x14ac:dyDescent="0.25">
      <c r="A773" s="16" t="e">
        <f>#REF!</f>
        <v>#REF!</v>
      </c>
      <c r="B773" s="16" t="e">
        <f>#REF!</f>
        <v>#REF!</v>
      </c>
      <c r="C773" s="16" t="e">
        <f>#REF!</f>
        <v>#REF!</v>
      </c>
      <c r="D773" s="16" t="e">
        <f>#REF!</f>
        <v>#REF!</v>
      </c>
      <c r="E773" s="16" t="e">
        <f>#REF!</f>
        <v>#REF!</v>
      </c>
      <c r="F773" s="16" t="e">
        <f>#REF!</f>
        <v>#REF!</v>
      </c>
      <c r="G773" s="16" t="e">
        <f>#REF!</f>
        <v>#REF!</v>
      </c>
      <c r="H773" s="16" t="e">
        <f>#REF!</f>
        <v>#REF!</v>
      </c>
      <c r="I773" s="16" t="e">
        <f>#REF!</f>
        <v>#REF!</v>
      </c>
      <c r="J773" s="16" t="e">
        <f>#REF!</f>
        <v>#REF!</v>
      </c>
      <c r="K773" s="16"/>
      <c r="L773" s="16"/>
      <c r="M773" s="16"/>
      <c r="N773" s="16"/>
      <c r="O773" s="16"/>
    </row>
    <row r="774" spans="1:15" ht="22.5" customHeight="1" thickTop="1" thickBot="1" x14ac:dyDescent="0.25">
      <c r="A774" s="16" t="e">
        <f>#REF!</f>
        <v>#REF!</v>
      </c>
      <c r="B774" s="16" t="e">
        <f>#REF!</f>
        <v>#REF!</v>
      </c>
      <c r="C774" s="16" t="e">
        <f>#REF!</f>
        <v>#REF!</v>
      </c>
      <c r="D774" s="16" t="e">
        <f>#REF!</f>
        <v>#REF!</v>
      </c>
      <c r="E774" s="16" t="e">
        <f>#REF!</f>
        <v>#REF!</v>
      </c>
      <c r="F774" s="16" t="e">
        <f>#REF!</f>
        <v>#REF!</v>
      </c>
      <c r="G774" s="16" t="e">
        <f>#REF!</f>
        <v>#REF!</v>
      </c>
      <c r="H774" s="16" t="e">
        <f>#REF!</f>
        <v>#REF!</v>
      </c>
      <c r="I774" s="16" t="e">
        <f>#REF!</f>
        <v>#REF!</v>
      </c>
      <c r="J774" s="16" t="e">
        <f>#REF!</f>
        <v>#REF!</v>
      </c>
      <c r="K774" s="16" t="s">
        <v>744</v>
      </c>
      <c r="L774" s="16"/>
      <c r="M774" s="16"/>
      <c r="N774" s="16"/>
      <c r="O774" s="16"/>
    </row>
    <row r="775" spans="1:15" ht="22.5" customHeight="1" thickTop="1" thickBot="1" x14ac:dyDescent="0.25">
      <c r="A775" s="16" t="e">
        <f>#REF!</f>
        <v>#REF!</v>
      </c>
      <c r="B775" s="16" t="e">
        <f>#REF!</f>
        <v>#REF!</v>
      </c>
      <c r="C775" s="16" t="e">
        <f>#REF!</f>
        <v>#REF!</v>
      </c>
      <c r="D775" s="16" t="e">
        <f>#REF!</f>
        <v>#REF!</v>
      </c>
      <c r="E775" s="16" t="e">
        <f>#REF!</f>
        <v>#REF!</v>
      </c>
      <c r="F775" s="16" t="e">
        <f>#REF!</f>
        <v>#REF!</v>
      </c>
      <c r="G775" s="16" t="e">
        <f>#REF!</f>
        <v>#REF!</v>
      </c>
      <c r="H775" s="16" t="e">
        <f>#REF!</f>
        <v>#REF!</v>
      </c>
      <c r="I775" s="16" t="e">
        <f>#REF!</f>
        <v>#REF!</v>
      </c>
      <c r="J775" s="16" t="e">
        <f>#REF!</f>
        <v>#REF!</v>
      </c>
      <c r="K775" s="16" t="s">
        <v>744</v>
      </c>
      <c r="L775" s="16"/>
      <c r="M775" s="16"/>
      <c r="N775" s="16"/>
      <c r="O775" s="16"/>
    </row>
    <row r="776" spans="1:15" ht="22.5" customHeight="1" thickTop="1" thickBot="1" x14ac:dyDescent="0.25">
      <c r="A776" s="16" t="e">
        <f>#REF!</f>
        <v>#REF!</v>
      </c>
      <c r="B776" s="16" t="e">
        <f>#REF!</f>
        <v>#REF!</v>
      </c>
      <c r="C776" s="16" t="e">
        <f>#REF!</f>
        <v>#REF!</v>
      </c>
      <c r="D776" s="16" t="e">
        <f>#REF!</f>
        <v>#REF!</v>
      </c>
      <c r="E776" s="16" t="e">
        <f>#REF!</f>
        <v>#REF!</v>
      </c>
      <c r="F776" s="16" t="e">
        <f>#REF!</f>
        <v>#REF!</v>
      </c>
      <c r="G776" s="16" t="e">
        <f>#REF!</f>
        <v>#REF!</v>
      </c>
      <c r="H776" s="16" t="e">
        <f>#REF!</f>
        <v>#REF!</v>
      </c>
      <c r="I776" s="16" t="e">
        <f>#REF!</f>
        <v>#REF!</v>
      </c>
      <c r="J776" s="16" t="e">
        <f>#REF!</f>
        <v>#REF!</v>
      </c>
      <c r="K776" s="16" t="s">
        <v>744</v>
      </c>
      <c r="L776" s="16"/>
      <c r="M776" s="16"/>
      <c r="N776" s="16"/>
      <c r="O776" s="16"/>
    </row>
    <row r="777" spans="1:15" ht="22.5" customHeight="1" thickTop="1" thickBot="1" x14ac:dyDescent="0.25">
      <c r="A777" s="16" t="e">
        <f>#REF!</f>
        <v>#REF!</v>
      </c>
      <c r="B777" s="16" t="e">
        <f>#REF!</f>
        <v>#REF!</v>
      </c>
      <c r="C777" s="16" t="e">
        <f>#REF!</f>
        <v>#REF!</v>
      </c>
      <c r="D777" s="16" t="e">
        <f>#REF!</f>
        <v>#REF!</v>
      </c>
      <c r="E777" s="16" t="e">
        <f>#REF!</f>
        <v>#REF!</v>
      </c>
      <c r="F777" s="16" t="e">
        <f>#REF!</f>
        <v>#REF!</v>
      </c>
      <c r="G777" s="16" t="e">
        <f>#REF!</f>
        <v>#REF!</v>
      </c>
      <c r="H777" s="16" t="e">
        <f>#REF!</f>
        <v>#REF!</v>
      </c>
      <c r="I777" s="16" t="e">
        <f>#REF!</f>
        <v>#REF!</v>
      </c>
      <c r="J777" s="16" t="e">
        <f>#REF!</f>
        <v>#REF!</v>
      </c>
      <c r="K777" s="16" t="s">
        <v>744</v>
      </c>
      <c r="L777" s="16"/>
      <c r="M777" s="16"/>
      <c r="N777" s="16"/>
      <c r="O777" s="16"/>
    </row>
    <row r="778" spans="1:15" ht="22.5" customHeight="1" thickTop="1" thickBot="1" x14ac:dyDescent="0.25">
      <c r="A778" s="16" t="e">
        <f>#REF!</f>
        <v>#REF!</v>
      </c>
      <c r="B778" s="16" t="e">
        <f>#REF!</f>
        <v>#REF!</v>
      </c>
      <c r="C778" s="16" t="e">
        <f>#REF!</f>
        <v>#REF!</v>
      </c>
      <c r="D778" s="16" t="e">
        <f>#REF!</f>
        <v>#REF!</v>
      </c>
      <c r="E778" s="16" t="e">
        <f>#REF!</f>
        <v>#REF!</v>
      </c>
      <c r="F778" s="16" t="e">
        <f>#REF!</f>
        <v>#REF!</v>
      </c>
      <c r="G778" s="16" t="e">
        <f>#REF!</f>
        <v>#REF!</v>
      </c>
      <c r="H778" s="16" t="e">
        <f>#REF!</f>
        <v>#REF!</v>
      </c>
      <c r="I778" s="16" t="e">
        <f>#REF!</f>
        <v>#REF!</v>
      </c>
      <c r="J778" s="16" t="e">
        <f>#REF!</f>
        <v>#REF!</v>
      </c>
      <c r="K778" s="16"/>
      <c r="L778" s="16"/>
      <c r="M778" s="16"/>
      <c r="N778" s="16"/>
      <c r="O778" s="16"/>
    </row>
    <row r="779" spans="1:15" ht="22.5" customHeight="1" thickTop="1" thickBot="1" x14ac:dyDescent="0.25">
      <c r="A779" s="16" t="e">
        <f>#REF!</f>
        <v>#REF!</v>
      </c>
      <c r="B779" s="16" t="e">
        <f>#REF!</f>
        <v>#REF!</v>
      </c>
      <c r="C779" s="16" t="e">
        <f>#REF!</f>
        <v>#REF!</v>
      </c>
      <c r="D779" s="16" t="e">
        <f>#REF!</f>
        <v>#REF!</v>
      </c>
      <c r="E779" s="16" t="e">
        <f>#REF!</f>
        <v>#REF!</v>
      </c>
      <c r="F779" s="16" t="e">
        <f>#REF!</f>
        <v>#REF!</v>
      </c>
      <c r="G779" s="16" t="e">
        <f>#REF!</f>
        <v>#REF!</v>
      </c>
      <c r="H779" s="16" t="e">
        <f>#REF!</f>
        <v>#REF!</v>
      </c>
      <c r="I779" s="16" t="e">
        <f>#REF!</f>
        <v>#REF!</v>
      </c>
      <c r="J779" s="16" t="e">
        <f>#REF!</f>
        <v>#REF!</v>
      </c>
      <c r="K779" s="16"/>
      <c r="L779" s="16"/>
      <c r="M779" s="16"/>
      <c r="N779" s="16"/>
      <c r="O779" s="16"/>
    </row>
    <row r="780" spans="1:15" ht="22.5" customHeight="1" thickTop="1" thickBot="1" x14ac:dyDescent="0.25">
      <c r="A780" s="16" t="e">
        <f>#REF!</f>
        <v>#REF!</v>
      </c>
      <c r="B780" s="16" t="e">
        <f>#REF!</f>
        <v>#REF!</v>
      </c>
      <c r="C780" s="16" t="e">
        <f>#REF!</f>
        <v>#REF!</v>
      </c>
      <c r="D780" s="16" t="e">
        <f>#REF!</f>
        <v>#REF!</v>
      </c>
      <c r="E780" s="16" t="e">
        <f>#REF!</f>
        <v>#REF!</v>
      </c>
      <c r="F780" s="16" t="e">
        <f>#REF!</f>
        <v>#REF!</v>
      </c>
      <c r="G780" s="16" t="e">
        <f>#REF!</f>
        <v>#REF!</v>
      </c>
      <c r="H780" s="16" t="e">
        <f>#REF!</f>
        <v>#REF!</v>
      </c>
      <c r="I780" s="16" t="e">
        <f>#REF!</f>
        <v>#REF!</v>
      </c>
      <c r="J780" s="16" t="e">
        <f>#REF!</f>
        <v>#REF!</v>
      </c>
      <c r="K780" s="16"/>
      <c r="L780" s="16"/>
      <c r="M780" s="16"/>
      <c r="N780" s="16"/>
      <c r="O780" s="16"/>
    </row>
    <row r="781" spans="1:15" ht="22.5" customHeight="1" thickTop="1" thickBot="1" x14ac:dyDescent="0.25">
      <c r="A781" s="16" t="e">
        <f>#REF!</f>
        <v>#REF!</v>
      </c>
      <c r="B781" s="16" t="e">
        <f>#REF!</f>
        <v>#REF!</v>
      </c>
      <c r="C781" s="16" t="e">
        <f>#REF!</f>
        <v>#REF!</v>
      </c>
      <c r="D781" s="16" t="e">
        <f>#REF!</f>
        <v>#REF!</v>
      </c>
      <c r="E781" s="16" t="e">
        <f>#REF!</f>
        <v>#REF!</v>
      </c>
      <c r="F781" s="16" t="e">
        <f>#REF!</f>
        <v>#REF!</v>
      </c>
      <c r="G781" s="16" t="e">
        <f>#REF!</f>
        <v>#REF!</v>
      </c>
      <c r="H781" s="16" t="e">
        <f>#REF!</f>
        <v>#REF!</v>
      </c>
      <c r="I781" s="16" t="e">
        <f>#REF!</f>
        <v>#REF!</v>
      </c>
      <c r="J781" s="16" t="e">
        <f>#REF!</f>
        <v>#REF!</v>
      </c>
      <c r="K781" s="16"/>
      <c r="L781" s="16"/>
      <c r="M781" s="16"/>
      <c r="N781" s="16"/>
      <c r="O781" s="16"/>
    </row>
    <row r="782" spans="1:15" ht="22.5" customHeight="1" thickTop="1" thickBot="1" x14ac:dyDescent="0.25">
      <c r="A782" s="16" t="e">
        <f>#REF!</f>
        <v>#REF!</v>
      </c>
      <c r="B782" s="16" t="e">
        <f>#REF!</f>
        <v>#REF!</v>
      </c>
      <c r="C782" s="16" t="e">
        <f>#REF!</f>
        <v>#REF!</v>
      </c>
      <c r="D782" s="16" t="e">
        <f>#REF!</f>
        <v>#REF!</v>
      </c>
      <c r="E782" s="16" t="e">
        <f>#REF!</f>
        <v>#REF!</v>
      </c>
      <c r="F782" s="16" t="e">
        <f>#REF!</f>
        <v>#REF!</v>
      </c>
      <c r="G782" s="16" t="e">
        <f>#REF!</f>
        <v>#REF!</v>
      </c>
      <c r="H782" s="16" t="e">
        <f>#REF!</f>
        <v>#REF!</v>
      </c>
      <c r="I782" s="16" t="e">
        <f>#REF!</f>
        <v>#REF!</v>
      </c>
      <c r="J782" s="16" t="e">
        <f>#REF!</f>
        <v>#REF!</v>
      </c>
      <c r="K782" s="16"/>
      <c r="L782" s="16"/>
      <c r="M782" s="16"/>
      <c r="N782" s="16"/>
      <c r="O782" s="16"/>
    </row>
    <row r="783" spans="1:15" ht="22.5" customHeight="1" thickTop="1" thickBot="1" x14ac:dyDescent="0.25">
      <c r="A783" s="16" t="e">
        <f>#REF!</f>
        <v>#REF!</v>
      </c>
      <c r="B783" s="16" t="e">
        <f>#REF!</f>
        <v>#REF!</v>
      </c>
      <c r="C783" s="16" t="e">
        <f>#REF!</f>
        <v>#REF!</v>
      </c>
      <c r="D783" s="16" t="e">
        <f>#REF!</f>
        <v>#REF!</v>
      </c>
      <c r="E783" s="16" t="e">
        <f>#REF!</f>
        <v>#REF!</v>
      </c>
      <c r="F783" s="16" t="e">
        <f>#REF!</f>
        <v>#REF!</v>
      </c>
      <c r="G783" s="16" t="e">
        <f>#REF!</f>
        <v>#REF!</v>
      </c>
      <c r="H783" s="16" t="e">
        <f>#REF!</f>
        <v>#REF!</v>
      </c>
      <c r="I783" s="16" t="e">
        <f>#REF!</f>
        <v>#REF!</v>
      </c>
      <c r="J783" s="16" t="e">
        <f>#REF!</f>
        <v>#REF!</v>
      </c>
      <c r="K783" s="16"/>
      <c r="L783" s="16"/>
      <c r="M783" s="16"/>
      <c r="N783" s="16"/>
      <c r="O783" s="16"/>
    </row>
    <row r="784" spans="1:15" ht="22.5" customHeight="1" thickTop="1" thickBot="1" x14ac:dyDescent="0.25">
      <c r="A784" s="16" t="e">
        <f>#REF!</f>
        <v>#REF!</v>
      </c>
      <c r="B784" s="16" t="e">
        <f>#REF!</f>
        <v>#REF!</v>
      </c>
      <c r="C784" s="16" t="e">
        <f>#REF!</f>
        <v>#REF!</v>
      </c>
      <c r="D784" s="16" t="e">
        <f>#REF!</f>
        <v>#REF!</v>
      </c>
      <c r="E784" s="16" t="e">
        <f>#REF!</f>
        <v>#REF!</v>
      </c>
      <c r="F784" s="16" t="e">
        <f>#REF!</f>
        <v>#REF!</v>
      </c>
      <c r="G784" s="16" t="e">
        <f>#REF!</f>
        <v>#REF!</v>
      </c>
      <c r="H784" s="16" t="e">
        <f>#REF!</f>
        <v>#REF!</v>
      </c>
      <c r="I784" s="16" t="e">
        <f>#REF!</f>
        <v>#REF!</v>
      </c>
      <c r="J784" s="16" t="e">
        <f>#REF!</f>
        <v>#REF!</v>
      </c>
      <c r="K784" s="16"/>
      <c r="L784" s="16"/>
      <c r="M784" s="16"/>
      <c r="N784" s="16"/>
      <c r="O784" s="16"/>
    </row>
    <row r="785" spans="1:15" ht="22.5" customHeight="1" thickTop="1" thickBot="1" x14ac:dyDescent="0.25">
      <c r="A785" s="16" t="e">
        <f>#REF!</f>
        <v>#REF!</v>
      </c>
      <c r="B785" s="16" t="e">
        <f>#REF!</f>
        <v>#REF!</v>
      </c>
      <c r="C785" s="16" t="e">
        <f>#REF!</f>
        <v>#REF!</v>
      </c>
      <c r="D785" s="16" t="e">
        <f>#REF!</f>
        <v>#REF!</v>
      </c>
      <c r="E785" s="16" t="e">
        <f>#REF!</f>
        <v>#REF!</v>
      </c>
      <c r="F785" s="16" t="e">
        <f>#REF!</f>
        <v>#REF!</v>
      </c>
      <c r="G785" s="16" t="e">
        <f>#REF!</f>
        <v>#REF!</v>
      </c>
      <c r="H785" s="16" t="e">
        <f>#REF!</f>
        <v>#REF!</v>
      </c>
      <c r="I785" s="16" t="e">
        <f>#REF!</f>
        <v>#REF!</v>
      </c>
      <c r="J785" s="16" t="e">
        <f>#REF!</f>
        <v>#REF!</v>
      </c>
      <c r="K785" s="16"/>
      <c r="L785" s="16"/>
      <c r="M785" s="16"/>
      <c r="N785" s="16"/>
      <c r="O785" s="16"/>
    </row>
    <row r="786" spans="1:15" ht="22.5" customHeight="1" thickTop="1" thickBot="1" x14ac:dyDescent="0.25">
      <c r="A786" s="16" t="e">
        <f>#REF!</f>
        <v>#REF!</v>
      </c>
      <c r="B786" s="16" t="e">
        <f>#REF!</f>
        <v>#REF!</v>
      </c>
      <c r="C786" s="16" t="e">
        <f>#REF!</f>
        <v>#REF!</v>
      </c>
      <c r="D786" s="16" t="e">
        <f>#REF!</f>
        <v>#REF!</v>
      </c>
      <c r="E786" s="16" t="e">
        <f>#REF!</f>
        <v>#REF!</v>
      </c>
      <c r="F786" s="16" t="e">
        <f>#REF!</f>
        <v>#REF!</v>
      </c>
      <c r="G786" s="16" t="e">
        <f>#REF!</f>
        <v>#REF!</v>
      </c>
      <c r="H786" s="16" t="e">
        <f>#REF!</f>
        <v>#REF!</v>
      </c>
      <c r="I786" s="16" t="e">
        <f>#REF!</f>
        <v>#REF!</v>
      </c>
      <c r="J786" s="16" t="e">
        <f>#REF!</f>
        <v>#REF!</v>
      </c>
      <c r="K786" s="16"/>
      <c r="L786" s="16"/>
      <c r="M786" s="16"/>
      <c r="N786" s="16"/>
      <c r="O786" s="16"/>
    </row>
    <row r="787" spans="1:15" ht="22.5" customHeight="1" thickTop="1" thickBot="1" x14ac:dyDescent="0.25">
      <c r="A787" s="16" t="e">
        <f>#REF!</f>
        <v>#REF!</v>
      </c>
      <c r="B787" s="16" t="e">
        <f>#REF!</f>
        <v>#REF!</v>
      </c>
      <c r="C787" s="16" t="e">
        <f>#REF!</f>
        <v>#REF!</v>
      </c>
      <c r="D787" s="16" t="e">
        <f>#REF!</f>
        <v>#REF!</v>
      </c>
      <c r="E787" s="16" t="e">
        <f>#REF!</f>
        <v>#REF!</v>
      </c>
      <c r="F787" s="16" t="e">
        <f>#REF!</f>
        <v>#REF!</v>
      </c>
      <c r="G787" s="16" t="e">
        <f>#REF!</f>
        <v>#REF!</v>
      </c>
      <c r="H787" s="16" t="e">
        <f>#REF!</f>
        <v>#REF!</v>
      </c>
      <c r="I787" s="16" t="e">
        <f>#REF!</f>
        <v>#REF!</v>
      </c>
      <c r="J787" s="16" t="e">
        <f>#REF!</f>
        <v>#REF!</v>
      </c>
      <c r="K787" s="16"/>
      <c r="L787" s="16"/>
      <c r="M787" s="16"/>
      <c r="N787" s="16"/>
      <c r="O787" s="16"/>
    </row>
    <row r="788" spans="1:15" ht="22.5" customHeight="1" thickTop="1" thickBot="1" x14ac:dyDescent="0.25">
      <c r="A788" s="16" t="e">
        <f>#REF!</f>
        <v>#REF!</v>
      </c>
      <c r="B788" s="16" t="e">
        <f>#REF!</f>
        <v>#REF!</v>
      </c>
      <c r="C788" s="16" t="e">
        <f>#REF!</f>
        <v>#REF!</v>
      </c>
      <c r="D788" s="16" t="e">
        <f>#REF!</f>
        <v>#REF!</v>
      </c>
      <c r="E788" s="16" t="e">
        <f>#REF!</f>
        <v>#REF!</v>
      </c>
      <c r="F788" s="16" t="e">
        <f>#REF!</f>
        <v>#REF!</v>
      </c>
      <c r="G788" s="16" t="e">
        <f>#REF!</f>
        <v>#REF!</v>
      </c>
      <c r="H788" s="16" t="e">
        <f>#REF!</f>
        <v>#REF!</v>
      </c>
      <c r="I788" s="16" t="e">
        <f>#REF!</f>
        <v>#REF!</v>
      </c>
      <c r="J788" s="16" t="e">
        <f>#REF!</f>
        <v>#REF!</v>
      </c>
      <c r="K788" s="16" t="s">
        <v>744</v>
      </c>
      <c r="L788" s="16"/>
      <c r="M788" s="16"/>
      <c r="N788" s="16"/>
      <c r="O788" s="16"/>
    </row>
    <row r="789" spans="1:15" ht="22.5" customHeight="1" thickTop="1" thickBot="1" x14ac:dyDescent="0.25">
      <c r="A789" s="16" t="e">
        <f>#REF!</f>
        <v>#REF!</v>
      </c>
      <c r="B789" s="16" t="e">
        <f>#REF!</f>
        <v>#REF!</v>
      </c>
      <c r="C789" s="16" t="e">
        <f>#REF!</f>
        <v>#REF!</v>
      </c>
      <c r="D789" s="16" t="e">
        <f>#REF!</f>
        <v>#REF!</v>
      </c>
      <c r="E789" s="16" t="e">
        <f>#REF!</f>
        <v>#REF!</v>
      </c>
      <c r="F789" s="16" t="e">
        <f>#REF!</f>
        <v>#REF!</v>
      </c>
      <c r="G789" s="16" t="e">
        <f>#REF!</f>
        <v>#REF!</v>
      </c>
      <c r="H789" s="16" t="e">
        <f>#REF!</f>
        <v>#REF!</v>
      </c>
      <c r="I789" s="16" t="e">
        <f>#REF!</f>
        <v>#REF!</v>
      </c>
      <c r="J789" s="16" t="e">
        <f>#REF!</f>
        <v>#REF!</v>
      </c>
      <c r="K789" s="16" t="s">
        <v>744</v>
      </c>
      <c r="L789" s="16"/>
      <c r="M789" s="16"/>
      <c r="N789" s="16"/>
      <c r="O789" s="16"/>
    </row>
    <row r="790" spans="1:15" ht="22.5" customHeight="1" thickTop="1" thickBot="1" x14ac:dyDescent="0.25">
      <c r="A790" s="16" t="e">
        <f>#REF!</f>
        <v>#REF!</v>
      </c>
      <c r="B790" s="16" t="e">
        <f>#REF!</f>
        <v>#REF!</v>
      </c>
      <c r="C790" s="16" t="e">
        <f>#REF!</f>
        <v>#REF!</v>
      </c>
      <c r="D790" s="16" t="e">
        <f>#REF!</f>
        <v>#REF!</v>
      </c>
      <c r="E790" s="16" t="e">
        <f>#REF!</f>
        <v>#REF!</v>
      </c>
      <c r="F790" s="16" t="e">
        <f>#REF!</f>
        <v>#REF!</v>
      </c>
      <c r="G790" s="16" t="e">
        <f>#REF!</f>
        <v>#REF!</v>
      </c>
      <c r="H790" s="16" t="e">
        <f>#REF!</f>
        <v>#REF!</v>
      </c>
      <c r="I790" s="16" t="e">
        <f>#REF!</f>
        <v>#REF!</v>
      </c>
      <c r="J790" s="16" t="e">
        <f>#REF!</f>
        <v>#REF!</v>
      </c>
      <c r="K790" s="16" t="s">
        <v>744</v>
      </c>
      <c r="L790" s="16"/>
      <c r="M790" s="16"/>
      <c r="N790" s="16"/>
      <c r="O790" s="16"/>
    </row>
    <row r="791" spans="1:15" ht="22.5" customHeight="1" thickTop="1" thickBot="1" x14ac:dyDescent="0.25">
      <c r="A791" s="16" t="e">
        <f>#REF!</f>
        <v>#REF!</v>
      </c>
      <c r="B791" s="16" t="e">
        <f>#REF!</f>
        <v>#REF!</v>
      </c>
      <c r="C791" s="16" t="e">
        <f>#REF!</f>
        <v>#REF!</v>
      </c>
      <c r="D791" s="16" t="e">
        <f>#REF!</f>
        <v>#REF!</v>
      </c>
      <c r="E791" s="16" t="e">
        <f>#REF!</f>
        <v>#REF!</v>
      </c>
      <c r="F791" s="16" t="e">
        <f>#REF!</f>
        <v>#REF!</v>
      </c>
      <c r="G791" s="16" t="e">
        <f>#REF!</f>
        <v>#REF!</v>
      </c>
      <c r="H791" s="16" t="e">
        <f>#REF!</f>
        <v>#REF!</v>
      </c>
      <c r="I791" s="16" t="e">
        <f>#REF!</f>
        <v>#REF!</v>
      </c>
      <c r="J791" s="16" t="e">
        <f>#REF!</f>
        <v>#REF!</v>
      </c>
      <c r="K791" s="16" t="s">
        <v>744</v>
      </c>
      <c r="L791" s="16"/>
      <c r="M791" s="16"/>
      <c r="N791" s="16"/>
      <c r="O791" s="16"/>
    </row>
    <row r="792" spans="1:15" ht="22.5" customHeight="1" thickTop="1" thickBot="1" x14ac:dyDescent="0.25">
      <c r="A792" s="16" t="e">
        <f>#REF!</f>
        <v>#REF!</v>
      </c>
      <c r="B792" s="16" t="e">
        <f>#REF!</f>
        <v>#REF!</v>
      </c>
      <c r="C792" s="16" t="e">
        <f>#REF!</f>
        <v>#REF!</v>
      </c>
      <c r="D792" s="16" t="e">
        <f>#REF!</f>
        <v>#REF!</v>
      </c>
      <c r="E792" s="16" t="e">
        <f>#REF!</f>
        <v>#REF!</v>
      </c>
      <c r="F792" s="16" t="e">
        <f>#REF!</f>
        <v>#REF!</v>
      </c>
      <c r="G792" s="16" t="e">
        <f>#REF!</f>
        <v>#REF!</v>
      </c>
      <c r="H792" s="16" t="e">
        <f>#REF!</f>
        <v>#REF!</v>
      </c>
      <c r="I792" s="16" t="e">
        <f>#REF!</f>
        <v>#REF!</v>
      </c>
      <c r="J792" s="16" t="e">
        <f>#REF!</f>
        <v>#REF!</v>
      </c>
      <c r="K792" s="16" t="s">
        <v>744</v>
      </c>
      <c r="L792" s="16"/>
      <c r="M792" s="16"/>
      <c r="N792" s="16"/>
      <c r="O792" s="16"/>
    </row>
    <row r="793" spans="1:15" ht="22.5" customHeight="1" thickTop="1" thickBot="1" x14ac:dyDescent="0.25">
      <c r="A793" s="16" t="e">
        <f>#REF!</f>
        <v>#REF!</v>
      </c>
      <c r="B793" s="16" t="e">
        <f>#REF!</f>
        <v>#REF!</v>
      </c>
      <c r="C793" s="16" t="e">
        <f>#REF!</f>
        <v>#REF!</v>
      </c>
      <c r="D793" s="16" t="e">
        <f>#REF!</f>
        <v>#REF!</v>
      </c>
      <c r="E793" s="16" t="e">
        <f>#REF!</f>
        <v>#REF!</v>
      </c>
      <c r="F793" s="16" t="e">
        <f>#REF!</f>
        <v>#REF!</v>
      </c>
      <c r="G793" s="16" t="e">
        <f>#REF!</f>
        <v>#REF!</v>
      </c>
      <c r="H793" s="16" t="e">
        <f>#REF!</f>
        <v>#REF!</v>
      </c>
      <c r="I793" s="16" t="e">
        <f>#REF!</f>
        <v>#REF!</v>
      </c>
      <c r="J793" s="16" t="e">
        <f>#REF!</f>
        <v>#REF!</v>
      </c>
      <c r="K793" s="16" t="s">
        <v>744</v>
      </c>
      <c r="L793" s="16"/>
      <c r="M793" s="16"/>
      <c r="N793" s="16"/>
      <c r="O793" s="16"/>
    </row>
    <row r="794" spans="1:15" ht="22.5" customHeight="1" thickTop="1" thickBot="1" x14ac:dyDescent="0.25">
      <c r="A794" s="16" t="e">
        <f>#REF!</f>
        <v>#REF!</v>
      </c>
      <c r="B794" s="16" t="e">
        <f>#REF!</f>
        <v>#REF!</v>
      </c>
      <c r="C794" s="16" t="e">
        <f>#REF!</f>
        <v>#REF!</v>
      </c>
      <c r="D794" s="16" t="e">
        <f>#REF!</f>
        <v>#REF!</v>
      </c>
      <c r="E794" s="16" t="e">
        <f>#REF!</f>
        <v>#REF!</v>
      </c>
      <c r="F794" s="16" t="e">
        <f>#REF!</f>
        <v>#REF!</v>
      </c>
      <c r="G794" s="16" t="e">
        <f>#REF!</f>
        <v>#REF!</v>
      </c>
      <c r="H794" s="16" t="e">
        <f>#REF!</f>
        <v>#REF!</v>
      </c>
      <c r="I794" s="16" t="e">
        <f>#REF!</f>
        <v>#REF!</v>
      </c>
      <c r="J794" s="16" t="e">
        <f>#REF!</f>
        <v>#REF!</v>
      </c>
      <c r="K794" s="16"/>
      <c r="L794" s="16"/>
      <c r="M794" s="16"/>
      <c r="N794" s="16"/>
      <c r="O794" s="16"/>
    </row>
    <row r="795" spans="1:15" ht="22.5" customHeight="1" thickTop="1" thickBot="1" x14ac:dyDescent="0.25">
      <c r="A795" s="16" t="e">
        <f>#REF!</f>
        <v>#REF!</v>
      </c>
      <c r="B795" s="16" t="e">
        <f>#REF!</f>
        <v>#REF!</v>
      </c>
      <c r="C795" s="16" t="e">
        <f>#REF!</f>
        <v>#REF!</v>
      </c>
      <c r="D795" s="16" t="e">
        <f>#REF!</f>
        <v>#REF!</v>
      </c>
      <c r="E795" s="16" t="e">
        <f>#REF!</f>
        <v>#REF!</v>
      </c>
      <c r="F795" s="16" t="e">
        <f>#REF!</f>
        <v>#REF!</v>
      </c>
      <c r="G795" s="16" t="e">
        <f>#REF!</f>
        <v>#REF!</v>
      </c>
      <c r="H795" s="16" t="e">
        <f>#REF!</f>
        <v>#REF!</v>
      </c>
      <c r="I795" s="16" t="e">
        <f>#REF!</f>
        <v>#REF!</v>
      </c>
      <c r="J795" s="16" t="e">
        <f>#REF!</f>
        <v>#REF!</v>
      </c>
      <c r="K795" s="16" t="s">
        <v>744</v>
      </c>
      <c r="L795" s="16"/>
      <c r="M795" s="16"/>
      <c r="N795" s="16"/>
      <c r="O795" s="16"/>
    </row>
    <row r="796" spans="1:15" ht="22.5" customHeight="1" thickTop="1" thickBot="1" x14ac:dyDescent="0.25">
      <c r="A796" s="16" t="e">
        <f>#REF!</f>
        <v>#REF!</v>
      </c>
      <c r="B796" s="16" t="e">
        <f>#REF!</f>
        <v>#REF!</v>
      </c>
      <c r="C796" s="16" t="e">
        <f>#REF!</f>
        <v>#REF!</v>
      </c>
      <c r="D796" s="16" t="e">
        <f>#REF!</f>
        <v>#REF!</v>
      </c>
      <c r="E796" s="16" t="e">
        <f>#REF!</f>
        <v>#REF!</v>
      </c>
      <c r="F796" s="16" t="e">
        <f>#REF!</f>
        <v>#REF!</v>
      </c>
      <c r="G796" s="16" t="e">
        <f>#REF!</f>
        <v>#REF!</v>
      </c>
      <c r="H796" s="16" t="e">
        <f>#REF!</f>
        <v>#REF!</v>
      </c>
      <c r="I796" s="16" t="e">
        <f>#REF!</f>
        <v>#REF!</v>
      </c>
      <c r="J796" s="16" t="e">
        <f>#REF!</f>
        <v>#REF!</v>
      </c>
      <c r="K796" s="16" t="s">
        <v>744</v>
      </c>
      <c r="L796" s="16"/>
      <c r="M796" s="16"/>
      <c r="N796" s="16"/>
      <c r="O796" s="16"/>
    </row>
    <row r="797" spans="1:15" ht="22.5" customHeight="1" thickTop="1" thickBot="1" x14ac:dyDescent="0.25">
      <c r="A797" s="16" t="e">
        <f>#REF!</f>
        <v>#REF!</v>
      </c>
      <c r="B797" s="16" t="e">
        <f>#REF!</f>
        <v>#REF!</v>
      </c>
      <c r="C797" s="16" t="e">
        <f>#REF!</f>
        <v>#REF!</v>
      </c>
      <c r="D797" s="16" t="e">
        <f>#REF!</f>
        <v>#REF!</v>
      </c>
      <c r="E797" s="16" t="e">
        <f>#REF!</f>
        <v>#REF!</v>
      </c>
      <c r="F797" s="16" t="e">
        <f>#REF!</f>
        <v>#REF!</v>
      </c>
      <c r="G797" s="16" t="e">
        <f>#REF!</f>
        <v>#REF!</v>
      </c>
      <c r="H797" s="16" t="e">
        <f>#REF!</f>
        <v>#REF!</v>
      </c>
      <c r="I797" s="16" t="e">
        <f>#REF!</f>
        <v>#REF!</v>
      </c>
      <c r="J797" s="16" t="e">
        <f>#REF!</f>
        <v>#REF!</v>
      </c>
      <c r="K797" s="16"/>
      <c r="L797" s="16"/>
      <c r="M797" s="16"/>
      <c r="N797" s="16"/>
      <c r="O797" s="16"/>
    </row>
    <row r="798" spans="1:15" ht="22.5" customHeight="1" thickTop="1" thickBot="1" x14ac:dyDescent="0.25">
      <c r="A798" s="16" t="e">
        <f>#REF!</f>
        <v>#REF!</v>
      </c>
      <c r="B798" s="16" t="e">
        <f>#REF!</f>
        <v>#REF!</v>
      </c>
      <c r="C798" s="16" t="e">
        <f>#REF!</f>
        <v>#REF!</v>
      </c>
      <c r="D798" s="16" t="e">
        <f>#REF!</f>
        <v>#REF!</v>
      </c>
      <c r="E798" s="16" t="e">
        <f>#REF!</f>
        <v>#REF!</v>
      </c>
      <c r="F798" s="16" t="e">
        <f>#REF!</f>
        <v>#REF!</v>
      </c>
      <c r="G798" s="16" t="e">
        <f>#REF!</f>
        <v>#REF!</v>
      </c>
      <c r="H798" s="16" t="e">
        <f>#REF!</f>
        <v>#REF!</v>
      </c>
      <c r="I798" s="16" t="e">
        <f>#REF!</f>
        <v>#REF!</v>
      </c>
      <c r="J798" s="16" t="e">
        <f>#REF!</f>
        <v>#REF!</v>
      </c>
      <c r="K798" s="16" t="s">
        <v>744</v>
      </c>
      <c r="L798" s="16"/>
      <c r="M798" s="16"/>
      <c r="N798" s="16"/>
      <c r="O798" s="16"/>
    </row>
    <row r="799" spans="1:15" ht="22.5" customHeight="1" thickTop="1" thickBot="1" x14ac:dyDescent="0.25">
      <c r="A799" s="16" t="e">
        <f>#REF!</f>
        <v>#REF!</v>
      </c>
      <c r="B799" s="16" t="e">
        <f>#REF!</f>
        <v>#REF!</v>
      </c>
      <c r="C799" s="16" t="e">
        <f>#REF!</f>
        <v>#REF!</v>
      </c>
      <c r="D799" s="16" t="e">
        <f>#REF!</f>
        <v>#REF!</v>
      </c>
      <c r="E799" s="16" t="e">
        <f>#REF!</f>
        <v>#REF!</v>
      </c>
      <c r="F799" s="16" t="e">
        <f>#REF!</f>
        <v>#REF!</v>
      </c>
      <c r="G799" s="16" t="e">
        <f>#REF!</f>
        <v>#REF!</v>
      </c>
      <c r="H799" s="16" t="e">
        <f>#REF!</f>
        <v>#REF!</v>
      </c>
      <c r="I799" s="16" t="e">
        <f>#REF!</f>
        <v>#REF!</v>
      </c>
      <c r="J799" s="16" t="e">
        <f>#REF!</f>
        <v>#REF!</v>
      </c>
      <c r="K799" s="16" t="s">
        <v>744</v>
      </c>
      <c r="L799" s="16"/>
      <c r="M799" s="16"/>
      <c r="N799" s="16"/>
      <c r="O799" s="16"/>
    </row>
    <row r="800" spans="1:15" ht="22.5" customHeight="1" thickTop="1" thickBot="1" x14ac:dyDescent="0.25">
      <c r="A800" s="16" t="e">
        <f>#REF!</f>
        <v>#REF!</v>
      </c>
      <c r="B800" s="16" t="e">
        <f>#REF!</f>
        <v>#REF!</v>
      </c>
      <c r="C800" s="16" t="e">
        <f>#REF!</f>
        <v>#REF!</v>
      </c>
      <c r="D800" s="16" t="e">
        <f>#REF!</f>
        <v>#REF!</v>
      </c>
      <c r="E800" s="16" t="e">
        <f>#REF!</f>
        <v>#REF!</v>
      </c>
      <c r="F800" s="16" t="e">
        <f>#REF!</f>
        <v>#REF!</v>
      </c>
      <c r="G800" s="16" t="e">
        <f>#REF!</f>
        <v>#REF!</v>
      </c>
      <c r="H800" s="16" t="e">
        <f>#REF!</f>
        <v>#REF!</v>
      </c>
      <c r="I800" s="16" t="e">
        <f>#REF!</f>
        <v>#REF!</v>
      </c>
      <c r="J800" s="16" t="e">
        <f>#REF!</f>
        <v>#REF!</v>
      </c>
      <c r="K800" s="16" t="s">
        <v>744</v>
      </c>
      <c r="L800" s="16"/>
      <c r="M800" s="16"/>
      <c r="N800" s="16"/>
      <c r="O800" s="16"/>
    </row>
    <row r="801" spans="1:15" ht="22.5" customHeight="1" thickTop="1" thickBot="1" x14ac:dyDescent="0.25">
      <c r="A801" s="16" t="e">
        <f>#REF!</f>
        <v>#REF!</v>
      </c>
      <c r="B801" s="16" t="e">
        <f>#REF!</f>
        <v>#REF!</v>
      </c>
      <c r="C801" s="16" t="e">
        <f>#REF!</f>
        <v>#REF!</v>
      </c>
      <c r="D801" s="16" t="e">
        <f>#REF!</f>
        <v>#REF!</v>
      </c>
      <c r="E801" s="16" t="e">
        <f>#REF!</f>
        <v>#REF!</v>
      </c>
      <c r="F801" s="16" t="e">
        <f>#REF!</f>
        <v>#REF!</v>
      </c>
      <c r="G801" s="16" t="e">
        <f>#REF!</f>
        <v>#REF!</v>
      </c>
      <c r="H801" s="16" t="e">
        <f>#REF!</f>
        <v>#REF!</v>
      </c>
      <c r="I801" s="16" t="e">
        <f>#REF!</f>
        <v>#REF!</v>
      </c>
      <c r="J801" s="16" t="e">
        <f>#REF!</f>
        <v>#REF!</v>
      </c>
      <c r="K801" s="16" t="s">
        <v>744</v>
      </c>
      <c r="L801" s="16"/>
      <c r="M801" s="16"/>
      <c r="N801" s="16"/>
      <c r="O801" s="16"/>
    </row>
    <row r="802" spans="1:15" ht="22.5" customHeight="1" thickTop="1" thickBot="1" x14ac:dyDescent="0.25">
      <c r="A802" s="16" t="e">
        <f>#REF!</f>
        <v>#REF!</v>
      </c>
      <c r="B802" s="16" t="e">
        <f>#REF!</f>
        <v>#REF!</v>
      </c>
      <c r="C802" s="16" t="e">
        <f>#REF!</f>
        <v>#REF!</v>
      </c>
      <c r="D802" s="16" t="e">
        <f>#REF!</f>
        <v>#REF!</v>
      </c>
      <c r="E802" s="16" t="e">
        <f>#REF!</f>
        <v>#REF!</v>
      </c>
      <c r="F802" s="16" t="e">
        <f>#REF!</f>
        <v>#REF!</v>
      </c>
      <c r="G802" s="16" t="e">
        <f>#REF!</f>
        <v>#REF!</v>
      </c>
      <c r="H802" s="16" t="e">
        <f>#REF!</f>
        <v>#REF!</v>
      </c>
      <c r="I802" s="16" t="e">
        <f>#REF!</f>
        <v>#REF!</v>
      </c>
      <c r="J802" s="16" t="e">
        <f>#REF!</f>
        <v>#REF!</v>
      </c>
      <c r="K802" s="16" t="s">
        <v>744</v>
      </c>
      <c r="L802" s="16"/>
      <c r="M802" s="16"/>
      <c r="N802" s="16"/>
      <c r="O802" s="16"/>
    </row>
    <row r="803" spans="1:15" ht="22.5" customHeight="1" thickTop="1" thickBot="1" x14ac:dyDescent="0.25">
      <c r="A803" s="16" t="e">
        <f>#REF!</f>
        <v>#REF!</v>
      </c>
      <c r="B803" s="16" t="e">
        <f>#REF!</f>
        <v>#REF!</v>
      </c>
      <c r="C803" s="16" t="e">
        <f>#REF!</f>
        <v>#REF!</v>
      </c>
      <c r="D803" s="16" t="e">
        <f>#REF!</f>
        <v>#REF!</v>
      </c>
      <c r="E803" s="16" t="e">
        <f>#REF!</f>
        <v>#REF!</v>
      </c>
      <c r="F803" s="16" t="e">
        <f>#REF!</f>
        <v>#REF!</v>
      </c>
      <c r="G803" s="16" t="e">
        <f>#REF!</f>
        <v>#REF!</v>
      </c>
      <c r="H803" s="16" t="e">
        <f>#REF!</f>
        <v>#REF!</v>
      </c>
      <c r="I803" s="16" t="e">
        <f>#REF!</f>
        <v>#REF!</v>
      </c>
      <c r="J803" s="16" t="e">
        <f>#REF!</f>
        <v>#REF!</v>
      </c>
      <c r="K803" s="16" t="s">
        <v>744</v>
      </c>
      <c r="L803" s="16"/>
      <c r="M803" s="16"/>
      <c r="N803" s="16"/>
      <c r="O803" s="16"/>
    </row>
    <row r="804" spans="1:15" ht="22.5" customHeight="1" thickTop="1" thickBot="1" x14ac:dyDescent="0.25">
      <c r="A804" s="16" t="e">
        <f>#REF!</f>
        <v>#REF!</v>
      </c>
      <c r="B804" s="16" t="e">
        <f>#REF!</f>
        <v>#REF!</v>
      </c>
      <c r="C804" s="16" t="e">
        <f>#REF!</f>
        <v>#REF!</v>
      </c>
      <c r="D804" s="16" t="e">
        <f>#REF!</f>
        <v>#REF!</v>
      </c>
      <c r="E804" s="16" t="e">
        <f>#REF!</f>
        <v>#REF!</v>
      </c>
      <c r="F804" s="16" t="e">
        <f>#REF!</f>
        <v>#REF!</v>
      </c>
      <c r="G804" s="16" t="e">
        <f>#REF!</f>
        <v>#REF!</v>
      </c>
      <c r="H804" s="16" t="e">
        <f>#REF!</f>
        <v>#REF!</v>
      </c>
      <c r="I804" s="16" t="e">
        <f>#REF!</f>
        <v>#REF!</v>
      </c>
      <c r="J804" s="16" t="e">
        <f>#REF!</f>
        <v>#REF!</v>
      </c>
      <c r="K804" s="16" t="s">
        <v>744</v>
      </c>
      <c r="L804" s="16"/>
      <c r="M804" s="16"/>
      <c r="N804" s="16"/>
      <c r="O804" s="16"/>
    </row>
    <row r="805" spans="1:15" ht="22.5" customHeight="1" thickTop="1" thickBot="1" x14ac:dyDescent="0.25">
      <c r="A805" s="16" t="e">
        <f>#REF!</f>
        <v>#REF!</v>
      </c>
      <c r="B805" s="16" t="e">
        <f>#REF!</f>
        <v>#REF!</v>
      </c>
      <c r="C805" s="16" t="e">
        <f>#REF!</f>
        <v>#REF!</v>
      </c>
      <c r="D805" s="16" t="e">
        <f>#REF!</f>
        <v>#REF!</v>
      </c>
      <c r="E805" s="16" t="e">
        <f>#REF!</f>
        <v>#REF!</v>
      </c>
      <c r="F805" s="16" t="e">
        <f>#REF!</f>
        <v>#REF!</v>
      </c>
      <c r="G805" s="16" t="e">
        <f>#REF!</f>
        <v>#REF!</v>
      </c>
      <c r="H805" s="16" t="e">
        <f>#REF!</f>
        <v>#REF!</v>
      </c>
      <c r="I805" s="16" t="e">
        <f>#REF!</f>
        <v>#REF!</v>
      </c>
      <c r="J805" s="16" t="e">
        <f>#REF!</f>
        <v>#REF!</v>
      </c>
      <c r="K805" s="16" t="s">
        <v>744</v>
      </c>
      <c r="L805" s="16"/>
      <c r="M805" s="16"/>
      <c r="N805" s="16"/>
      <c r="O805" s="16"/>
    </row>
    <row r="806" spans="1:15" ht="22.5" customHeight="1" thickTop="1" thickBot="1" x14ac:dyDescent="0.25">
      <c r="A806" s="16" t="e">
        <f>#REF!</f>
        <v>#REF!</v>
      </c>
      <c r="B806" s="16" t="e">
        <f>#REF!</f>
        <v>#REF!</v>
      </c>
      <c r="C806" s="16" t="e">
        <f>#REF!</f>
        <v>#REF!</v>
      </c>
      <c r="D806" s="16" t="e">
        <f>#REF!</f>
        <v>#REF!</v>
      </c>
      <c r="E806" s="16" t="e">
        <f>#REF!</f>
        <v>#REF!</v>
      </c>
      <c r="F806" s="16" t="e">
        <f>#REF!</f>
        <v>#REF!</v>
      </c>
      <c r="G806" s="16" t="e">
        <f>#REF!</f>
        <v>#REF!</v>
      </c>
      <c r="H806" s="16" t="e">
        <f>#REF!</f>
        <v>#REF!</v>
      </c>
      <c r="I806" s="16" t="e">
        <f>#REF!</f>
        <v>#REF!</v>
      </c>
      <c r="J806" s="16" t="e">
        <f>#REF!</f>
        <v>#REF!</v>
      </c>
      <c r="K806" s="16" t="s">
        <v>744</v>
      </c>
      <c r="L806" s="16"/>
      <c r="M806" s="16"/>
      <c r="N806" s="16"/>
      <c r="O806" s="16"/>
    </row>
    <row r="807" spans="1:15" ht="22.5" customHeight="1" thickTop="1" thickBot="1" x14ac:dyDescent="0.25">
      <c r="A807" s="16" t="e">
        <f>#REF!</f>
        <v>#REF!</v>
      </c>
      <c r="B807" s="16" t="e">
        <f>#REF!</f>
        <v>#REF!</v>
      </c>
      <c r="C807" s="16" t="e">
        <f>#REF!</f>
        <v>#REF!</v>
      </c>
      <c r="D807" s="16" t="e">
        <f>#REF!</f>
        <v>#REF!</v>
      </c>
      <c r="E807" s="16" t="e">
        <f>#REF!</f>
        <v>#REF!</v>
      </c>
      <c r="F807" s="16" t="e">
        <f>#REF!</f>
        <v>#REF!</v>
      </c>
      <c r="G807" s="16" t="e">
        <f>#REF!</f>
        <v>#REF!</v>
      </c>
      <c r="H807" s="16" t="e">
        <f>#REF!</f>
        <v>#REF!</v>
      </c>
      <c r="I807" s="16" t="e">
        <f>#REF!</f>
        <v>#REF!</v>
      </c>
      <c r="J807" s="16" t="e">
        <f>#REF!</f>
        <v>#REF!</v>
      </c>
      <c r="K807" s="16" t="s">
        <v>744</v>
      </c>
      <c r="L807" s="16"/>
      <c r="M807" s="16"/>
      <c r="N807" s="16"/>
      <c r="O807" s="16"/>
    </row>
    <row r="808" spans="1:15" ht="22.5" customHeight="1" thickTop="1" thickBot="1" x14ac:dyDescent="0.25">
      <c r="A808" s="16" t="e">
        <f>#REF!</f>
        <v>#REF!</v>
      </c>
      <c r="B808" s="16" t="e">
        <f>#REF!</f>
        <v>#REF!</v>
      </c>
      <c r="C808" s="16" t="e">
        <f>#REF!</f>
        <v>#REF!</v>
      </c>
      <c r="D808" s="16" t="e">
        <f>#REF!</f>
        <v>#REF!</v>
      </c>
      <c r="E808" s="16" t="e">
        <f>#REF!</f>
        <v>#REF!</v>
      </c>
      <c r="F808" s="16" t="e">
        <f>#REF!</f>
        <v>#REF!</v>
      </c>
      <c r="G808" s="16" t="e">
        <f>#REF!</f>
        <v>#REF!</v>
      </c>
      <c r="H808" s="16" t="e">
        <f>#REF!</f>
        <v>#REF!</v>
      </c>
      <c r="I808" s="16" t="e">
        <f>#REF!</f>
        <v>#REF!</v>
      </c>
      <c r="J808" s="16" t="e">
        <f>#REF!</f>
        <v>#REF!</v>
      </c>
      <c r="K808" s="16" t="s">
        <v>744</v>
      </c>
      <c r="L808" s="16"/>
      <c r="M808" s="16"/>
      <c r="N808" s="16"/>
      <c r="O808" s="16"/>
    </row>
    <row r="809" spans="1:15" ht="22.5" customHeight="1" thickTop="1" thickBot="1" x14ac:dyDescent="0.25">
      <c r="A809" s="16" t="e">
        <f>#REF!</f>
        <v>#REF!</v>
      </c>
      <c r="B809" s="16" t="e">
        <f>#REF!</f>
        <v>#REF!</v>
      </c>
      <c r="C809" s="16" t="e">
        <f>#REF!</f>
        <v>#REF!</v>
      </c>
      <c r="D809" s="16" t="e">
        <f>#REF!</f>
        <v>#REF!</v>
      </c>
      <c r="E809" s="16" t="e">
        <f>#REF!</f>
        <v>#REF!</v>
      </c>
      <c r="F809" s="16" t="e">
        <f>#REF!</f>
        <v>#REF!</v>
      </c>
      <c r="G809" s="16" t="e">
        <f>#REF!</f>
        <v>#REF!</v>
      </c>
      <c r="H809" s="16" t="e">
        <f>#REF!</f>
        <v>#REF!</v>
      </c>
      <c r="I809" s="16" t="e">
        <f>#REF!</f>
        <v>#REF!</v>
      </c>
      <c r="J809" s="16" t="e">
        <f>#REF!</f>
        <v>#REF!</v>
      </c>
      <c r="K809" s="16" t="s">
        <v>744</v>
      </c>
      <c r="L809" s="16"/>
      <c r="M809" s="16"/>
      <c r="N809" s="16"/>
      <c r="O809" s="16"/>
    </row>
    <row r="810" spans="1:15" ht="22.5" customHeight="1" thickTop="1" thickBot="1" x14ac:dyDescent="0.25">
      <c r="A810" s="16" t="e">
        <f>#REF!</f>
        <v>#REF!</v>
      </c>
      <c r="B810" s="16" t="e">
        <f>#REF!</f>
        <v>#REF!</v>
      </c>
      <c r="C810" s="16" t="e">
        <f>#REF!</f>
        <v>#REF!</v>
      </c>
      <c r="D810" s="16" t="e">
        <f>#REF!</f>
        <v>#REF!</v>
      </c>
      <c r="E810" s="16" t="e">
        <f>#REF!</f>
        <v>#REF!</v>
      </c>
      <c r="F810" s="16" t="e">
        <f>#REF!</f>
        <v>#REF!</v>
      </c>
      <c r="G810" s="16" t="e">
        <f>#REF!</f>
        <v>#REF!</v>
      </c>
      <c r="H810" s="16" t="e">
        <f>#REF!</f>
        <v>#REF!</v>
      </c>
      <c r="I810" s="16" t="e">
        <f>#REF!</f>
        <v>#REF!</v>
      </c>
      <c r="J810" s="16" t="e">
        <f>#REF!</f>
        <v>#REF!</v>
      </c>
      <c r="K810" s="16" t="s">
        <v>744</v>
      </c>
      <c r="L810" s="16"/>
      <c r="M810" s="16"/>
      <c r="N810" s="16"/>
      <c r="O810" s="16"/>
    </row>
    <row r="811" spans="1:15" ht="22.5" customHeight="1" thickTop="1" thickBot="1" x14ac:dyDescent="0.25">
      <c r="A811" s="16" t="e">
        <f>#REF!</f>
        <v>#REF!</v>
      </c>
      <c r="B811" s="16" t="e">
        <f>#REF!</f>
        <v>#REF!</v>
      </c>
      <c r="C811" s="16" t="e">
        <f>#REF!</f>
        <v>#REF!</v>
      </c>
      <c r="D811" s="16" t="e">
        <f>#REF!</f>
        <v>#REF!</v>
      </c>
      <c r="E811" s="16" t="e">
        <f>#REF!</f>
        <v>#REF!</v>
      </c>
      <c r="F811" s="16" t="e">
        <f>#REF!</f>
        <v>#REF!</v>
      </c>
      <c r="G811" s="16" t="e">
        <f>#REF!</f>
        <v>#REF!</v>
      </c>
      <c r="H811" s="16" t="e">
        <f>#REF!</f>
        <v>#REF!</v>
      </c>
      <c r="I811" s="16" t="e">
        <f>#REF!</f>
        <v>#REF!</v>
      </c>
      <c r="J811" s="16" t="e">
        <f>#REF!</f>
        <v>#REF!</v>
      </c>
      <c r="K811" s="16" t="s">
        <v>744</v>
      </c>
      <c r="L811" s="16"/>
      <c r="M811" s="16"/>
      <c r="N811" s="16"/>
      <c r="O811" s="16"/>
    </row>
    <row r="812" spans="1:15" ht="22.5" customHeight="1" thickTop="1" thickBot="1" x14ac:dyDescent="0.25">
      <c r="A812" s="16" t="e">
        <f>#REF!</f>
        <v>#REF!</v>
      </c>
      <c r="B812" s="16" t="e">
        <f>#REF!</f>
        <v>#REF!</v>
      </c>
      <c r="C812" s="16" t="e">
        <f>#REF!</f>
        <v>#REF!</v>
      </c>
      <c r="D812" s="16" t="e">
        <f>#REF!</f>
        <v>#REF!</v>
      </c>
      <c r="E812" s="16" t="e">
        <f>#REF!</f>
        <v>#REF!</v>
      </c>
      <c r="F812" s="16" t="e">
        <f>#REF!</f>
        <v>#REF!</v>
      </c>
      <c r="G812" s="16" t="e">
        <f>#REF!</f>
        <v>#REF!</v>
      </c>
      <c r="H812" s="16" t="e">
        <f>#REF!</f>
        <v>#REF!</v>
      </c>
      <c r="I812" s="16" t="e">
        <f>#REF!</f>
        <v>#REF!</v>
      </c>
      <c r="J812" s="16" t="e">
        <f>#REF!</f>
        <v>#REF!</v>
      </c>
      <c r="K812" s="16"/>
      <c r="L812" s="16"/>
      <c r="M812" s="16"/>
      <c r="N812" s="16"/>
      <c r="O812" s="16"/>
    </row>
    <row r="813" spans="1:15" ht="22.5" customHeight="1" thickTop="1" thickBot="1" x14ac:dyDescent="0.25">
      <c r="A813" s="16" t="e">
        <f>#REF!</f>
        <v>#REF!</v>
      </c>
      <c r="B813" s="16" t="e">
        <f>#REF!</f>
        <v>#REF!</v>
      </c>
      <c r="C813" s="16" t="e">
        <f>#REF!</f>
        <v>#REF!</v>
      </c>
      <c r="D813" s="16" t="e">
        <f>#REF!</f>
        <v>#REF!</v>
      </c>
      <c r="E813" s="16" t="e">
        <f>#REF!</f>
        <v>#REF!</v>
      </c>
      <c r="F813" s="16" t="e">
        <f>#REF!</f>
        <v>#REF!</v>
      </c>
      <c r="G813" s="16" t="e">
        <f>#REF!</f>
        <v>#REF!</v>
      </c>
      <c r="H813" s="16" t="e">
        <f>#REF!</f>
        <v>#REF!</v>
      </c>
      <c r="I813" s="16" t="e">
        <f>#REF!</f>
        <v>#REF!</v>
      </c>
      <c r="J813" s="16" t="e">
        <f>#REF!</f>
        <v>#REF!</v>
      </c>
      <c r="K813" s="16" t="s">
        <v>744</v>
      </c>
      <c r="L813" s="16"/>
      <c r="M813" s="16"/>
      <c r="N813" s="16"/>
      <c r="O813" s="16"/>
    </row>
    <row r="814" spans="1:15" ht="22.5" customHeight="1" thickTop="1" thickBot="1" x14ac:dyDescent="0.25">
      <c r="A814" s="16" t="e">
        <f>#REF!</f>
        <v>#REF!</v>
      </c>
      <c r="B814" s="16" t="e">
        <f>#REF!</f>
        <v>#REF!</v>
      </c>
      <c r="C814" s="16" t="e">
        <f>#REF!</f>
        <v>#REF!</v>
      </c>
      <c r="D814" s="16" t="e">
        <f>#REF!</f>
        <v>#REF!</v>
      </c>
      <c r="E814" s="16" t="e">
        <f>#REF!</f>
        <v>#REF!</v>
      </c>
      <c r="F814" s="16" t="e">
        <f>#REF!</f>
        <v>#REF!</v>
      </c>
      <c r="G814" s="16" t="e">
        <f>#REF!</f>
        <v>#REF!</v>
      </c>
      <c r="H814" s="16" t="e">
        <f>#REF!</f>
        <v>#REF!</v>
      </c>
      <c r="I814" s="16" t="e">
        <f>#REF!</f>
        <v>#REF!</v>
      </c>
      <c r="J814" s="16" t="e">
        <f>#REF!</f>
        <v>#REF!</v>
      </c>
      <c r="K814" s="16"/>
      <c r="L814" s="16"/>
      <c r="M814" s="16"/>
      <c r="N814" s="16"/>
      <c r="O814" s="16"/>
    </row>
    <row r="815" spans="1:15" ht="22.5" customHeight="1" thickTop="1" thickBot="1" x14ac:dyDescent="0.25">
      <c r="A815" s="16" t="e">
        <f>#REF!</f>
        <v>#REF!</v>
      </c>
      <c r="B815" s="16" t="e">
        <f>#REF!</f>
        <v>#REF!</v>
      </c>
      <c r="C815" s="16" t="e">
        <f>#REF!</f>
        <v>#REF!</v>
      </c>
      <c r="D815" s="16" t="e">
        <f>#REF!</f>
        <v>#REF!</v>
      </c>
      <c r="E815" s="16" t="e">
        <f>#REF!</f>
        <v>#REF!</v>
      </c>
      <c r="F815" s="16" t="e">
        <f>#REF!</f>
        <v>#REF!</v>
      </c>
      <c r="G815" s="16" t="e">
        <f>#REF!</f>
        <v>#REF!</v>
      </c>
      <c r="H815" s="16" t="e">
        <f>#REF!</f>
        <v>#REF!</v>
      </c>
      <c r="I815" s="16" t="e">
        <f>#REF!</f>
        <v>#REF!</v>
      </c>
      <c r="J815" s="16" t="e">
        <f>#REF!</f>
        <v>#REF!</v>
      </c>
      <c r="K815" s="16" t="s">
        <v>744</v>
      </c>
      <c r="L815" s="16"/>
      <c r="M815" s="16"/>
      <c r="N815" s="16"/>
      <c r="O815" s="16"/>
    </row>
    <row r="816" spans="1:15" ht="22.5" customHeight="1" thickTop="1" thickBot="1" x14ac:dyDescent="0.25">
      <c r="A816" s="16" t="e">
        <f>#REF!</f>
        <v>#REF!</v>
      </c>
      <c r="B816" s="16" t="e">
        <f>#REF!</f>
        <v>#REF!</v>
      </c>
      <c r="C816" s="16" t="e">
        <f>#REF!</f>
        <v>#REF!</v>
      </c>
      <c r="D816" s="16" t="e">
        <f>#REF!</f>
        <v>#REF!</v>
      </c>
      <c r="E816" s="16" t="e">
        <f>#REF!</f>
        <v>#REF!</v>
      </c>
      <c r="F816" s="16" t="e">
        <f>#REF!</f>
        <v>#REF!</v>
      </c>
      <c r="G816" s="16" t="e">
        <f>#REF!</f>
        <v>#REF!</v>
      </c>
      <c r="H816" s="16" t="e">
        <f>#REF!</f>
        <v>#REF!</v>
      </c>
      <c r="I816" s="16" t="e">
        <f>#REF!</f>
        <v>#REF!</v>
      </c>
      <c r="J816" s="16" t="e">
        <f>#REF!</f>
        <v>#REF!</v>
      </c>
      <c r="K816" s="16"/>
      <c r="L816" s="16"/>
      <c r="M816" s="16"/>
      <c r="N816" s="16"/>
      <c r="O816" s="16"/>
    </row>
    <row r="817" spans="1:15" ht="22.5" customHeight="1" thickTop="1" thickBot="1" x14ac:dyDescent="0.25">
      <c r="A817" s="16" t="e">
        <f>#REF!</f>
        <v>#REF!</v>
      </c>
      <c r="B817" s="16" t="e">
        <f>#REF!</f>
        <v>#REF!</v>
      </c>
      <c r="C817" s="16" t="e">
        <f>#REF!</f>
        <v>#REF!</v>
      </c>
      <c r="D817" s="16" t="e">
        <f>#REF!</f>
        <v>#REF!</v>
      </c>
      <c r="E817" s="16" t="e">
        <f>#REF!</f>
        <v>#REF!</v>
      </c>
      <c r="F817" s="16" t="e">
        <f>#REF!</f>
        <v>#REF!</v>
      </c>
      <c r="G817" s="16" t="e">
        <f>#REF!</f>
        <v>#REF!</v>
      </c>
      <c r="H817" s="16" t="e">
        <f>#REF!</f>
        <v>#REF!</v>
      </c>
      <c r="I817" s="16" t="e">
        <f>#REF!</f>
        <v>#REF!</v>
      </c>
      <c r="J817" s="16" t="e">
        <f>#REF!</f>
        <v>#REF!</v>
      </c>
      <c r="K817" s="16"/>
      <c r="L817" s="16"/>
      <c r="M817" s="16"/>
      <c r="N817" s="16"/>
      <c r="O817" s="16"/>
    </row>
    <row r="818" spans="1:15" ht="22.5" customHeight="1" thickTop="1" thickBot="1" x14ac:dyDescent="0.25">
      <c r="A818" s="16" t="e">
        <f>#REF!</f>
        <v>#REF!</v>
      </c>
      <c r="B818" s="16" t="e">
        <f>#REF!</f>
        <v>#REF!</v>
      </c>
      <c r="C818" s="16" t="e">
        <f>#REF!</f>
        <v>#REF!</v>
      </c>
      <c r="D818" s="16" t="e">
        <f>#REF!</f>
        <v>#REF!</v>
      </c>
      <c r="E818" s="16" t="e">
        <f>#REF!</f>
        <v>#REF!</v>
      </c>
      <c r="F818" s="16" t="e">
        <f>#REF!</f>
        <v>#REF!</v>
      </c>
      <c r="G818" s="16" t="e">
        <f>#REF!</f>
        <v>#REF!</v>
      </c>
      <c r="H818" s="16" t="e">
        <f>#REF!</f>
        <v>#REF!</v>
      </c>
      <c r="I818" s="16" t="e">
        <f>#REF!</f>
        <v>#REF!</v>
      </c>
      <c r="J818" s="16" t="e">
        <f>#REF!</f>
        <v>#REF!</v>
      </c>
      <c r="K818" s="16" t="s">
        <v>744</v>
      </c>
      <c r="L818" s="16"/>
      <c r="M818" s="16"/>
      <c r="N818" s="16"/>
      <c r="O818" s="16"/>
    </row>
    <row r="819" spans="1:15" ht="22.5" customHeight="1" thickTop="1" thickBot="1" x14ac:dyDescent="0.25">
      <c r="A819" s="16" t="e">
        <f>#REF!</f>
        <v>#REF!</v>
      </c>
      <c r="B819" s="16" t="e">
        <f>#REF!</f>
        <v>#REF!</v>
      </c>
      <c r="C819" s="16" t="e">
        <f>#REF!</f>
        <v>#REF!</v>
      </c>
      <c r="D819" s="16" t="e">
        <f>#REF!</f>
        <v>#REF!</v>
      </c>
      <c r="E819" s="16" t="e">
        <f>#REF!</f>
        <v>#REF!</v>
      </c>
      <c r="F819" s="16" t="e">
        <f>#REF!</f>
        <v>#REF!</v>
      </c>
      <c r="G819" s="16" t="e">
        <f>#REF!</f>
        <v>#REF!</v>
      </c>
      <c r="H819" s="16" t="e">
        <f>#REF!</f>
        <v>#REF!</v>
      </c>
      <c r="I819" s="16" t="e">
        <f>#REF!</f>
        <v>#REF!</v>
      </c>
      <c r="J819" s="16" t="e">
        <f>#REF!</f>
        <v>#REF!</v>
      </c>
      <c r="K819" s="16"/>
      <c r="L819" s="16"/>
      <c r="M819" s="16"/>
      <c r="N819" s="16"/>
      <c r="O819" s="16"/>
    </row>
    <row r="820" spans="1:15" ht="22.5" customHeight="1" thickTop="1" thickBot="1" x14ac:dyDescent="0.25">
      <c r="A820" s="16" t="e">
        <f>#REF!</f>
        <v>#REF!</v>
      </c>
      <c r="B820" s="16" t="e">
        <f>#REF!</f>
        <v>#REF!</v>
      </c>
      <c r="C820" s="16" t="e">
        <f>#REF!</f>
        <v>#REF!</v>
      </c>
      <c r="D820" s="16" t="e">
        <f>#REF!</f>
        <v>#REF!</v>
      </c>
      <c r="E820" s="16" t="e">
        <f>#REF!</f>
        <v>#REF!</v>
      </c>
      <c r="F820" s="16" t="e">
        <f>#REF!</f>
        <v>#REF!</v>
      </c>
      <c r="G820" s="16" t="e">
        <f>#REF!</f>
        <v>#REF!</v>
      </c>
      <c r="H820" s="16" t="e">
        <f>#REF!</f>
        <v>#REF!</v>
      </c>
      <c r="I820" s="16" t="e">
        <f>#REF!</f>
        <v>#REF!</v>
      </c>
      <c r="J820" s="16" t="e">
        <f>#REF!</f>
        <v>#REF!</v>
      </c>
      <c r="K820" s="16" t="s">
        <v>744</v>
      </c>
      <c r="L820" s="16"/>
      <c r="M820" s="16"/>
      <c r="N820" s="16"/>
      <c r="O820" s="16"/>
    </row>
    <row r="821" spans="1:15" ht="22.5" customHeight="1" thickTop="1" thickBot="1" x14ac:dyDescent="0.25">
      <c r="A821" s="16" t="e">
        <f>#REF!</f>
        <v>#REF!</v>
      </c>
      <c r="B821" s="16" t="e">
        <f>#REF!</f>
        <v>#REF!</v>
      </c>
      <c r="C821" s="16" t="e">
        <f>#REF!</f>
        <v>#REF!</v>
      </c>
      <c r="D821" s="16" t="e">
        <f>#REF!</f>
        <v>#REF!</v>
      </c>
      <c r="E821" s="16" t="e">
        <f>#REF!</f>
        <v>#REF!</v>
      </c>
      <c r="F821" s="16" t="e">
        <f>#REF!</f>
        <v>#REF!</v>
      </c>
      <c r="G821" s="16" t="e">
        <f>#REF!</f>
        <v>#REF!</v>
      </c>
      <c r="H821" s="16" t="e">
        <f>#REF!</f>
        <v>#REF!</v>
      </c>
      <c r="I821" s="16" t="e">
        <f>#REF!</f>
        <v>#REF!</v>
      </c>
      <c r="J821" s="16" t="e">
        <f>#REF!</f>
        <v>#REF!</v>
      </c>
      <c r="K821" s="16"/>
      <c r="L821" s="16"/>
      <c r="M821" s="16"/>
      <c r="N821" s="16"/>
      <c r="O821" s="16"/>
    </row>
    <row r="822" spans="1:15" ht="22.5" customHeight="1" thickTop="1" thickBot="1" x14ac:dyDescent="0.25">
      <c r="A822" s="16" t="e">
        <f>#REF!</f>
        <v>#REF!</v>
      </c>
      <c r="B822" s="16" t="e">
        <f>#REF!</f>
        <v>#REF!</v>
      </c>
      <c r="C822" s="16" t="e">
        <f>#REF!</f>
        <v>#REF!</v>
      </c>
      <c r="D822" s="16" t="e">
        <f>#REF!</f>
        <v>#REF!</v>
      </c>
      <c r="E822" s="16" t="e">
        <f>#REF!</f>
        <v>#REF!</v>
      </c>
      <c r="F822" s="16" t="e">
        <f>#REF!</f>
        <v>#REF!</v>
      </c>
      <c r="G822" s="16" t="e">
        <f>#REF!</f>
        <v>#REF!</v>
      </c>
      <c r="H822" s="16" t="e">
        <f>#REF!</f>
        <v>#REF!</v>
      </c>
      <c r="I822" s="16" t="e">
        <f>#REF!</f>
        <v>#REF!</v>
      </c>
      <c r="J822" s="16" t="e">
        <f>#REF!</f>
        <v>#REF!</v>
      </c>
      <c r="K822" s="16" t="s">
        <v>744</v>
      </c>
      <c r="L822" s="16"/>
      <c r="M822" s="16"/>
      <c r="N822" s="16"/>
      <c r="O822" s="16"/>
    </row>
    <row r="823" spans="1:15" ht="22.5" customHeight="1" thickTop="1" thickBot="1" x14ac:dyDescent="0.25">
      <c r="A823" s="16" t="e">
        <f>#REF!</f>
        <v>#REF!</v>
      </c>
      <c r="B823" s="16" t="e">
        <f>#REF!</f>
        <v>#REF!</v>
      </c>
      <c r="C823" s="16" t="e">
        <f>#REF!</f>
        <v>#REF!</v>
      </c>
      <c r="D823" s="16" t="e">
        <f>#REF!</f>
        <v>#REF!</v>
      </c>
      <c r="E823" s="16" t="e">
        <f>#REF!</f>
        <v>#REF!</v>
      </c>
      <c r="F823" s="16" t="e">
        <f>#REF!</f>
        <v>#REF!</v>
      </c>
      <c r="G823" s="16" t="e">
        <f>#REF!</f>
        <v>#REF!</v>
      </c>
      <c r="H823" s="16" t="e">
        <f>#REF!</f>
        <v>#REF!</v>
      </c>
      <c r="I823" s="16" t="e">
        <f>#REF!</f>
        <v>#REF!</v>
      </c>
      <c r="J823" s="16" t="e">
        <f>#REF!</f>
        <v>#REF!</v>
      </c>
      <c r="K823" s="16" t="s">
        <v>744</v>
      </c>
      <c r="L823" s="16"/>
      <c r="M823" s="16"/>
      <c r="N823" s="16"/>
      <c r="O823" s="16"/>
    </row>
    <row r="824" spans="1:15" ht="22.5" customHeight="1" thickTop="1" thickBot="1" x14ac:dyDescent="0.25">
      <c r="A824" s="16" t="e">
        <f>#REF!</f>
        <v>#REF!</v>
      </c>
      <c r="B824" s="16" t="e">
        <f>#REF!</f>
        <v>#REF!</v>
      </c>
      <c r="C824" s="16" t="e">
        <f>#REF!</f>
        <v>#REF!</v>
      </c>
      <c r="D824" s="16" t="e">
        <f>#REF!</f>
        <v>#REF!</v>
      </c>
      <c r="E824" s="16" t="e">
        <f>#REF!</f>
        <v>#REF!</v>
      </c>
      <c r="F824" s="16" t="e">
        <f>#REF!</f>
        <v>#REF!</v>
      </c>
      <c r="G824" s="16" t="e">
        <f>#REF!</f>
        <v>#REF!</v>
      </c>
      <c r="H824" s="16" t="e">
        <f>#REF!</f>
        <v>#REF!</v>
      </c>
      <c r="I824" s="16" t="e">
        <f>#REF!</f>
        <v>#REF!</v>
      </c>
      <c r="J824" s="16" t="e">
        <f>#REF!</f>
        <v>#REF!</v>
      </c>
      <c r="K824" s="16" t="s">
        <v>744</v>
      </c>
      <c r="L824" s="16"/>
      <c r="M824" s="16"/>
      <c r="N824" s="16"/>
      <c r="O824" s="16"/>
    </row>
    <row r="825" spans="1:15" ht="22.5" customHeight="1" thickTop="1" thickBot="1" x14ac:dyDescent="0.25">
      <c r="A825" s="16" t="e">
        <f>#REF!</f>
        <v>#REF!</v>
      </c>
      <c r="B825" s="16" t="e">
        <f>#REF!</f>
        <v>#REF!</v>
      </c>
      <c r="C825" s="16" t="e">
        <f>#REF!</f>
        <v>#REF!</v>
      </c>
      <c r="D825" s="16" t="e">
        <f>#REF!</f>
        <v>#REF!</v>
      </c>
      <c r="E825" s="16" t="e">
        <f>#REF!</f>
        <v>#REF!</v>
      </c>
      <c r="F825" s="16" t="e">
        <f>#REF!</f>
        <v>#REF!</v>
      </c>
      <c r="G825" s="16" t="e">
        <f>#REF!</f>
        <v>#REF!</v>
      </c>
      <c r="H825" s="16" t="e">
        <f>#REF!</f>
        <v>#REF!</v>
      </c>
      <c r="I825" s="16" t="e">
        <f>#REF!</f>
        <v>#REF!</v>
      </c>
      <c r="J825" s="16" t="e">
        <f>#REF!</f>
        <v>#REF!</v>
      </c>
      <c r="K825" s="16"/>
      <c r="L825" s="16"/>
      <c r="M825" s="16"/>
      <c r="N825" s="16"/>
      <c r="O825" s="16"/>
    </row>
    <row r="826" spans="1:15" ht="22.5" customHeight="1" thickTop="1" thickBot="1" x14ac:dyDescent="0.25">
      <c r="A826" s="16" t="e">
        <f>#REF!</f>
        <v>#REF!</v>
      </c>
      <c r="B826" s="16" t="e">
        <f>#REF!</f>
        <v>#REF!</v>
      </c>
      <c r="C826" s="16" t="e">
        <f>#REF!</f>
        <v>#REF!</v>
      </c>
      <c r="D826" s="16" t="e">
        <f>#REF!</f>
        <v>#REF!</v>
      </c>
      <c r="E826" s="16" t="e">
        <f>#REF!</f>
        <v>#REF!</v>
      </c>
      <c r="F826" s="16" t="e">
        <f>#REF!</f>
        <v>#REF!</v>
      </c>
      <c r="G826" s="16" t="e">
        <f>#REF!</f>
        <v>#REF!</v>
      </c>
      <c r="H826" s="16" t="e">
        <f>#REF!</f>
        <v>#REF!</v>
      </c>
      <c r="I826" s="16" t="e">
        <f>#REF!</f>
        <v>#REF!</v>
      </c>
      <c r="J826" s="16" t="e">
        <f>#REF!</f>
        <v>#REF!</v>
      </c>
      <c r="K826" s="16" t="s">
        <v>744</v>
      </c>
      <c r="L826" s="16"/>
      <c r="M826" s="16"/>
      <c r="N826" s="16"/>
      <c r="O826" s="16"/>
    </row>
    <row r="827" spans="1:15" ht="22.5" customHeight="1" thickTop="1" thickBot="1" x14ac:dyDescent="0.25">
      <c r="A827" s="16" t="e">
        <f>#REF!</f>
        <v>#REF!</v>
      </c>
      <c r="B827" s="16" t="e">
        <f>#REF!</f>
        <v>#REF!</v>
      </c>
      <c r="C827" s="16" t="e">
        <f>#REF!</f>
        <v>#REF!</v>
      </c>
      <c r="D827" s="16" t="e">
        <f>#REF!</f>
        <v>#REF!</v>
      </c>
      <c r="E827" s="16" t="e">
        <f>#REF!</f>
        <v>#REF!</v>
      </c>
      <c r="F827" s="16" t="e">
        <f>#REF!</f>
        <v>#REF!</v>
      </c>
      <c r="G827" s="16" t="e">
        <f>#REF!</f>
        <v>#REF!</v>
      </c>
      <c r="H827" s="16" t="e">
        <f>#REF!</f>
        <v>#REF!</v>
      </c>
      <c r="I827" s="16" t="e">
        <f>#REF!</f>
        <v>#REF!</v>
      </c>
      <c r="J827" s="16" t="e">
        <f>#REF!</f>
        <v>#REF!</v>
      </c>
      <c r="K827" s="16" t="s">
        <v>744</v>
      </c>
      <c r="L827" s="16"/>
      <c r="M827" s="16"/>
      <c r="N827" s="16"/>
      <c r="O827" s="16"/>
    </row>
    <row r="828" spans="1:15" ht="22.5" customHeight="1" thickTop="1" thickBot="1" x14ac:dyDescent="0.25">
      <c r="A828" s="16" t="e">
        <f>#REF!</f>
        <v>#REF!</v>
      </c>
      <c r="B828" s="16" t="e">
        <f>#REF!</f>
        <v>#REF!</v>
      </c>
      <c r="C828" s="16" t="e">
        <f>#REF!</f>
        <v>#REF!</v>
      </c>
      <c r="D828" s="16" t="e">
        <f>#REF!</f>
        <v>#REF!</v>
      </c>
      <c r="E828" s="16" t="e">
        <f>#REF!</f>
        <v>#REF!</v>
      </c>
      <c r="F828" s="16" t="e">
        <f>#REF!</f>
        <v>#REF!</v>
      </c>
      <c r="G828" s="16" t="e">
        <f>#REF!</f>
        <v>#REF!</v>
      </c>
      <c r="H828" s="16" t="e">
        <f>#REF!</f>
        <v>#REF!</v>
      </c>
      <c r="I828" s="16" t="e">
        <f>#REF!</f>
        <v>#REF!</v>
      </c>
      <c r="J828" s="16" t="e">
        <f>#REF!</f>
        <v>#REF!</v>
      </c>
      <c r="K828" s="16" t="s">
        <v>744</v>
      </c>
      <c r="L828" s="16"/>
      <c r="M828" s="16"/>
      <c r="N828" s="16"/>
      <c r="O828" s="16"/>
    </row>
    <row r="829" spans="1:15" ht="22.5" customHeight="1" thickTop="1" thickBot="1" x14ac:dyDescent="0.25">
      <c r="A829" s="16" t="e">
        <f>#REF!</f>
        <v>#REF!</v>
      </c>
      <c r="B829" s="16" t="e">
        <f>#REF!</f>
        <v>#REF!</v>
      </c>
      <c r="C829" s="16" t="e">
        <f>#REF!</f>
        <v>#REF!</v>
      </c>
      <c r="D829" s="16" t="e">
        <f>#REF!</f>
        <v>#REF!</v>
      </c>
      <c r="E829" s="16" t="e">
        <f>#REF!</f>
        <v>#REF!</v>
      </c>
      <c r="F829" s="16" t="e">
        <f>#REF!</f>
        <v>#REF!</v>
      </c>
      <c r="G829" s="16" t="e">
        <f>#REF!</f>
        <v>#REF!</v>
      </c>
      <c r="H829" s="16" t="e">
        <f>#REF!</f>
        <v>#REF!</v>
      </c>
      <c r="I829" s="16" t="e">
        <f>#REF!</f>
        <v>#REF!</v>
      </c>
      <c r="J829" s="16" t="e">
        <f>#REF!</f>
        <v>#REF!</v>
      </c>
      <c r="K829" s="16" t="s">
        <v>744</v>
      </c>
      <c r="L829" s="16"/>
      <c r="M829" s="16"/>
      <c r="N829" s="16"/>
      <c r="O829" s="16"/>
    </row>
    <row r="830" spans="1:15" ht="22.5" customHeight="1" thickTop="1" thickBot="1" x14ac:dyDescent="0.25">
      <c r="A830" s="16" t="e">
        <f>#REF!</f>
        <v>#REF!</v>
      </c>
      <c r="B830" s="16" t="e">
        <f>#REF!</f>
        <v>#REF!</v>
      </c>
      <c r="C830" s="16" t="e">
        <f>#REF!</f>
        <v>#REF!</v>
      </c>
      <c r="D830" s="16" t="e">
        <f>#REF!</f>
        <v>#REF!</v>
      </c>
      <c r="E830" s="16" t="e">
        <f>#REF!</f>
        <v>#REF!</v>
      </c>
      <c r="F830" s="16" t="e">
        <f>#REF!</f>
        <v>#REF!</v>
      </c>
      <c r="G830" s="16" t="e">
        <f>#REF!</f>
        <v>#REF!</v>
      </c>
      <c r="H830" s="16" t="e">
        <f>#REF!</f>
        <v>#REF!</v>
      </c>
      <c r="I830" s="16" t="e">
        <f>#REF!</f>
        <v>#REF!</v>
      </c>
      <c r="J830" s="16" t="e">
        <f>#REF!</f>
        <v>#REF!</v>
      </c>
      <c r="K830" s="16" t="s">
        <v>744</v>
      </c>
      <c r="L830" s="16"/>
      <c r="M830" s="16"/>
      <c r="N830" s="16"/>
      <c r="O830" s="16"/>
    </row>
    <row r="831" spans="1:15" ht="22.5" customHeight="1" thickTop="1" thickBot="1" x14ac:dyDescent="0.25">
      <c r="A831" s="16" t="e">
        <f>#REF!</f>
        <v>#REF!</v>
      </c>
      <c r="B831" s="16" t="e">
        <f>#REF!</f>
        <v>#REF!</v>
      </c>
      <c r="C831" s="16" t="e">
        <f>#REF!</f>
        <v>#REF!</v>
      </c>
      <c r="D831" s="16" t="e">
        <f>#REF!</f>
        <v>#REF!</v>
      </c>
      <c r="E831" s="16" t="e">
        <f>#REF!</f>
        <v>#REF!</v>
      </c>
      <c r="F831" s="16" t="e">
        <f>#REF!</f>
        <v>#REF!</v>
      </c>
      <c r="G831" s="16" t="e">
        <f>#REF!</f>
        <v>#REF!</v>
      </c>
      <c r="H831" s="16" t="e">
        <f>#REF!</f>
        <v>#REF!</v>
      </c>
      <c r="I831" s="16" t="e">
        <f>#REF!</f>
        <v>#REF!</v>
      </c>
      <c r="J831" s="16" t="e">
        <f>#REF!</f>
        <v>#REF!</v>
      </c>
      <c r="K831" s="16" t="s">
        <v>744</v>
      </c>
      <c r="L831" s="16"/>
      <c r="M831" s="16"/>
      <c r="N831" s="16"/>
      <c r="O831" s="16"/>
    </row>
    <row r="832" spans="1:15" ht="22.5" customHeight="1" thickTop="1" thickBot="1" x14ac:dyDescent="0.25">
      <c r="A832" s="16" t="e">
        <f>#REF!</f>
        <v>#REF!</v>
      </c>
      <c r="B832" s="16" t="e">
        <f>#REF!</f>
        <v>#REF!</v>
      </c>
      <c r="C832" s="16" t="e">
        <f>#REF!</f>
        <v>#REF!</v>
      </c>
      <c r="D832" s="16" t="e">
        <f>#REF!</f>
        <v>#REF!</v>
      </c>
      <c r="E832" s="16" t="e">
        <f>#REF!</f>
        <v>#REF!</v>
      </c>
      <c r="F832" s="16" t="e">
        <f>#REF!</f>
        <v>#REF!</v>
      </c>
      <c r="G832" s="16" t="e">
        <f>#REF!</f>
        <v>#REF!</v>
      </c>
      <c r="H832" s="16" t="e">
        <f>#REF!</f>
        <v>#REF!</v>
      </c>
      <c r="I832" s="16" t="e">
        <f>#REF!</f>
        <v>#REF!</v>
      </c>
      <c r="J832" s="16" t="e">
        <f>#REF!</f>
        <v>#REF!</v>
      </c>
      <c r="K832" s="16"/>
      <c r="L832" s="16"/>
      <c r="M832" s="16"/>
      <c r="N832" s="16"/>
      <c r="O832" s="16"/>
    </row>
    <row r="833" spans="1:15" ht="22.5" customHeight="1" thickTop="1" thickBot="1" x14ac:dyDescent="0.25">
      <c r="A833" s="16" t="e">
        <f>#REF!</f>
        <v>#REF!</v>
      </c>
      <c r="B833" s="16" t="e">
        <f>#REF!</f>
        <v>#REF!</v>
      </c>
      <c r="C833" s="16" t="e">
        <f>#REF!</f>
        <v>#REF!</v>
      </c>
      <c r="D833" s="16" t="e">
        <f>#REF!</f>
        <v>#REF!</v>
      </c>
      <c r="E833" s="16" t="e">
        <f>#REF!</f>
        <v>#REF!</v>
      </c>
      <c r="F833" s="16" t="e">
        <f>#REF!</f>
        <v>#REF!</v>
      </c>
      <c r="G833" s="16" t="e">
        <f>#REF!</f>
        <v>#REF!</v>
      </c>
      <c r="H833" s="16" t="e">
        <f>#REF!</f>
        <v>#REF!</v>
      </c>
      <c r="I833" s="16" t="e">
        <f>#REF!</f>
        <v>#REF!</v>
      </c>
      <c r="J833" s="16" t="e">
        <f>#REF!</f>
        <v>#REF!</v>
      </c>
      <c r="K833" s="16"/>
      <c r="L833" s="16"/>
      <c r="M833" s="16"/>
      <c r="N833" s="16"/>
      <c r="O833" s="16"/>
    </row>
    <row r="834" spans="1:15" ht="22.5" customHeight="1" thickTop="1" thickBot="1" x14ac:dyDescent="0.25">
      <c r="A834" s="16" t="e">
        <f>#REF!</f>
        <v>#REF!</v>
      </c>
      <c r="B834" s="16" t="e">
        <f>#REF!</f>
        <v>#REF!</v>
      </c>
      <c r="C834" s="16" t="e">
        <f>#REF!</f>
        <v>#REF!</v>
      </c>
      <c r="D834" s="16" t="e">
        <f>#REF!</f>
        <v>#REF!</v>
      </c>
      <c r="E834" s="16" t="e">
        <f>#REF!</f>
        <v>#REF!</v>
      </c>
      <c r="F834" s="16" t="e">
        <f>#REF!</f>
        <v>#REF!</v>
      </c>
      <c r="G834" s="16" t="e">
        <f>#REF!</f>
        <v>#REF!</v>
      </c>
      <c r="H834" s="16" t="e">
        <f>#REF!</f>
        <v>#REF!</v>
      </c>
      <c r="I834" s="16" t="e">
        <f>#REF!</f>
        <v>#REF!</v>
      </c>
      <c r="J834" s="16" t="e">
        <f>#REF!</f>
        <v>#REF!</v>
      </c>
      <c r="K834" s="16" t="s">
        <v>744</v>
      </c>
      <c r="L834" s="16"/>
      <c r="M834" s="16"/>
      <c r="N834" s="16"/>
      <c r="O834" s="16"/>
    </row>
    <row r="835" spans="1:15" ht="22.5" customHeight="1" thickTop="1" thickBot="1" x14ac:dyDescent="0.25">
      <c r="A835" s="16" t="e">
        <f>#REF!</f>
        <v>#REF!</v>
      </c>
      <c r="B835" s="16" t="e">
        <f>#REF!</f>
        <v>#REF!</v>
      </c>
      <c r="C835" s="16" t="e">
        <f>#REF!</f>
        <v>#REF!</v>
      </c>
      <c r="D835" s="16" t="e">
        <f>#REF!</f>
        <v>#REF!</v>
      </c>
      <c r="E835" s="16" t="e">
        <f>#REF!</f>
        <v>#REF!</v>
      </c>
      <c r="F835" s="16" t="e">
        <f>#REF!</f>
        <v>#REF!</v>
      </c>
      <c r="G835" s="16" t="e">
        <f>#REF!</f>
        <v>#REF!</v>
      </c>
      <c r="H835" s="16" t="e">
        <f>#REF!</f>
        <v>#REF!</v>
      </c>
      <c r="I835" s="16" t="e">
        <f>#REF!</f>
        <v>#REF!</v>
      </c>
      <c r="J835" s="16" t="e">
        <f>#REF!</f>
        <v>#REF!</v>
      </c>
      <c r="K835" s="16" t="s">
        <v>744</v>
      </c>
      <c r="L835" s="16"/>
      <c r="M835" s="16"/>
      <c r="N835" s="16"/>
      <c r="O835" s="16"/>
    </row>
    <row r="836" spans="1:15" ht="22.5" customHeight="1" thickTop="1" thickBot="1" x14ac:dyDescent="0.25">
      <c r="A836" s="16" t="e">
        <f>#REF!</f>
        <v>#REF!</v>
      </c>
      <c r="B836" s="16" t="e">
        <f>#REF!</f>
        <v>#REF!</v>
      </c>
      <c r="C836" s="16" t="e">
        <f>#REF!</f>
        <v>#REF!</v>
      </c>
      <c r="D836" s="16" t="e">
        <f>#REF!</f>
        <v>#REF!</v>
      </c>
      <c r="E836" s="16" t="e">
        <f>#REF!</f>
        <v>#REF!</v>
      </c>
      <c r="F836" s="16" t="e">
        <f>#REF!</f>
        <v>#REF!</v>
      </c>
      <c r="G836" s="16" t="e">
        <f>#REF!</f>
        <v>#REF!</v>
      </c>
      <c r="H836" s="16" t="e">
        <f>#REF!</f>
        <v>#REF!</v>
      </c>
      <c r="I836" s="16" t="e">
        <f>#REF!</f>
        <v>#REF!</v>
      </c>
      <c r="J836" s="16" t="e">
        <f>#REF!</f>
        <v>#REF!</v>
      </c>
      <c r="K836" s="16" t="s">
        <v>744</v>
      </c>
      <c r="L836" s="16"/>
      <c r="M836" s="16"/>
      <c r="N836" s="16"/>
      <c r="O836" s="16"/>
    </row>
    <row r="837" spans="1:15" ht="22.5" customHeight="1" thickTop="1" thickBot="1" x14ac:dyDescent="0.25">
      <c r="A837" s="16" t="e">
        <f>#REF!</f>
        <v>#REF!</v>
      </c>
      <c r="B837" s="16" t="e">
        <f>#REF!</f>
        <v>#REF!</v>
      </c>
      <c r="C837" s="16" t="e">
        <f>#REF!</f>
        <v>#REF!</v>
      </c>
      <c r="D837" s="16" t="e">
        <f>#REF!</f>
        <v>#REF!</v>
      </c>
      <c r="E837" s="16" t="e">
        <f>#REF!</f>
        <v>#REF!</v>
      </c>
      <c r="F837" s="16" t="e">
        <f>#REF!</f>
        <v>#REF!</v>
      </c>
      <c r="G837" s="16" t="e">
        <f>#REF!</f>
        <v>#REF!</v>
      </c>
      <c r="H837" s="16" t="e">
        <f>#REF!</f>
        <v>#REF!</v>
      </c>
      <c r="I837" s="16" t="e">
        <f>#REF!</f>
        <v>#REF!</v>
      </c>
      <c r="J837" s="16" t="e">
        <f>#REF!</f>
        <v>#REF!</v>
      </c>
      <c r="K837" s="16"/>
      <c r="L837" s="16"/>
      <c r="M837" s="16"/>
      <c r="N837" s="16"/>
      <c r="O837" s="16"/>
    </row>
    <row r="838" spans="1:15" ht="22.5" customHeight="1" thickTop="1" thickBot="1" x14ac:dyDescent="0.25">
      <c r="A838" s="16" t="e">
        <f>#REF!</f>
        <v>#REF!</v>
      </c>
      <c r="B838" s="16" t="e">
        <f>#REF!</f>
        <v>#REF!</v>
      </c>
      <c r="C838" s="16" t="e">
        <f>#REF!</f>
        <v>#REF!</v>
      </c>
      <c r="D838" s="16" t="e">
        <f>#REF!</f>
        <v>#REF!</v>
      </c>
      <c r="E838" s="16" t="e">
        <f>#REF!</f>
        <v>#REF!</v>
      </c>
      <c r="F838" s="16" t="e">
        <f>#REF!</f>
        <v>#REF!</v>
      </c>
      <c r="G838" s="16" t="e">
        <f>#REF!</f>
        <v>#REF!</v>
      </c>
      <c r="H838" s="16" t="e">
        <f>#REF!</f>
        <v>#REF!</v>
      </c>
      <c r="I838" s="16" t="e">
        <f>#REF!</f>
        <v>#REF!</v>
      </c>
      <c r="J838" s="16" t="e">
        <f>#REF!</f>
        <v>#REF!</v>
      </c>
      <c r="K838" s="16"/>
      <c r="L838" s="16"/>
      <c r="M838" s="16"/>
      <c r="N838" s="16"/>
      <c r="O838" s="16"/>
    </row>
    <row r="839" spans="1:15" ht="22.5" customHeight="1" thickTop="1" thickBot="1" x14ac:dyDescent="0.25">
      <c r="A839" s="16" t="e">
        <f>#REF!</f>
        <v>#REF!</v>
      </c>
      <c r="B839" s="16" t="e">
        <f>#REF!</f>
        <v>#REF!</v>
      </c>
      <c r="C839" s="16" t="e">
        <f>#REF!</f>
        <v>#REF!</v>
      </c>
      <c r="D839" s="16" t="e">
        <f>#REF!</f>
        <v>#REF!</v>
      </c>
      <c r="E839" s="16" t="e">
        <f>#REF!</f>
        <v>#REF!</v>
      </c>
      <c r="F839" s="16" t="e">
        <f>#REF!</f>
        <v>#REF!</v>
      </c>
      <c r="G839" s="16" t="e">
        <f>#REF!</f>
        <v>#REF!</v>
      </c>
      <c r="H839" s="16" t="e">
        <f>#REF!</f>
        <v>#REF!</v>
      </c>
      <c r="I839" s="16" t="e">
        <f>#REF!</f>
        <v>#REF!</v>
      </c>
      <c r="J839" s="16" t="e">
        <f>#REF!</f>
        <v>#REF!</v>
      </c>
      <c r="K839" s="16"/>
      <c r="L839" s="16"/>
      <c r="M839" s="16"/>
      <c r="N839" s="16"/>
      <c r="O839" s="16"/>
    </row>
    <row r="840" spans="1:15" ht="22.5" customHeight="1" thickTop="1" thickBot="1" x14ac:dyDescent="0.25">
      <c r="A840" s="16" t="e">
        <f>#REF!</f>
        <v>#REF!</v>
      </c>
      <c r="B840" s="16" t="e">
        <f>#REF!</f>
        <v>#REF!</v>
      </c>
      <c r="C840" s="16" t="e">
        <f>#REF!</f>
        <v>#REF!</v>
      </c>
      <c r="D840" s="16" t="e">
        <f>#REF!</f>
        <v>#REF!</v>
      </c>
      <c r="E840" s="16" t="e">
        <f>#REF!</f>
        <v>#REF!</v>
      </c>
      <c r="F840" s="16" t="e">
        <f>#REF!</f>
        <v>#REF!</v>
      </c>
      <c r="G840" s="16" t="e">
        <f>#REF!</f>
        <v>#REF!</v>
      </c>
      <c r="H840" s="16" t="e">
        <f>#REF!</f>
        <v>#REF!</v>
      </c>
      <c r="I840" s="16" t="e">
        <f>#REF!</f>
        <v>#REF!</v>
      </c>
      <c r="J840" s="16" t="e">
        <f>#REF!</f>
        <v>#REF!</v>
      </c>
      <c r="K840" s="16"/>
      <c r="L840" s="16"/>
      <c r="M840" s="16"/>
      <c r="N840" s="16"/>
      <c r="O840" s="16"/>
    </row>
    <row r="841" spans="1:15" ht="22.5" customHeight="1" thickTop="1" thickBot="1" x14ac:dyDescent="0.25">
      <c r="A841" s="16" t="e">
        <f>#REF!</f>
        <v>#REF!</v>
      </c>
      <c r="B841" s="16" t="e">
        <f>#REF!</f>
        <v>#REF!</v>
      </c>
      <c r="C841" s="16" t="e">
        <f>#REF!</f>
        <v>#REF!</v>
      </c>
      <c r="D841" s="16" t="e">
        <f>#REF!</f>
        <v>#REF!</v>
      </c>
      <c r="E841" s="16" t="e">
        <f>#REF!</f>
        <v>#REF!</v>
      </c>
      <c r="F841" s="16" t="e">
        <f>#REF!</f>
        <v>#REF!</v>
      </c>
      <c r="G841" s="16" t="e">
        <f>#REF!</f>
        <v>#REF!</v>
      </c>
      <c r="H841" s="16" t="e">
        <f>#REF!</f>
        <v>#REF!</v>
      </c>
      <c r="I841" s="16" t="e">
        <f>#REF!</f>
        <v>#REF!</v>
      </c>
      <c r="J841" s="16" t="e">
        <f>#REF!</f>
        <v>#REF!</v>
      </c>
      <c r="K841" s="16"/>
      <c r="L841" s="16"/>
      <c r="M841" s="16"/>
      <c r="N841" s="16"/>
      <c r="O841" s="16"/>
    </row>
    <row r="842" spans="1:15" ht="22.5" customHeight="1" thickTop="1" thickBot="1" x14ac:dyDescent="0.25">
      <c r="A842" s="16" t="e">
        <f>#REF!</f>
        <v>#REF!</v>
      </c>
      <c r="B842" s="16" t="e">
        <f>#REF!</f>
        <v>#REF!</v>
      </c>
      <c r="C842" s="16" t="e">
        <f>#REF!</f>
        <v>#REF!</v>
      </c>
      <c r="D842" s="16" t="e">
        <f>#REF!</f>
        <v>#REF!</v>
      </c>
      <c r="E842" s="16" t="e">
        <f>#REF!</f>
        <v>#REF!</v>
      </c>
      <c r="F842" s="16" t="e">
        <f>#REF!</f>
        <v>#REF!</v>
      </c>
      <c r="G842" s="16" t="e">
        <f>#REF!</f>
        <v>#REF!</v>
      </c>
      <c r="H842" s="16" t="e">
        <f>#REF!</f>
        <v>#REF!</v>
      </c>
      <c r="I842" s="16" t="e">
        <f>#REF!</f>
        <v>#REF!</v>
      </c>
      <c r="J842" s="16" t="e">
        <f>#REF!</f>
        <v>#REF!</v>
      </c>
      <c r="K842" s="16"/>
      <c r="L842" s="16"/>
      <c r="M842" s="16"/>
      <c r="N842" s="16"/>
      <c r="O842" s="16"/>
    </row>
    <row r="843" spans="1:15" ht="22.5" customHeight="1" thickTop="1" thickBot="1" x14ac:dyDescent="0.25">
      <c r="A843" s="16" t="e">
        <f>#REF!</f>
        <v>#REF!</v>
      </c>
      <c r="B843" s="16" t="e">
        <f>#REF!</f>
        <v>#REF!</v>
      </c>
      <c r="C843" s="16" t="e">
        <f>#REF!</f>
        <v>#REF!</v>
      </c>
      <c r="D843" s="16" t="e">
        <f>#REF!</f>
        <v>#REF!</v>
      </c>
      <c r="E843" s="16" t="e">
        <f>#REF!</f>
        <v>#REF!</v>
      </c>
      <c r="F843" s="16" t="e">
        <f>#REF!</f>
        <v>#REF!</v>
      </c>
      <c r="G843" s="16" t="e">
        <f>#REF!</f>
        <v>#REF!</v>
      </c>
      <c r="H843" s="16" t="e">
        <f>#REF!</f>
        <v>#REF!</v>
      </c>
      <c r="I843" s="16" t="e">
        <f>#REF!</f>
        <v>#REF!</v>
      </c>
      <c r="J843" s="16" t="e">
        <f>#REF!</f>
        <v>#REF!</v>
      </c>
      <c r="K843" s="16"/>
      <c r="L843" s="16"/>
      <c r="M843" s="16"/>
      <c r="N843" s="16"/>
      <c r="O843" s="16"/>
    </row>
    <row r="844" spans="1:15" ht="22.5" customHeight="1" thickTop="1" thickBot="1" x14ac:dyDescent="0.25">
      <c r="A844" s="16" t="e">
        <f>#REF!</f>
        <v>#REF!</v>
      </c>
      <c r="B844" s="16" t="e">
        <f>#REF!</f>
        <v>#REF!</v>
      </c>
      <c r="C844" s="16" t="e">
        <f>#REF!</f>
        <v>#REF!</v>
      </c>
      <c r="D844" s="16" t="e">
        <f>#REF!</f>
        <v>#REF!</v>
      </c>
      <c r="E844" s="16" t="e">
        <f>#REF!</f>
        <v>#REF!</v>
      </c>
      <c r="F844" s="16" t="e">
        <f>#REF!</f>
        <v>#REF!</v>
      </c>
      <c r="G844" s="16" t="e">
        <f>#REF!</f>
        <v>#REF!</v>
      </c>
      <c r="H844" s="16" t="e">
        <f>#REF!</f>
        <v>#REF!</v>
      </c>
      <c r="I844" s="16" t="e">
        <f>#REF!</f>
        <v>#REF!</v>
      </c>
      <c r="J844" s="16" t="e">
        <f>#REF!</f>
        <v>#REF!</v>
      </c>
      <c r="K844" s="16"/>
      <c r="L844" s="16"/>
      <c r="M844" s="16"/>
      <c r="N844" s="16"/>
      <c r="O844" s="16"/>
    </row>
    <row r="845" spans="1:15" ht="22.5" customHeight="1" thickTop="1" thickBot="1" x14ac:dyDescent="0.25">
      <c r="A845" s="16" t="e">
        <f>#REF!</f>
        <v>#REF!</v>
      </c>
      <c r="B845" s="16" t="e">
        <f>#REF!</f>
        <v>#REF!</v>
      </c>
      <c r="C845" s="16" t="e">
        <f>#REF!</f>
        <v>#REF!</v>
      </c>
      <c r="D845" s="16" t="e">
        <f>#REF!</f>
        <v>#REF!</v>
      </c>
      <c r="E845" s="16" t="e">
        <f>#REF!</f>
        <v>#REF!</v>
      </c>
      <c r="F845" s="16" t="e">
        <f>#REF!</f>
        <v>#REF!</v>
      </c>
      <c r="G845" s="16" t="e">
        <f>#REF!</f>
        <v>#REF!</v>
      </c>
      <c r="H845" s="16" t="e">
        <f>#REF!</f>
        <v>#REF!</v>
      </c>
      <c r="I845" s="16" t="e">
        <f>#REF!</f>
        <v>#REF!</v>
      </c>
      <c r="J845" s="16" t="e">
        <f>#REF!</f>
        <v>#REF!</v>
      </c>
      <c r="K845" s="16" t="s">
        <v>744</v>
      </c>
      <c r="L845" s="16"/>
      <c r="M845" s="16"/>
      <c r="N845" s="16"/>
      <c r="O845" s="16"/>
    </row>
    <row r="846" spans="1:15" ht="22.5" customHeight="1" thickTop="1" thickBot="1" x14ac:dyDescent="0.25">
      <c r="A846" s="16" t="e">
        <f>#REF!</f>
        <v>#REF!</v>
      </c>
      <c r="B846" s="16" t="e">
        <f>#REF!</f>
        <v>#REF!</v>
      </c>
      <c r="C846" s="16" t="e">
        <f>#REF!</f>
        <v>#REF!</v>
      </c>
      <c r="D846" s="16" t="e">
        <f>#REF!</f>
        <v>#REF!</v>
      </c>
      <c r="E846" s="16" t="e">
        <f>#REF!</f>
        <v>#REF!</v>
      </c>
      <c r="F846" s="16" t="e">
        <f>#REF!</f>
        <v>#REF!</v>
      </c>
      <c r="G846" s="16" t="e">
        <f>#REF!</f>
        <v>#REF!</v>
      </c>
      <c r="H846" s="16" t="e">
        <f>#REF!</f>
        <v>#REF!</v>
      </c>
      <c r="I846" s="16" t="e">
        <f>#REF!</f>
        <v>#REF!</v>
      </c>
      <c r="J846" s="16" t="e">
        <f>#REF!</f>
        <v>#REF!</v>
      </c>
      <c r="K846" s="16" t="s">
        <v>744</v>
      </c>
      <c r="L846" s="16"/>
      <c r="M846" s="16"/>
      <c r="N846" s="16"/>
      <c r="O846" s="16"/>
    </row>
    <row r="847" spans="1:15" ht="22.5" customHeight="1" thickTop="1" thickBot="1" x14ac:dyDescent="0.25">
      <c r="A847" s="16" t="e">
        <f>#REF!</f>
        <v>#REF!</v>
      </c>
      <c r="B847" s="16" t="e">
        <f>#REF!</f>
        <v>#REF!</v>
      </c>
      <c r="C847" s="16" t="e">
        <f>#REF!</f>
        <v>#REF!</v>
      </c>
      <c r="D847" s="16" t="e">
        <f>#REF!</f>
        <v>#REF!</v>
      </c>
      <c r="E847" s="16" t="e">
        <f>#REF!</f>
        <v>#REF!</v>
      </c>
      <c r="F847" s="16" t="e">
        <f>#REF!</f>
        <v>#REF!</v>
      </c>
      <c r="G847" s="16" t="e">
        <f>#REF!</f>
        <v>#REF!</v>
      </c>
      <c r="H847" s="16" t="e">
        <f>#REF!</f>
        <v>#REF!</v>
      </c>
      <c r="I847" s="16" t="e">
        <f>#REF!</f>
        <v>#REF!</v>
      </c>
      <c r="J847" s="16" t="e">
        <f>#REF!</f>
        <v>#REF!</v>
      </c>
      <c r="K847" s="16"/>
      <c r="L847" s="16"/>
      <c r="M847" s="16"/>
      <c r="N847" s="16"/>
      <c r="O847" s="16"/>
    </row>
    <row r="848" spans="1:15" ht="22.5" customHeight="1" thickTop="1" thickBot="1" x14ac:dyDescent="0.25">
      <c r="A848" s="16" t="e">
        <f>#REF!</f>
        <v>#REF!</v>
      </c>
      <c r="B848" s="16" t="e">
        <f>#REF!</f>
        <v>#REF!</v>
      </c>
      <c r="C848" s="16" t="e">
        <f>#REF!</f>
        <v>#REF!</v>
      </c>
      <c r="D848" s="16" t="e">
        <f>#REF!</f>
        <v>#REF!</v>
      </c>
      <c r="E848" s="16" t="e">
        <f>#REF!</f>
        <v>#REF!</v>
      </c>
      <c r="F848" s="16" t="e">
        <f>#REF!</f>
        <v>#REF!</v>
      </c>
      <c r="G848" s="16" t="e">
        <f>#REF!</f>
        <v>#REF!</v>
      </c>
      <c r="H848" s="16" t="e">
        <f>#REF!</f>
        <v>#REF!</v>
      </c>
      <c r="I848" s="16" t="e">
        <f>#REF!</f>
        <v>#REF!</v>
      </c>
      <c r="J848" s="16" t="e">
        <f>#REF!</f>
        <v>#REF!</v>
      </c>
      <c r="K848" s="16" t="s">
        <v>744</v>
      </c>
      <c r="L848" s="16"/>
      <c r="M848" s="16"/>
      <c r="N848" s="16"/>
      <c r="O848" s="16"/>
    </row>
    <row r="849" spans="1:15" ht="22.5" customHeight="1" thickTop="1" thickBot="1" x14ac:dyDescent="0.25">
      <c r="A849" s="16" t="e">
        <f>#REF!</f>
        <v>#REF!</v>
      </c>
      <c r="B849" s="16" t="e">
        <f>#REF!</f>
        <v>#REF!</v>
      </c>
      <c r="C849" s="16" t="e">
        <f>#REF!</f>
        <v>#REF!</v>
      </c>
      <c r="D849" s="16" t="e">
        <f>#REF!</f>
        <v>#REF!</v>
      </c>
      <c r="E849" s="16" t="e">
        <f>#REF!</f>
        <v>#REF!</v>
      </c>
      <c r="F849" s="16" t="e">
        <f>#REF!</f>
        <v>#REF!</v>
      </c>
      <c r="G849" s="16" t="e">
        <f>#REF!</f>
        <v>#REF!</v>
      </c>
      <c r="H849" s="16" t="e">
        <f>#REF!</f>
        <v>#REF!</v>
      </c>
      <c r="I849" s="16" t="e">
        <f>#REF!</f>
        <v>#REF!</v>
      </c>
      <c r="J849" s="16" t="e">
        <f>#REF!</f>
        <v>#REF!</v>
      </c>
      <c r="K849" s="16" t="s">
        <v>744</v>
      </c>
      <c r="L849" s="16"/>
      <c r="M849" s="16"/>
      <c r="N849" s="16"/>
      <c r="O849" s="16"/>
    </row>
    <row r="850" spans="1:15" ht="22.5" customHeight="1" thickTop="1" thickBot="1" x14ac:dyDescent="0.25">
      <c r="A850" s="16" t="e">
        <f>#REF!</f>
        <v>#REF!</v>
      </c>
      <c r="B850" s="16" t="e">
        <f>#REF!</f>
        <v>#REF!</v>
      </c>
      <c r="C850" s="16" t="e">
        <f>#REF!</f>
        <v>#REF!</v>
      </c>
      <c r="D850" s="16" t="e">
        <f>#REF!</f>
        <v>#REF!</v>
      </c>
      <c r="E850" s="16" t="e">
        <f>#REF!</f>
        <v>#REF!</v>
      </c>
      <c r="F850" s="16" t="e">
        <f>#REF!</f>
        <v>#REF!</v>
      </c>
      <c r="G850" s="16" t="e">
        <f>#REF!</f>
        <v>#REF!</v>
      </c>
      <c r="H850" s="16" t="e">
        <f>#REF!</f>
        <v>#REF!</v>
      </c>
      <c r="I850" s="16" t="e">
        <f>#REF!</f>
        <v>#REF!</v>
      </c>
      <c r="J850" s="16" t="e">
        <f>#REF!</f>
        <v>#REF!</v>
      </c>
      <c r="K850" s="16" t="s">
        <v>744</v>
      </c>
      <c r="L850" s="16"/>
      <c r="M850" s="16"/>
      <c r="N850" s="16"/>
      <c r="O850" s="16"/>
    </row>
    <row r="851" spans="1:15" ht="22.5" customHeight="1" thickTop="1" thickBot="1" x14ac:dyDescent="0.25">
      <c r="A851" s="16" t="e">
        <f>#REF!</f>
        <v>#REF!</v>
      </c>
      <c r="B851" s="16" t="e">
        <f>#REF!</f>
        <v>#REF!</v>
      </c>
      <c r="C851" s="16" t="e">
        <f>#REF!</f>
        <v>#REF!</v>
      </c>
      <c r="D851" s="16" t="e">
        <f>#REF!</f>
        <v>#REF!</v>
      </c>
      <c r="E851" s="16" t="e">
        <f>#REF!</f>
        <v>#REF!</v>
      </c>
      <c r="F851" s="16" t="e">
        <f>#REF!</f>
        <v>#REF!</v>
      </c>
      <c r="G851" s="16" t="e">
        <f>#REF!</f>
        <v>#REF!</v>
      </c>
      <c r="H851" s="16" t="e">
        <f>#REF!</f>
        <v>#REF!</v>
      </c>
      <c r="I851" s="16" t="e">
        <f>#REF!</f>
        <v>#REF!</v>
      </c>
      <c r="J851" s="16" t="e">
        <f>#REF!</f>
        <v>#REF!</v>
      </c>
      <c r="K851" s="16"/>
      <c r="L851" s="16"/>
      <c r="M851" s="16"/>
      <c r="N851" s="16"/>
      <c r="O851" s="16"/>
    </row>
    <row r="852" spans="1:15" ht="22.5" customHeight="1" thickTop="1" thickBot="1" x14ac:dyDescent="0.25">
      <c r="A852" s="16" t="e">
        <f>#REF!</f>
        <v>#REF!</v>
      </c>
      <c r="B852" s="16" t="e">
        <f>#REF!</f>
        <v>#REF!</v>
      </c>
      <c r="C852" s="16" t="e">
        <f>#REF!</f>
        <v>#REF!</v>
      </c>
      <c r="D852" s="16" t="e">
        <f>#REF!</f>
        <v>#REF!</v>
      </c>
      <c r="E852" s="16" t="e">
        <f>#REF!</f>
        <v>#REF!</v>
      </c>
      <c r="F852" s="16" t="e">
        <f>#REF!</f>
        <v>#REF!</v>
      </c>
      <c r="G852" s="16" t="e">
        <f>#REF!</f>
        <v>#REF!</v>
      </c>
      <c r="H852" s="16" t="e">
        <f>#REF!</f>
        <v>#REF!</v>
      </c>
      <c r="I852" s="16" t="e">
        <f>#REF!</f>
        <v>#REF!</v>
      </c>
      <c r="J852" s="16" t="e">
        <f>#REF!</f>
        <v>#REF!</v>
      </c>
      <c r="K852" s="16" t="s">
        <v>744</v>
      </c>
      <c r="L852" s="16"/>
      <c r="M852" s="16"/>
      <c r="N852" s="16"/>
      <c r="O852" s="16"/>
    </row>
    <row r="853" spans="1:15" ht="22.5" customHeight="1" thickTop="1" thickBot="1" x14ac:dyDescent="0.25">
      <c r="A853" s="16" t="e">
        <f>#REF!</f>
        <v>#REF!</v>
      </c>
      <c r="B853" s="16" t="e">
        <f>#REF!</f>
        <v>#REF!</v>
      </c>
      <c r="C853" s="16" t="e">
        <f>#REF!</f>
        <v>#REF!</v>
      </c>
      <c r="D853" s="16" t="e">
        <f>#REF!</f>
        <v>#REF!</v>
      </c>
      <c r="E853" s="16" t="e">
        <f>#REF!</f>
        <v>#REF!</v>
      </c>
      <c r="F853" s="16" t="e">
        <f>#REF!</f>
        <v>#REF!</v>
      </c>
      <c r="G853" s="16" t="e">
        <f>#REF!</f>
        <v>#REF!</v>
      </c>
      <c r="H853" s="16" t="e">
        <f>#REF!</f>
        <v>#REF!</v>
      </c>
      <c r="I853" s="16" t="e">
        <f>#REF!</f>
        <v>#REF!</v>
      </c>
      <c r="J853" s="16" t="e">
        <f>#REF!</f>
        <v>#REF!</v>
      </c>
      <c r="K853" s="16" t="s">
        <v>744</v>
      </c>
      <c r="L853" s="16"/>
      <c r="M853" s="16"/>
      <c r="N853" s="16"/>
      <c r="O853" s="16"/>
    </row>
    <row r="854" spans="1:15" ht="22.5" customHeight="1" thickTop="1" thickBot="1" x14ac:dyDescent="0.25">
      <c r="A854" s="16" t="e">
        <f>#REF!</f>
        <v>#REF!</v>
      </c>
      <c r="B854" s="16" t="e">
        <f>#REF!</f>
        <v>#REF!</v>
      </c>
      <c r="C854" s="16" t="e">
        <f>#REF!</f>
        <v>#REF!</v>
      </c>
      <c r="D854" s="16" t="e">
        <f>#REF!</f>
        <v>#REF!</v>
      </c>
      <c r="E854" s="16" t="e">
        <f>#REF!</f>
        <v>#REF!</v>
      </c>
      <c r="F854" s="16" t="e">
        <f>#REF!</f>
        <v>#REF!</v>
      </c>
      <c r="G854" s="16" t="e">
        <f>#REF!</f>
        <v>#REF!</v>
      </c>
      <c r="H854" s="16" t="e">
        <f>#REF!</f>
        <v>#REF!</v>
      </c>
      <c r="I854" s="16" t="e">
        <f>#REF!</f>
        <v>#REF!</v>
      </c>
      <c r="J854" s="16" t="e">
        <f>#REF!</f>
        <v>#REF!</v>
      </c>
      <c r="K854" s="16" t="s">
        <v>744</v>
      </c>
      <c r="L854" s="16"/>
      <c r="M854" s="16"/>
      <c r="N854" s="16"/>
      <c r="O854" s="16"/>
    </row>
    <row r="855" spans="1:15" ht="22.5" customHeight="1" thickTop="1" thickBot="1" x14ac:dyDescent="0.25">
      <c r="A855" s="16" t="e">
        <f>#REF!</f>
        <v>#REF!</v>
      </c>
      <c r="B855" s="16" t="e">
        <f>#REF!</f>
        <v>#REF!</v>
      </c>
      <c r="C855" s="16" t="e">
        <f>#REF!</f>
        <v>#REF!</v>
      </c>
      <c r="D855" s="16" t="e">
        <f>#REF!</f>
        <v>#REF!</v>
      </c>
      <c r="E855" s="16" t="e">
        <f>#REF!</f>
        <v>#REF!</v>
      </c>
      <c r="F855" s="16" t="e">
        <f>#REF!</f>
        <v>#REF!</v>
      </c>
      <c r="G855" s="16" t="e">
        <f>#REF!</f>
        <v>#REF!</v>
      </c>
      <c r="H855" s="16" t="e">
        <f>#REF!</f>
        <v>#REF!</v>
      </c>
      <c r="I855" s="16" t="e">
        <f>#REF!</f>
        <v>#REF!</v>
      </c>
      <c r="J855" s="16" t="e">
        <f>#REF!</f>
        <v>#REF!</v>
      </c>
      <c r="K855" s="16" t="s">
        <v>752</v>
      </c>
      <c r="L855" s="16"/>
      <c r="M855" s="16"/>
      <c r="N855" s="16"/>
      <c r="O855" s="16"/>
    </row>
    <row r="856" spans="1:15" ht="22.5" customHeight="1" thickTop="1" thickBot="1" x14ac:dyDescent="0.25">
      <c r="A856" s="16" t="e">
        <f>#REF!</f>
        <v>#REF!</v>
      </c>
      <c r="B856" s="16" t="e">
        <f>#REF!</f>
        <v>#REF!</v>
      </c>
      <c r="C856" s="16" t="e">
        <f>#REF!</f>
        <v>#REF!</v>
      </c>
      <c r="D856" s="16" t="e">
        <f>#REF!</f>
        <v>#REF!</v>
      </c>
      <c r="E856" s="16" t="e">
        <f>#REF!</f>
        <v>#REF!</v>
      </c>
      <c r="F856" s="16" t="e">
        <f>#REF!</f>
        <v>#REF!</v>
      </c>
      <c r="G856" s="16" t="e">
        <f>#REF!</f>
        <v>#REF!</v>
      </c>
      <c r="H856" s="16" t="e">
        <f>#REF!</f>
        <v>#REF!</v>
      </c>
      <c r="I856" s="16" t="e">
        <f>#REF!</f>
        <v>#REF!</v>
      </c>
      <c r="J856" s="16" t="e">
        <f>#REF!</f>
        <v>#REF!</v>
      </c>
      <c r="K856" s="16" t="s">
        <v>752</v>
      </c>
      <c r="L856" s="16"/>
      <c r="M856" s="16"/>
      <c r="N856" s="16"/>
      <c r="O856" s="16"/>
    </row>
    <row r="857" spans="1:15" ht="22.5" customHeight="1" thickTop="1" thickBot="1" x14ac:dyDescent="0.25">
      <c r="A857" s="16" t="e">
        <f>#REF!</f>
        <v>#REF!</v>
      </c>
      <c r="B857" s="16" t="e">
        <f>#REF!</f>
        <v>#REF!</v>
      </c>
      <c r="C857" s="16" t="e">
        <f>#REF!</f>
        <v>#REF!</v>
      </c>
      <c r="D857" s="16" t="e">
        <f>#REF!</f>
        <v>#REF!</v>
      </c>
      <c r="E857" s="16" t="e">
        <f>#REF!</f>
        <v>#REF!</v>
      </c>
      <c r="F857" s="16" t="e">
        <f>#REF!</f>
        <v>#REF!</v>
      </c>
      <c r="G857" s="16" t="e">
        <f>#REF!</f>
        <v>#REF!</v>
      </c>
      <c r="H857" s="16" t="e">
        <f>#REF!</f>
        <v>#REF!</v>
      </c>
      <c r="I857" s="16" t="e">
        <f>#REF!</f>
        <v>#REF!</v>
      </c>
      <c r="J857" s="16" t="e">
        <f>#REF!</f>
        <v>#REF!</v>
      </c>
      <c r="K857" s="16" t="s">
        <v>752</v>
      </c>
      <c r="L857" s="16"/>
      <c r="M857" s="16"/>
      <c r="N857" s="16"/>
      <c r="O857" s="16"/>
    </row>
    <row r="858" spans="1:15" ht="22.5" customHeight="1" thickTop="1" thickBot="1" x14ac:dyDescent="0.25">
      <c r="A858" s="16" t="e">
        <f>#REF!</f>
        <v>#REF!</v>
      </c>
      <c r="B858" s="16" t="e">
        <f>#REF!</f>
        <v>#REF!</v>
      </c>
      <c r="C858" s="16" t="e">
        <f>#REF!</f>
        <v>#REF!</v>
      </c>
      <c r="D858" s="16" t="e">
        <f>#REF!</f>
        <v>#REF!</v>
      </c>
      <c r="E858" s="16" t="e">
        <f>#REF!</f>
        <v>#REF!</v>
      </c>
      <c r="F858" s="16" t="e">
        <f>#REF!</f>
        <v>#REF!</v>
      </c>
      <c r="G858" s="16" t="e">
        <f>#REF!</f>
        <v>#REF!</v>
      </c>
      <c r="H858" s="16" t="e">
        <f>#REF!</f>
        <v>#REF!</v>
      </c>
      <c r="I858" s="16" t="e">
        <f>#REF!</f>
        <v>#REF!</v>
      </c>
      <c r="J858" s="16" t="e">
        <f>#REF!</f>
        <v>#REF!</v>
      </c>
      <c r="K858" s="16" t="s">
        <v>744</v>
      </c>
      <c r="L858" s="16"/>
      <c r="M858" s="16"/>
      <c r="N858" s="16"/>
      <c r="O858" s="16"/>
    </row>
    <row r="859" spans="1:15" ht="22.5" customHeight="1" thickTop="1" thickBot="1" x14ac:dyDescent="0.25">
      <c r="A859" s="16" t="e">
        <f>#REF!</f>
        <v>#REF!</v>
      </c>
      <c r="B859" s="16" t="e">
        <f>#REF!</f>
        <v>#REF!</v>
      </c>
      <c r="C859" s="16" t="e">
        <f>#REF!</f>
        <v>#REF!</v>
      </c>
      <c r="D859" s="16" t="e">
        <f>#REF!</f>
        <v>#REF!</v>
      </c>
      <c r="E859" s="16" t="e">
        <f>#REF!</f>
        <v>#REF!</v>
      </c>
      <c r="F859" s="16" t="e">
        <f>#REF!</f>
        <v>#REF!</v>
      </c>
      <c r="G859" s="16" t="e">
        <f>#REF!</f>
        <v>#REF!</v>
      </c>
      <c r="H859" s="16" t="e">
        <f>#REF!</f>
        <v>#REF!</v>
      </c>
      <c r="I859" s="16" t="e">
        <f>#REF!</f>
        <v>#REF!</v>
      </c>
      <c r="J859" s="16" t="e">
        <f>#REF!</f>
        <v>#REF!</v>
      </c>
      <c r="K859" s="16" t="s">
        <v>744</v>
      </c>
      <c r="L859" s="16"/>
      <c r="M859" s="16"/>
      <c r="N859" s="16"/>
      <c r="O859" s="16"/>
    </row>
    <row r="860" spans="1:15" ht="22.5" customHeight="1" thickTop="1" thickBot="1" x14ac:dyDescent="0.25">
      <c r="A860" s="16" t="e">
        <f>#REF!</f>
        <v>#REF!</v>
      </c>
      <c r="B860" s="16" t="e">
        <f>#REF!</f>
        <v>#REF!</v>
      </c>
      <c r="C860" s="16" t="e">
        <f>#REF!</f>
        <v>#REF!</v>
      </c>
      <c r="D860" s="16" t="e">
        <f>#REF!</f>
        <v>#REF!</v>
      </c>
      <c r="E860" s="16" t="e">
        <f>#REF!</f>
        <v>#REF!</v>
      </c>
      <c r="F860" s="16" t="e">
        <f>#REF!</f>
        <v>#REF!</v>
      </c>
      <c r="G860" s="16" t="e">
        <f>#REF!</f>
        <v>#REF!</v>
      </c>
      <c r="H860" s="16" t="e">
        <f>#REF!</f>
        <v>#REF!</v>
      </c>
      <c r="I860" s="16" t="e">
        <f>#REF!</f>
        <v>#REF!</v>
      </c>
      <c r="J860" s="16" t="e">
        <f>#REF!</f>
        <v>#REF!</v>
      </c>
      <c r="K860" s="16" t="s">
        <v>744</v>
      </c>
      <c r="L860" s="16"/>
      <c r="M860" s="16"/>
      <c r="N860" s="16"/>
      <c r="O860" s="16"/>
    </row>
    <row r="861" spans="1:15" ht="22.5" customHeight="1" thickTop="1" thickBot="1" x14ac:dyDescent="0.25">
      <c r="A861" s="16" t="e">
        <f>#REF!</f>
        <v>#REF!</v>
      </c>
      <c r="B861" s="16" t="e">
        <f>#REF!</f>
        <v>#REF!</v>
      </c>
      <c r="C861" s="16" t="e">
        <f>#REF!</f>
        <v>#REF!</v>
      </c>
      <c r="D861" s="16" t="e">
        <f>#REF!</f>
        <v>#REF!</v>
      </c>
      <c r="E861" s="16" t="e">
        <f>#REF!</f>
        <v>#REF!</v>
      </c>
      <c r="F861" s="16" t="e">
        <f>#REF!</f>
        <v>#REF!</v>
      </c>
      <c r="G861" s="16" t="e">
        <f>#REF!</f>
        <v>#REF!</v>
      </c>
      <c r="H861" s="16" t="e">
        <f>#REF!</f>
        <v>#REF!</v>
      </c>
      <c r="I861" s="16" t="e">
        <f>#REF!</f>
        <v>#REF!</v>
      </c>
      <c r="J861" s="16" t="e">
        <f>#REF!</f>
        <v>#REF!</v>
      </c>
      <c r="K861" s="16"/>
      <c r="L861" s="16"/>
      <c r="M861" s="16"/>
      <c r="N861" s="16"/>
      <c r="O861" s="16"/>
    </row>
    <row r="862" spans="1:15" ht="22.5" customHeight="1" thickTop="1" thickBot="1" x14ac:dyDescent="0.25">
      <c r="A862" s="16" t="e">
        <f>#REF!</f>
        <v>#REF!</v>
      </c>
      <c r="B862" s="16" t="e">
        <f>#REF!</f>
        <v>#REF!</v>
      </c>
      <c r="C862" s="16" t="e">
        <f>#REF!</f>
        <v>#REF!</v>
      </c>
      <c r="D862" s="16" t="e">
        <f>#REF!</f>
        <v>#REF!</v>
      </c>
      <c r="E862" s="16" t="e">
        <f>#REF!</f>
        <v>#REF!</v>
      </c>
      <c r="F862" s="16" t="e">
        <f>#REF!</f>
        <v>#REF!</v>
      </c>
      <c r="G862" s="16" t="e">
        <f>#REF!</f>
        <v>#REF!</v>
      </c>
      <c r="H862" s="16" t="e">
        <f>#REF!</f>
        <v>#REF!</v>
      </c>
      <c r="I862" s="16" t="e">
        <f>#REF!</f>
        <v>#REF!</v>
      </c>
      <c r="J862" s="16" t="e">
        <f>#REF!</f>
        <v>#REF!</v>
      </c>
      <c r="K862" s="16"/>
      <c r="L862" s="16"/>
      <c r="M862" s="16"/>
      <c r="N862" s="16"/>
      <c r="O862" s="16"/>
    </row>
    <row r="863" spans="1:15" ht="22.5" customHeight="1" thickTop="1" thickBot="1" x14ac:dyDescent="0.25">
      <c r="A863" s="16" t="e">
        <f>#REF!</f>
        <v>#REF!</v>
      </c>
      <c r="B863" s="16" t="e">
        <f>#REF!</f>
        <v>#REF!</v>
      </c>
      <c r="C863" s="16" t="e">
        <f>#REF!</f>
        <v>#REF!</v>
      </c>
      <c r="D863" s="16" t="e">
        <f>#REF!</f>
        <v>#REF!</v>
      </c>
      <c r="E863" s="16" t="e">
        <f>#REF!</f>
        <v>#REF!</v>
      </c>
      <c r="F863" s="16" t="e">
        <f>#REF!</f>
        <v>#REF!</v>
      </c>
      <c r="G863" s="16" t="e">
        <f>#REF!</f>
        <v>#REF!</v>
      </c>
      <c r="H863" s="16" t="e">
        <f>#REF!</f>
        <v>#REF!</v>
      </c>
      <c r="I863" s="16" t="e">
        <f>#REF!</f>
        <v>#REF!</v>
      </c>
      <c r="J863" s="16" t="e">
        <f>#REF!</f>
        <v>#REF!</v>
      </c>
      <c r="K863" s="16" t="s">
        <v>744</v>
      </c>
      <c r="L863" s="16"/>
      <c r="M863" s="16"/>
      <c r="N863" s="16"/>
      <c r="O863" s="16"/>
    </row>
    <row r="864" spans="1:15" ht="22.5" customHeight="1" thickTop="1" thickBot="1" x14ac:dyDescent="0.25">
      <c r="A864" s="16" t="e">
        <f>#REF!</f>
        <v>#REF!</v>
      </c>
      <c r="B864" s="16" t="e">
        <f>#REF!</f>
        <v>#REF!</v>
      </c>
      <c r="C864" s="16" t="e">
        <f>#REF!</f>
        <v>#REF!</v>
      </c>
      <c r="D864" s="16" t="e">
        <f>#REF!</f>
        <v>#REF!</v>
      </c>
      <c r="E864" s="16" t="e">
        <f>#REF!</f>
        <v>#REF!</v>
      </c>
      <c r="F864" s="16" t="e">
        <f>#REF!</f>
        <v>#REF!</v>
      </c>
      <c r="G864" s="16" t="e">
        <f>#REF!</f>
        <v>#REF!</v>
      </c>
      <c r="H864" s="16" t="e">
        <f>#REF!</f>
        <v>#REF!</v>
      </c>
      <c r="I864" s="16" t="e">
        <f>#REF!</f>
        <v>#REF!</v>
      </c>
      <c r="J864" s="16" t="e">
        <f>#REF!</f>
        <v>#REF!</v>
      </c>
      <c r="K864" s="16" t="s">
        <v>752</v>
      </c>
      <c r="L864" s="16"/>
      <c r="M864" s="16"/>
      <c r="N864" s="16"/>
      <c r="O864" s="16"/>
    </row>
    <row r="865" spans="1:15" ht="22.5" customHeight="1" thickTop="1" thickBot="1" x14ac:dyDescent="0.25">
      <c r="A865" s="16" t="e">
        <f>#REF!</f>
        <v>#REF!</v>
      </c>
      <c r="B865" s="16" t="e">
        <f>#REF!</f>
        <v>#REF!</v>
      </c>
      <c r="C865" s="16" t="e">
        <f>#REF!</f>
        <v>#REF!</v>
      </c>
      <c r="D865" s="16" t="e">
        <f>#REF!</f>
        <v>#REF!</v>
      </c>
      <c r="E865" s="16" t="e">
        <f>#REF!</f>
        <v>#REF!</v>
      </c>
      <c r="F865" s="16" t="e">
        <f>#REF!</f>
        <v>#REF!</v>
      </c>
      <c r="G865" s="16" t="e">
        <f>#REF!</f>
        <v>#REF!</v>
      </c>
      <c r="H865" s="16" t="e">
        <f>#REF!</f>
        <v>#REF!</v>
      </c>
      <c r="I865" s="16" t="e">
        <f>#REF!</f>
        <v>#REF!</v>
      </c>
      <c r="J865" s="16" t="e">
        <f>#REF!</f>
        <v>#REF!</v>
      </c>
      <c r="K865" s="16" t="s">
        <v>752</v>
      </c>
      <c r="L865" s="16"/>
      <c r="M865" s="16"/>
      <c r="N865" s="16"/>
      <c r="O865" s="16"/>
    </row>
    <row r="866" spans="1:15" ht="22.5" customHeight="1" thickTop="1" thickBot="1" x14ac:dyDescent="0.25">
      <c r="A866" s="16" t="e">
        <f>#REF!</f>
        <v>#REF!</v>
      </c>
      <c r="B866" s="16" t="e">
        <f>#REF!</f>
        <v>#REF!</v>
      </c>
      <c r="C866" s="16" t="e">
        <f>#REF!</f>
        <v>#REF!</v>
      </c>
      <c r="D866" s="16" t="e">
        <f>#REF!</f>
        <v>#REF!</v>
      </c>
      <c r="E866" s="16" t="e">
        <f>#REF!</f>
        <v>#REF!</v>
      </c>
      <c r="F866" s="16" t="e">
        <f>#REF!</f>
        <v>#REF!</v>
      </c>
      <c r="G866" s="16" t="e">
        <f>#REF!</f>
        <v>#REF!</v>
      </c>
      <c r="H866" s="16" t="e">
        <f>#REF!</f>
        <v>#REF!</v>
      </c>
      <c r="I866" s="16" t="e">
        <f>#REF!</f>
        <v>#REF!</v>
      </c>
      <c r="J866" s="16" t="e">
        <f>#REF!</f>
        <v>#REF!</v>
      </c>
      <c r="K866" s="16"/>
      <c r="L866" s="16"/>
      <c r="M866" s="16"/>
      <c r="N866" s="16"/>
      <c r="O866" s="16"/>
    </row>
    <row r="867" spans="1:15" ht="22.5" customHeight="1" thickTop="1" thickBot="1" x14ac:dyDescent="0.25">
      <c r="A867" s="16" t="e">
        <f>#REF!</f>
        <v>#REF!</v>
      </c>
      <c r="B867" s="16" t="e">
        <f>#REF!</f>
        <v>#REF!</v>
      </c>
      <c r="C867" s="16" t="e">
        <f>#REF!</f>
        <v>#REF!</v>
      </c>
      <c r="D867" s="16" t="e">
        <f>#REF!</f>
        <v>#REF!</v>
      </c>
      <c r="E867" s="16" t="e">
        <f>#REF!</f>
        <v>#REF!</v>
      </c>
      <c r="F867" s="16" t="e">
        <f>#REF!</f>
        <v>#REF!</v>
      </c>
      <c r="G867" s="16" t="e">
        <f>#REF!</f>
        <v>#REF!</v>
      </c>
      <c r="H867" s="16" t="e">
        <f>#REF!</f>
        <v>#REF!</v>
      </c>
      <c r="I867" s="16" t="e">
        <f>#REF!</f>
        <v>#REF!</v>
      </c>
      <c r="J867" s="16" t="e">
        <f>#REF!</f>
        <v>#REF!</v>
      </c>
      <c r="K867" s="16"/>
      <c r="L867" s="16"/>
      <c r="M867" s="16"/>
      <c r="N867" s="16"/>
      <c r="O867" s="16"/>
    </row>
    <row r="868" spans="1:15" ht="22.5" customHeight="1" thickTop="1" thickBot="1" x14ac:dyDescent="0.25">
      <c r="A868" s="16" t="e">
        <f>#REF!</f>
        <v>#REF!</v>
      </c>
      <c r="B868" s="16" t="e">
        <f>#REF!</f>
        <v>#REF!</v>
      </c>
      <c r="C868" s="16" t="e">
        <f>#REF!</f>
        <v>#REF!</v>
      </c>
      <c r="D868" s="16" t="e">
        <f>#REF!</f>
        <v>#REF!</v>
      </c>
      <c r="E868" s="16" t="e">
        <f>#REF!</f>
        <v>#REF!</v>
      </c>
      <c r="F868" s="16" t="e">
        <f>#REF!</f>
        <v>#REF!</v>
      </c>
      <c r="G868" s="16" t="e">
        <f>#REF!</f>
        <v>#REF!</v>
      </c>
      <c r="H868" s="16" t="e">
        <f>#REF!</f>
        <v>#REF!</v>
      </c>
      <c r="I868" s="16" t="e">
        <f>#REF!</f>
        <v>#REF!</v>
      </c>
      <c r="J868" s="16" t="e">
        <f>#REF!</f>
        <v>#REF!</v>
      </c>
      <c r="K868" s="16"/>
      <c r="L868" s="16"/>
      <c r="M868" s="16"/>
      <c r="N868" s="16"/>
      <c r="O868" s="16"/>
    </row>
    <row r="869" spans="1:15" ht="22.5" customHeight="1" thickTop="1" thickBot="1" x14ac:dyDescent="0.25">
      <c r="A869" s="16" t="e">
        <f>#REF!</f>
        <v>#REF!</v>
      </c>
      <c r="B869" s="16" t="e">
        <f>#REF!</f>
        <v>#REF!</v>
      </c>
      <c r="C869" s="16" t="e">
        <f>#REF!</f>
        <v>#REF!</v>
      </c>
      <c r="D869" s="16" t="e">
        <f>#REF!</f>
        <v>#REF!</v>
      </c>
      <c r="E869" s="16" t="e">
        <f>#REF!</f>
        <v>#REF!</v>
      </c>
      <c r="F869" s="16" t="e">
        <f>#REF!</f>
        <v>#REF!</v>
      </c>
      <c r="G869" s="16" t="e">
        <f>#REF!</f>
        <v>#REF!</v>
      </c>
      <c r="H869" s="16" t="e">
        <f>#REF!</f>
        <v>#REF!</v>
      </c>
      <c r="I869" s="16" t="e">
        <f>#REF!</f>
        <v>#REF!</v>
      </c>
      <c r="J869" s="16" t="e">
        <f>#REF!</f>
        <v>#REF!</v>
      </c>
      <c r="K869" s="16"/>
      <c r="L869" s="16"/>
      <c r="M869" s="16"/>
      <c r="N869" s="16"/>
      <c r="O869" s="16"/>
    </row>
    <row r="870" spans="1:15" ht="22.5" customHeight="1" thickTop="1" thickBot="1" x14ac:dyDescent="0.25">
      <c r="A870" s="16" t="e">
        <f>#REF!</f>
        <v>#REF!</v>
      </c>
      <c r="B870" s="16" t="e">
        <f>#REF!</f>
        <v>#REF!</v>
      </c>
      <c r="C870" s="16" t="e">
        <f>#REF!</f>
        <v>#REF!</v>
      </c>
      <c r="D870" s="16" t="e">
        <f>#REF!</f>
        <v>#REF!</v>
      </c>
      <c r="E870" s="16" t="e">
        <f>#REF!</f>
        <v>#REF!</v>
      </c>
      <c r="F870" s="16" t="e">
        <f>#REF!</f>
        <v>#REF!</v>
      </c>
      <c r="G870" s="16" t="e">
        <f>#REF!</f>
        <v>#REF!</v>
      </c>
      <c r="H870" s="16" t="e">
        <f>#REF!</f>
        <v>#REF!</v>
      </c>
      <c r="I870" s="16" t="e">
        <f>#REF!</f>
        <v>#REF!</v>
      </c>
      <c r="J870" s="16" t="e">
        <f>#REF!</f>
        <v>#REF!</v>
      </c>
      <c r="K870" s="16"/>
      <c r="L870" s="16"/>
      <c r="M870" s="16"/>
      <c r="N870" s="16"/>
      <c r="O870" s="16"/>
    </row>
    <row r="871" spans="1:15" ht="22.5" customHeight="1" thickTop="1" thickBot="1" x14ac:dyDescent="0.25">
      <c r="A871" s="16" t="e">
        <f>#REF!</f>
        <v>#REF!</v>
      </c>
      <c r="B871" s="16" t="e">
        <f>#REF!</f>
        <v>#REF!</v>
      </c>
      <c r="C871" s="16" t="e">
        <f>#REF!</f>
        <v>#REF!</v>
      </c>
      <c r="D871" s="16" t="e">
        <f>#REF!</f>
        <v>#REF!</v>
      </c>
      <c r="E871" s="16" t="e">
        <f>#REF!</f>
        <v>#REF!</v>
      </c>
      <c r="F871" s="16" t="e">
        <f>#REF!</f>
        <v>#REF!</v>
      </c>
      <c r="G871" s="16" t="e">
        <f>#REF!</f>
        <v>#REF!</v>
      </c>
      <c r="H871" s="16" t="e">
        <f>#REF!</f>
        <v>#REF!</v>
      </c>
      <c r="I871" s="16" t="e">
        <f>#REF!</f>
        <v>#REF!</v>
      </c>
      <c r="J871" s="16" t="e">
        <f>#REF!</f>
        <v>#REF!</v>
      </c>
      <c r="K871" s="16"/>
      <c r="L871" s="16"/>
      <c r="M871" s="16"/>
      <c r="N871" s="16"/>
      <c r="O871" s="16"/>
    </row>
    <row r="872" spans="1:15" ht="22.5" customHeight="1" thickTop="1" thickBot="1" x14ac:dyDescent="0.25">
      <c r="A872" s="16" t="e">
        <f>#REF!</f>
        <v>#REF!</v>
      </c>
      <c r="B872" s="16" t="e">
        <f>#REF!</f>
        <v>#REF!</v>
      </c>
      <c r="C872" s="16" t="e">
        <f>#REF!</f>
        <v>#REF!</v>
      </c>
      <c r="D872" s="16" t="e">
        <f>#REF!</f>
        <v>#REF!</v>
      </c>
      <c r="E872" s="16" t="e">
        <f>#REF!</f>
        <v>#REF!</v>
      </c>
      <c r="F872" s="16" t="e">
        <f>#REF!</f>
        <v>#REF!</v>
      </c>
      <c r="G872" s="16" t="e">
        <f>#REF!</f>
        <v>#REF!</v>
      </c>
      <c r="H872" s="16" t="e">
        <f>#REF!</f>
        <v>#REF!</v>
      </c>
      <c r="I872" s="16" t="e">
        <f>#REF!</f>
        <v>#REF!</v>
      </c>
      <c r="J872" s="16" t="e">
        <f>#REF!</f>
        <v>#REF!</v>
      </c>
      <c r="K872" s="16"/>
      <c r="L872" s="16"/>
      <c r="M872" s="16"/>
      <c r="N872" s="16"/>
      <c r="O872" s="16"/>
    </row>
    <row r="873" spans="1:15" ht="22.5" customHeight="1" thickTop="1" thickBot="1" x14ac:dyDescent="0.25">
      <c r="A873" s="16" t="e">
        <f>#REF!</f>
        <v>#REF!</v>
      </c>
      <c r="B873" s="16" t="e">
        <f>#REF!</f>
        <v>#REF!</v>
      </c>
      <c r="C873" s="16" t="e">
        <f>#REF!</f>
        <v>#REF!</v>
      </c>
      <c r="D873" s="16" t="e">
        <f>#REF!</f>
        <v>#REF!</v>
      </c>
      <c r="E873" s="16" t="e">
        <f>#REF!</f>
        <v>#REF!</v>
      </c>
      <c r="F873" s="16" t="e">
        <f>#REF!</f>
        <v>#REF!</v>
      </c>
      <c r="G873" s="16" t="e">
        <f>#REF!</f>
        <v>#REF!</v>
      </c>
      <c r="H873" s="16" t="e">
        <f>#REF!</f>
        <v>#REF!</v>
      </c>
      <c r="I873" s="16" t="e">
        <f>#REF!</f>
        <v>#REF!</v>
      </c>
      <c r="J873" s="16" t="e">
        <f>#REF!</f>
        <v>#REF!</v>
      </c>
      <c r="K873" s="16"/>
      <c r="L873" s="16"/>
      <c r="M873" s="16"/>
      <c r="N873" s="16"/>
      <c r="O873" s="16"/>
    </row>
    <row r="874" spans="1:15" ht="22.5" customHeight="1" thickTop="1" thickBot="1" x14ac:dyDescent="0.25">
      <c r="A874" s="16" t="e">
        <f>#REF!</f>
        <v>#REF!</v>
      </c>
      <c r="B874" s="16" t="e">
        <f>#REF!</f>
        <v>#REF!</v>
      </c>
      <c r="C874" s="16" t="e">
        <f>#REF!</f>
        <v>#REF!</v>
      </c>
      <c r="D874" s="16" t="e">
        <f>#REF!</f>
        <v>#REF!</v>
      </c>
      <c r="E874" s="16" t="e">
        <f>#REF!</f>
        <v>#REF!</v>
      </c>
      <c r="F874" s="16" t="e">
        <f>#REF!</f>
        <v>#REF!</v>
      </c>
      <c r="G874" s="16" t="e">
        <f>#REF!</f>
        <v>#REF!</v>
      </c>
      <c r="H874" s="16" t="e">
        <f>#REF!</f>
        <v>#REF!</v>
      </c>
      <c r="I874" s="16" t="e">
        <f>#REF!</f>
        <v>#REF!</v>
      </c>
      <c r="J874" s="16" t="e">
        <f>#REF!</f>
        <v>#REF!</v>
      </c>
      <c r="K874" s="16"/>
      <c r="L874" s="16"/>
      <c r="M874" s="16"/>
      <c r="N874" s="16"/>
      <c r="O874" s="16"/>
    </row>
    <row r="875" spans="1:15" ht="22.5" customHeight="1" thickTop="1" thickBot="1" x14ac:dyDescent="0.25">
      <c r="A875" s="16" t="e">
        <f>#REF!</f>
        <v>#REF!</v>
      </c>
      <c r="B875" s="16" t="e">
        <f>#REF!</f>
        <v>#REF!</v>
      </c>
      <c r="C875" s="16" t="e">
        <f>#REF!</f>
        <v>#REF!</v>
      </c>
      <c r="D875" s="16" t="e">
        <f>#REF!</f>
        <v>#REF!</v>
      </c>
      <c r="E875" s="16" t="e">
        <f>#REF!</f>
        <v>#REF!</v>
      </c>
      <c r="F875" s="16" t="e">
        <f>#REF!</f>
        <v>#REF!</v>
      </c>
      <c r="G875" s="16" t="e">
        <f>#REF!</f>
        <v>#REF!</v>
      </c>
      <c r="H875" s="16" t="e">
        <f>#REF!</f>
        <v>#REF!</v>
      </c>
      <c r="I875" s="16" t="e">
        <f>#REF!</f>
        <v>#REF!</v>
      </c>
      <c r="J875" s="16" t="e">
        <f>#REF!</f>
        <v>#REF!</v>
      </c>
      <c r="K875" s="16" t="s">
        <v>752</v>
      </c>
      <c r="L875" s="16"/>
      <c r="M875" s="16"/>
      <c r="N875" s="16"/>
      <c r="O875" s="16"/>
    </row>
    <row r="876" spans="1:15" ht="22.5" customHeight="1" thickTop="1" thickBot="1" x14ac:dyDescent="0.25">
      <c r="A876" s="16" t="e">
        <f>#REF!</f>
        <v>#REF!</v>
      </c>
      <c r="B876" s="16" t="e">
        <f>#REF!</f>
        <v>#REF!</v>
      </c>
      <c r="C876" s="16" t="e">
        <f>#REF!</f>
        <v>#REF!</v>
      </c>
      <c r="D876" s="16" t="e">
        <f>#REF!</f>
        <v>#REF!</v>
      </c>
      <c r="E876" s="16" t="e">
        <f>#REF!</f>
        <v>#REF!</v>
      </c>
      <c r="F876" s="16" t="e">
        <f>#REF!</f>
        <v>#REF!</v>
      </c>
      <c r="G876" s="16" t="e">
        <f>#REF!</f>
        <v>#REF!</v>
      </c>
      <c r="H876" s="16" t="e">
        <f>#REF!</f>
        <v>#REF!</v>
      </c>
      <c r="I876" s="16" t="e">
        <f>#REF!</f>
        <v>#REF!</v>
      </c>
      <c r="J876" s="16" t="e">
        <f>#REF!</f>
        <v>#REF!</v>
      </c>
      <c r="K876" s="16"/>
      <c r="L876" s="16"/>
      <c r="M876" s="16"/>
      <c r="N876" s="16"/>
      <c r="O876" s="16"/>
    </row>
    <row r="877" spans="1:15" ht="22.5" customHeight="1" thickTop="1" thickBot="1" x14ac:dyDescent="0.25">
      <c r="A877" s="16" t="e">
        <f>#REF!</f>
        <v>#REF!</v>
      </c>
      <c r="B877" s="16" t="e">
        <f>#REF!</f>
        <v>#REF!</v>
      </c>
      <c r="C877" s="16" t="e">
        <f>#REF!</f>
        <v>#REF!</v>
      </c>
      <c r="D877" s="16" t="e">
        <f>#REF!</f>
        <v>#REF!</v>
      </c>
      <c r="E877" s="16" t="e">
        <f>#REF!</f>
        <v>#REF!</v>
      </c>
      <c r="F877" s="16" t="e">
        <f>#REF!</f>
        <v>#REF!</v>
      </c>
      <c r="G877" s="16" t="e">
        <f>#REF!</f>
        <v>#REF!</v>
      </c>
      <c r="H877" s="16" t="e">
        <f>#REF!</f>
        <v>#REF!</v>
      </c>
      <c r="I877" s="16" t="e">
        <f>#REF!</f>
        <v>#REF!</v>
      </c>
      <c r="J877" s="16" t="e">
        <f>#REF!</f>
        <v>#REF!</v>
      </c>
      <c r="K877" s="16" t="s">
        <v>752</v>
      </c>
      <c r="L877" s="16"/>
      <c r="M877" s="16"/>
      <c r="N877" s="16"/>
      <c r="O877" s="16"/>
    </row>
    <row r="878" spans="1:15" ht="22.5" customHeight="1" thickTop="1" thickBot="1" x14ac:dyDescent="0.25">
      <c r="A878" s="16" t="e">
        <f>#REF!</f>
        <v>#REF!</v>
      </c>
      <c r="B878" s="16" t="e">
        <f>#REF!</f>
        <v>#REF!</v>
      </c>
      <c r="C878" s="16" t="e">
        <f>#REF!</f>
        <v>#REF!</v>
      </c>
      <c r="D878" s="16" t="e">
        <f>#REF!</f>
        <v>#REF!</v>
      </c>
      <c r="E878" s="16" t="e">
        <f>#REF!</f>
        <v>#REF!</v>
      </c>
      <c r="F878" s="16" t="e">
        <f>#REF!</f>
        <v>#REF!</v>
      </c>
      <c r="G878" s="16" t="e">
        <f>#REF!</f>
        <v>#REF!</v>
      </c>
      <c r="H878" s="16" t="e">
        <f>#REF!</f>
        <v>#REF!</v>
      </c>
      <c r="I878" s="16" t="e">
        <f>#REF!</f>
        <v>#REF!</v>
      </c>
      <c r="J878" s="16" t="e">
        <f>#REF!</f>
        <v>#REF!</v>
      </c>
      <c r="K878" s="16"/>
      <c r="L878" s="16"/>
      <c r="M878" s="16"/>
      <c r="N878" s="16"/>
      <c r="O878" s="16"/>
    </row>
    <row r="879" spans="1:15" ht="22.5" customHeight="1" thickTop="1" thickBot="1" x14ac:dyDescent="0.25">
      <c r="A879" s="16" t="e">
        <f>#REF!</f>
        <v>#REF!</v>
      </c>
      <c r="B879" s="16" t="e">
        <f>#REF!</f>
        <v>#REF!</v>
      </c>
      <c r="C879" s="16" t="e">
        <f>#REF!</f>
        <v>#REF!</v>
      </c>
      <c r="D879" s="16" t="e">
        <f>#REF!</f>
        <v>#REF!</v>
      </c>
      <c r="E879" s="16" t="e">
        <f>#REF!</f>
        <v>#REF!</v>
      </c>
      <c r="F879" s="16" t="e">
        <f>#REF!</f>
        <v>#REF!</v>
      </c>
      <c r="G879" s="16" t="e">
        <f>#REF!</f>
        <v>#REF!</v>
      </c>
      <c r="H879" s="16" t="e">
        <f>#REF!</f>
        <v>#REF!</v>
      </c>
      <c r="I879" s="16" t="e">
        <f>#REF!</f>
        <v>#REF!</v>
      </c>
      <c r="J879" s="16" t="e">
        <f>#REF!</f>
        <v>#REF!</v>
      </c>
      <c r="K879" s="16" t="s">
        <v>752</v>
      </c>
      <c r="L879" s="16"/>
      <c r="M879" s="16"/>
      <c r="N879" s="16"/>
      <c r="O879" s="16"/>
    </row>
    <row r="880" spans="1:15" ht="22.5" customHeight="1" thickTop="1" thickBot="1" x14ac:dyDescent="0.25">
      <c r="A880" s="16" t="e">
        <f>#REF!</f>
        <v>#REF!</v>
      </c>
      <c r="B880" s="16" t="e">
        <f>#REF!</f>
        <v>#REF!</v>
      </c>
      <c r="C880" s="16" t="e">
        <f>#REF!</f>
        <v>#REF!</v>
      </c>
      <c r="D880" s="16" t="e">
        <f>#REF!</f>
        <v>#REF!</v>
      </c>
      <c r="E880" s="16" t="e">
        <f>#REF!</f>
        <v>#REF!</v>
      </c>
      <c r="F880" s="16" t="e">
        <f>#REF!</f>
        <v>#REF!</v>
      </c>
      <c r="G880" s="16" t="e">
        <f>#REF!</f>
        <v>#REF!</v>
      </c>
      <c r="H880" s="16" t="e">
        <f>#REF!</f>
        <v>#REF!</v>
      </c>
      <c r="I880" s="16" t="e">
        <f>#REF!</f>
        <v>#REF!</v>
      </c>
      <c r="J880" s="16" t="e">
        <f>#REF!</f>
        <v>#REF!</v>
      </c>
      <c r="K880" s="16"/>
      <c r="L880" s="16"/>
      <c r="M880" s="16"/>
      <c r="N880" s="16"/>
      <c r="O880" s="16"/>
    </row>
    <row r="881" spans="1:15" ht="22.5" customHeight="1" thickTop="1" thickBot="1" x14ac:dyDescent="0.25">
      <c r="A881" s="16" t="e">
        <f>#REF!</f>
        <v>#REF!</v>
      </c>
      <c r="B881" s="16" t="e">
        <f>#REF!</f>
        <v>#REF!</v>
      </c>
      <c r="C881" s="16" t="e">
        <f>#REF!</f>
        <v>#REF!</v>
      </c>
      <c r="D881" s="16" t="e">
        <f>#REF!</f>
        <v>#REF!</v>
      </c>
      <c r="E881" s="16" t="e">
        <f>#REF!</f>
        <v>#REF!</v>
      </c>
      <c r="F881" s="16" t="e">
        <f>#REF!</f>
        <v>#REF!</v>
      </c>
      <c r="G881" s="16" t="e">
        <f>#REF!</f>
        <v>#REF!</v>
      </c>
      <c r="H881" s="16" t="e">
        <f>#REF!</f>
        <v>#REF!</v>
      </c>
      <c r="I881" s="16" t="e">
        <f>#REF!</f>
        <v>#REF!</v>
      </c>
      <c r="J881" s="16" t="e">
        <f>#REF!</f>
        <v>#REF!</v>
      </c>
      <c r="K881" s="16" t="s">
        <v>752</v>
      </c>
      <c r="L881" s="16"/>
      <c r="M881" s="16"/>
      <c r="N881" s="16"/>
      <c r="O881" s="16"/>
    </row>
    <row r="882" spans="1:15" ht="22.5" customHeight="1" thickTop="1" thickBot="1" x14ac:dyDescent="0.25">
      <c r="A882" s="16" t="e">
        <f>#REF!</f>
        <v>#REF!</v>
      </c>
      <c r="B882" s="16" t="e">
        <f>#REF!</f>
        <v>#REF!</v>
      </c>
      <c r="C882" s="16" t="e">
        <f>#REF!</f>
        <v>#REF!</v>
      </c>
      <c r="D882" s="16" t="e">
        <f>#REF!</f>
        <v>#REF!</v>
      </c>
      <c r="E882" s="16" t="e">
        <f>#REF!</f>
        <v>#REF!</v>
      </c>
      <c r="F882" s="16" t="e">
        <f>#REF!</f>
        <v>#REF!</v>
      </c>
      <c r="G882" s="16" t="e">
        <f>#REF!</f>
        <v>#REF!</v>
      </c>
      <c r="H882" s="16" t="e">
        <f>#REF!</f>
        <v>#REF!</v>
      </c>
      <c r="I882" s="16" t="e">
        <f>#REF!</f>
        <v>#REF!</v>
      </c>
      <c r="J882" s="16" t="e">
        <f>#REF!</f>
        <v>#REF!</v>
      </c>
      <c r="K882" s="16"/>
      <c r="L882" s="16"/>
      <c r="M882" s="16"/>
      <c r="N882" s="16"/>
      <c r="O882" s="16"/>
    </row>
    <row r="883" spans="1:15" ht="22.5" customHeight="1" thickTop="1" thickBot="1" x14ac:dyDescent="0.25">
      <c r="A883" s="16" t="e">
        <f>#REF!</f>
        <v>#REF!</v>
      </c>
      <c r="B883" s="16" t="e">
        <f>#REF!</f>
        <v>#REF!</v>
      </c>
      <c r="C883" s="16" t="e">
        <f>#REF!</f>
        <v>#REF!</v>
      </c>
      <c r="D883" s="16" t="e">
        <f>#REF!</f>
        <v>#REF!</v>
      </c>
      <c r="E883" s="16" t="e">
        <f>#REF!</f>
        <v>#REF!</v>
      </c>
      <c r="F883" s="16" t="e">
        <f>#REF!</f>
        <v>#REF!</v>
      </c>
      <c r="G883" s="16" t="e">
        <f>#REF!</f>
        <v>#REF!</v>
      </c>
      <c r="H883" s="16" t="e">
        <f>#REF!</f>
        <v>#REF!</v>
      </c>
      <c r="I883" s="16" t="e">
        <f>#REF!</f>
        <v>#REF!</v>
      </c>
      <c r="J883" s="16" t="e">
        <f>#REF!</f>
        <v>#REF!</v>
      </c>
      <c r="K883" s="16"/>
      <c r="L883" s="16"/>
      <c r="M883" s="16"/>
      <c r="N883" s="16"/>
      <c r="O883" s="16"/>
    </row>
    <row r="884" spans="1:15" ht="22.5" customHeight="1" thickTop="1" thickBot="1" x14ac:dyDescent="0.25">
      <c r="A884" s="16" t="e">
        <f>#REF!</f>
        <v>#REF!</v>
      </c>
      <c r="B884" s="16" t="e">
        <f>#REF!</f>
        <v>#REF!</v>
      </c>
      <c r="C884" s="16" t="e">
        <f>#REF!</f>
        <v>#REF!</v>
      </c>
      <c r="D884" s="16" t="e">
        <f>#REF!</f>
        <v>#REF!</v>
      </c>
      <c r="E884" s="16" t="e">
        <f>#REF!</f>
        <v>#REF!</v>
      </c>
      <c r="F884" s="16" t="e">
        <f>#REF!</f>
        <v>#REF!</v>
      </c>
      <c r="G884" s="16" t="e">
        <f>#REF!</f>
        <v>#REF!</v>
      </c>
      <c r="H884" s="16" t="e">
        <f>#REF!</f>
        <v>#REF!</v>
      </c>
      <c r="I884" s="16" t="e">
        <f>#REF!</f>
        <v>#REF!</v>
      </c>
      <c r="J884" s="16" t="e">
        <f>#REF!</f>
        <v>#REF!</v>
      </c>
      <c r="K884" s="16" t="s">
        <v>752</v>
      </c>
      <c r="L884" s="16"/>
      <c r="M884" s="16"/>
      <c r="N884" s="16"/>
      <c r="O884" s="16"/>
    </row>
    <row r="885" spans="1:15" ht="22.5" customHeight="1" thickTop="1" thickBot="1" x14ac:dyDescent="0.25">
      <c r="A885" s="16" t="e">
        <f>#REF!</f>
        <v>#REF!</v>
      </c>
      <c r="B885" s="16" t="e">
        <f>#REF!</f>
        <v>#REF!</v>
      </c>
      <c r="C885" s="16" t="e">
        <f>#REF!</f>
        <v>#REF!</v>
      </c>
      <c r="D885" s="16" t="e">
        <f>#REF!</f>
        <v>#REF!</v>
      </c>
      <c r="E885" s="16" t="e">
        <f>#REF!</f>
        <v>#REF!</v>
      </c>
      <c r="F885" s="16" t="e">
        <f>#REF!</f>
        <v>#REF!</v>
      </c>
      <c r="G885" s="16" t="e">
        <f>#REF!</f>
        <v>#REF!</v>
      </c>
      <c r="H885" s="16" t="e">
        <f>#REF!</f>
        <v>#REF!</v>
      </c>
      <c r="I885" s="16" t="e">
        <f>#REF!</f>
        <v>#REF!</v>
      </c>
      <c r="J885" s="16" t="e">
        <f>#REF!</f>
        <v>#REF!</v>
      </c>
      <c r="K885" s="16" t="s">
        <v>752</v>
      </c>
      <c r="L885" s="16"/>
      <c r="M885" s="16"/>
      <c r="N885" s="16"/>
      <c r="O885" s="16"/>
    </row>
    <row r="886" spans="1:15" ht="22.5" customHeight="1" thickTop="1" thickBot="1" x14ac:dyDescent="0.25">
      <c r="A886" s="16" t="e">
        <f>#REF!</f>
        <v>#REF!</v>
      </c>
      <c r="B886" s="16" t="e">
        <f>#REF!</f>
        <v>#REF!</v>
      </c>
      <c r="C886" s="16" t="e">
        <f>#REF!</f>
        <v>#REF!</v>
      </c>
      <c r="D886" s="16" t="e">
        <f>#REF!</f>
        <v>#REF!</v>
      </c>
      <c r="E886" s="16" t="e">
        <f>#REF!</f>
        <v>#REF!</v>
      </c>
      <c r="F886" s="16" t="e">
        <f>#REF!</f>
        <v>#REF!</v>
      </c>
      <c r="G886" s="16" t="e">
        <f>#REF!</f>
        <v>#REF!</v>
      </c>
      <c r="H886" s="16" t="e">
        <f>#REF!</f>
        <v>#REF!</v>
      </c>
      <c r="I886" s="16" t="e">
        <f>#REF!</f>
        <v>#REF!</v>
      </c>
      <c r="J886" s="16" t="e">
        <f>#REF!</f>
        <v>#REF!</v>
      </c>
      <c r="K886" s="16" t="s">
        <v>752</v>
      </c>
      <c r="L886" s="16"/>
      <c r="M886" s="16"/>
      <c r="N886" s="16"/>
      <c r="O886" s="16"/>
    </row>
    <row r="887" spans="1:15" ht="22.5" customHeight="1" thickTop="1" thickBot="1" x14ac:dyDescent="0.25">
      <c r="A887" s="16" t="e">
        <f>#REF!</f>
        <v>#REF!</v>
      </c>
      <c r="B887" s="16" t="e">
        <f>#REF!</f>
        <v>#REF!</v>
      </c>
      <c r="C887" s="16" t="e">
        <f>#REF!</f>
        <v>#REF!</v>
      </c>
      <c r="D887" s="16" t="e">
        <f>#REF!</f>
        <v>#REF!</v>
      </c>
      <c r="E887" s="16" t="e">
        <f>#REF!</f>
        <v>#REF!</v>
      </c>
      <c r="F887" s="16" t="e">
        <f>#REF!</f>
        <v>#REF!</v>
      </c>
      <c r="G887" s="16" t="e">
        <f>#REF!</f>
        <v>#REF!</v>
      </c>
      <c r="H887" s="16" t="e">
        <f>#REF!</f>
        <v>#REF!</v>
      </c>
      <c r="I887" s="16" t="e">
        <f>#REF!</f>
        <v>#REF!</v>
      </c>
      <c r="J887" s="16" t="e">
        <f>#REF!</f>
        <v>#REF!</v>
      </c>
      <c r="K887" s="16" t="s">
        <v>752</v>
      </c>
      <c r="L887" s="16"/>
      <c r="M887" s="16"/>
      <c r="N887" s="16"/>
      <c r="O887" s="16"/>
    </row>
    <row r="888" spans="1:15" ht="22.5" customHeight="1" thickTop="1" thickBot="1" x14ac:dyDescent="0.25">
      <c r="A888" s="16" t="e">
        <f>#REF!</f>
        <v>#REF!</v>
      </c>
      <c r="B888" s="16" t="e">
        <f>#REF!</f>
        <v>#REF!</v>
      </c>
      <c r="C888" s="16" t="e">
        <f>#REF!</f>
        <v>#REF!</v>
      </c>
      <c r="D888" s="16" t="e">
        <f>#REF!</f>
        <v>#REF!</v>
      </c>
      <c r="E888" s="16" t="e">
        <f>#REF!</f>
        <v>#REF!</v>
      </c>
      <c r="F888" s="16" t="e">
        <f>#REF!</f>
        <v>#REF!</v>
      </c>
      <c r="G888" s="16" t="e">
        <f>#REF!</f>
        <v>#REF!</v>
      </c>
      <c r="H888" s="16" t="e">
        <f>#REF!</f>
        <v>#REF!</v>
      </c>
      <c r="I888" s="16" t="e">
        <f>#REF!</f>
        <v>#REF!</v>
      </c>
      <c r="J888" s="16" t="e">
        <f>#REF!</f>
        <v>#REF!</v>
      </c>
      <c r="K888" s="16" t="s">
        <v>752</v>
      </c>
      <c r="L888" s="16"/>
      <c r="M888" s="16"/>
      <c r="N888" s="16"/>
      <c r="O888" s="16"/>
    </row>
    <row r="889" spans="1:15" ht="22.5" customHeight="1" thickTop="1" thickBot="1" x14ac:dyDescent="0.25">
      <c r="A889" s="16" t="e">
        <f>#REF!</f>
        <v>#REF!</v>
      </c>
      <c r="B889" s="16" t="e">
        <f>#REF!</f>
        <v>#REF!</v>
      </c>
      <c r="C889" s="16" t="e">
        <f>#REF!</f>
        <v>#REF!</v>
      </c>
      <c r="D889" s="16" t="e">
        <f>#REF!</f>
        <v>#REF!</v>
      </c>
      <c r="E889" s="16" t="e">
        <f>#REF!</f>
        <v>#REF!</v>
      </c>
      <c r="F889" s="16" t="e">
        <f>#REF!</f>
        <v>#REF!</v>
      </c>
      <c r="G889" s="16" t="e">
        <f>#REF!</f>
        <v>#REF!</v>
      </c>
      <c r="H889" s="16" t="e">
        <f>#REF!</f>
        <v>#REF!</v>
      </c>
      <c r="I889" s="16" t="e">
        <f>#REF!</f>
        <v>#REF!</v>
      </c>
      <c r="J889" s="16" t="e">
        <f>#REF!</f>
        <v>#REF!</v>
      </c>
      <c r="K889" s="16"/>
      <c r="L889" s="16"/>
      <c r="M889" s="16"/>
      <c r="N889" s="16"/>
      <c r="O889" s="16"/>
    </row>
    <row r="890" spans="1:15" ht="22.5" customHeight="1" thickTop="1" thickBot="1" x14ac:dyDescent="0.25">
      <c r="A890" s="16" t="e">
        <f>#REF!</f>
        <v>#REF!</v>
      </c>
      <c r="B890" s="16" t="e">
        <f>#REF!</f>
        <v>#REF!</v>
      </c>
      <c r="C890" s="16" t="e">
        <f>#REF!</f>
        <v>#REF!</v>
      </c>
      <c r="D890" s="16" t="e">
        <f>#REF!</f>
        <v>#REF!</v>
      </c>
      <c r="E890" s="16" t="e">
        <f>#REF!</f>
        <v>#REF!</v>
      </c>
      <c r="F890" s="16" t="e">
        <f>#REF!</f>
        <v>#REF!</v>
      </c>
      <c r="G890" s="16" t="e">
        <f>#REF!</f>
        <v>#REF!</v>
      </c>
      <c r="H890" s="16" t="e">
        <f>#REF!</f>
        <v>#REF!</v>
      </c>
      <c r="I890" s="16" t="e">
        <f>#REF!</f>
        <v>#REF!</v>
      </c>
      <c r="J890" s="16" t="e">
        <f>#REF!</f>
        <v>#REF!</v>
      </c>
      <c r="K890" s="16" t="s">
        <v>752</v>
      </c>
      <c r="L890" s="16"/>
      <c r="M890" s="16"/>
      <c r="N890" s="16"/>
      <c r="O890" s="16"/>
    </row>
    <row r="891" spans="1:15" ht="22.5" customHeight="1" thickTop="1" thickBot="1" x14ac:dyDescent="0.25">
      <c r="A891" s="16" t="e">
        <f>#REF!</f>
        <v>#REF!</v>
      </c>
      <c r="B891" s="16" t="e">
        <f>#REF!</f>
        <v>#REF!</v>
      </c>
      <c r="C891" s="16" t="e">
        <f>#REF!</f>
        <v>#REF!</v>
      </c>
      <c r="D891" s="16" t="e">
        <f>#REF!</f>
        <v>#REF!</v>
      </c>
      <c r="E891" s="16" t="e">
        <f>#REF!</f>
        <v>#REF!</v>
      </c>
      <c r="F891" s="16" t="e">
        <f>#REF!</f>
        <v>#REF!</v>
      </c>
      <c r="G891" s="16" t="e">
        <f>#REF!</f>
        <v>#REF!</v>
      </c>
      <c r="H891" s="16" t="e">
        <f>#REF!</f>
        <v>#REF!</v>
      </c>
      <c r="I891" s="16" t="e">
        <f>#REF!</f>
        <v>#REF!</v>
      </c>
      <c r="J891" s="16" t="e">
        <f>#REF!</f>
        <v>#REF!</v>
      </c>
      <c r="K891" s="16" t="s">
        <v>752</v>
      </c>
      <c r="L891" s="16"/>
      <c r="M891" s="16"/>
      <c r="N891" s="16"/>
      <c r="O891" s="16"/>
    </row>
    <row r="892" spans="1:15" ht="22.5" customHeight="1" thickTop="1" thickBot="1" x14ac:dyDescent="0.25">
      <c r="A892" s="16" t="e">
        <f>#REF!</f>
        <v>#REF!</v>
      </c>
      <c r="B892" s="16" t="e">
        <f>#REF!</f>
        <v>#REF!</v>
      </c>
      <c r="C892" s="16" t="e">
        <f>#REF!</f>
        <v>#REF!</v>
      </c>
      <c r="D892" s="16" t="e">
        <f>#REF!</f>
        <v>#REF!</v>
      </c>
      <c r="E892" s="16" t="e">
        <f>#REF!</f>
        <v>#REF!</v>
      </c>
      <c r="F892" s="16" t="e">
        <f>#REF!</f>
        <v>#REF!</v>
      </c>
      <c r="G892" s="16" t="e">
        <f>#REF!</f>
        <v>#REF!</v>
      </c>
      <c r="H892" s="16" t="e">
        <f>#REF!</f>
        <v>#REF!</v>
      </c>
      <c r="I892" s="16" t="e">
        <f>#REF!</f>
        <v>#REF!</v>
      </c>
      <c r="J892" s="16" t="e">
        <f>#REF!</f>
        <v>#REF!</v>
      </c>
      <c r="K892" s="16" t="s">
        <v>752</v>
      </c>
      <c r="L892" s="16"/>
      <c r="M892" s="16"/>
      <c r="N892" s="16"/>
      <c r="O892" s="16"/>
    </row>
    <row r="893" spans="1:15" ht="22.5" customHeight="1" thickTop="1" thickBot="1" x14ac:dyDescent="0.25">
      <c r="A893" s="16" t="e">
        <f>#REF!</f>
        <v>#REF!</v>
      </c>
      <c r="B893" s="16" t="e">
        <f>#REF!</f>
        <v>#REF!</v>
      </c>
      <c r="C893" s="16" t="e">
        <f>#REF!</f>
        <v>#REF!</v>
      </c>
      <c r="D893" s="16" t="e">
        <f>#REF!</f>
        <v>#REF!</v>
      </c>
      <c r="E893" s="16" t="e">
        <f>#REF!</f>
        <v>#REF!</v>
      </c>
      <c r="F893" s="16" t="e">
        <f>#REF!</f>
        <v>#REF!</v>
      </c>
      <c r="G893" s="16" t="e">
        <f>#REF!</f>
        <v>#REF!</v>
      </c>
      <c r="H893" s="16" t="e">
        <f>#REF!</f>
        <v>#REF!</v>
      </c>
      <c r="I893" s="16" t="e">
        <f>#REF!</f>
        <v>#REF!</v>
      </c>
      <c r="J893" s="16" t="e">
        <f>#REF!</f>
        <v>#REF!</v>
      </c>
      <c r="K893" s="16"/>
      <c r="L893" s="16"/>
      <c r="M893" s="16"/>
      <c r="N893" s="16"/>
      <c r="O893" s="16"/>
    </row>
    <row r="894" spans="1:15" ht="22.5" customHeight="1" thickTop="1" thickBot="1" x14ac:dyDescent="0.25">
      <c r="A894" s="16" t="e">
        <f>#REF!</f>
        <v>#REF!</v>
      </c>
      <c r="B894" s="16" t="e">
        <f>#REF!</f>
        <v>#REF!</v>
      </c>
      <c r="C894" s="16" t="e">
        <f>#REF!</f>
        <v>#REF!</v>
      </c>
      <c r="D894" s="16" t="e">
        <f>#REF!</f>
        <v>#REF!</v>
      </c>
      <c r="E894" s="16" t="e">
        <f>#REF!</f>
        <v>#REF!</v>
      </c>
      <c r="F894" s="16" t="e">
        <f>#REF!</f>
        <v>#REF!</v>
      </c>
      <c r="G894" s="16" t="e">
        <f>#REF!</f>
        <v>#REF!</v>
      </c>
      <c r="H894" s="16" t="e">
        <f>#REF!</f>
        <v>#REF!</v>
      </c>
      <c r="I894" s="16" t="e">
        <f>#REF!</f>
        <v>#REF!</v>
      </c>
      <c r="J894" s="16" t="e">
        <f>#REF!</f>
        <v>#REF!</v>
      </c>
      <c r="K894" s="16" t="s">
        <v>752</v>
      </c>
      <c r="L894" s="16"/>
      <c r="M894" s="16"/>
      <c r="N894" s="16"/>
      <c r="O894" s="16"/>
    </row>
    <row r="895" spans="1:15" ht="22.5" customHeight="1" thickTop="1" thickBot="1" x14ac:dyDescent="0.25">
      <c r="A895" s="16" t="e">
        <f>#REF!</f>
        <v>#REF!</v>
      </c>
      <c r="B895" s="16" t="e">
        <f>#REF!</f>
        <v>#REF!</v>
      </c>
      <c r="C895" s="16" t="e">
        <f>#REF!</f>
        <v>#REF!</v>
      </c>
      <c r="D895" s="16" t="e">
        <f>#REF!</f>
        <v>#REF!</v>
      </c>
      <c r="E895" s="16" t="e">
        <f>#REF!</f>
        <v>#REF!</v>
      </c>
      <c r="F895" s="16" t="e">
        <f>#REF!</f>
        <v>#REF!</v>
      </c>
      <c r="G895" s="16" t="e">
        <f>#REF!</f>
        <v>#REF!</v>
      </c>
      <c r="H895" s="16" t="e">
        <f>#REF!</f>
        <v>#REF!</v>
      </c>
      <c r="I895" s="16" t="e">
        <f>#REF!</f>
        <v>#REF!</v>
      </c>
      <c r="J895" s="16" t="e">
        <f>#REF!</f>
        <v>#REF!</v>
      </c>
      <c r="K895" s="16"/>
      <c r="L895" s="16"/>
      <c r="M895" s="16"/>
      <c r="N895" s="16"/>
      <c r="O895" s="16"/>
    </row>
    <row r="896" spans="1:15" ht="22.5" customHeight="1" thickTop="1" thickBot="1" x14ac:dyDescent="0.25">
      <c r="A896" s="16" t="e">
        <f>#REF!</f>
        <v>#REF!</v>
      </c>
      <c r="B896" s="16" t="e">
        <f>#REF!</f>
        <v>#REF!</v>
      </c>
      <c r="C896" s="16" t="e">
        <f>#REF!</f>
        <v>#REF!</v>
      </c>
      <c r="D896" s="16" t="e">
        <f>#REF!</f>
        <v>#REF!</v>
      </c>
      <c r="E896" s="16" t="e">
        <f>#REF!</f>
        <v>#REF!</v>
      </c>
      <c r="F896" s="16" t="e">
        <f>#REF!</f>
        <v>#REF!</v>
      </c>
      <c r="G896" s="16" t="e">
        <f>#REF!</f>
        <v>#REF!</v>
      </c>
      <c r="H896" s="16" t="e">
        <f>#REF!</f>
        <v>#REF!</v>
      </c>
      <c r="I896" s="16" t="e">
        <f>#REF!</f>
        <v>#REF!</v>
      </c>
      <c r="J896" s="16" t="e">
        <f>#REF!</f>
        <v>#REF!</v>
      </c>
      <c r="K896" s="16"/>
      <c r="L896" s="16"/>
      <c r="M896" s="16"/>
      <c r="N896" s="16"/>
      <c r="O896" s="16"/>
    </row>
    <row r="897" spans="1:15" ht="22.5" customHeight="1" thickTop="1" thickBot="1" x14ac:dyDescent="0.25">
      <c r="A897" s="16" t="e">
        <f>#REF!</f>
        <v>#REF!</v>
      </c>
      <c r="B897" s="16" t="e">
        <f>#REF!</f>
        <v>#REF!</v>
      </c>
      <c r="C897" s="16" t="e">
        <f>#REF!</f>
        <v>#REF!</v>
      </c>
      <c r="D897" s="16" t="e">
        <f>#REF!</f>
        <v>#REF!</v>
      </c>
      <c r="E897" s="16" t="e">
        <f>#REF!</f>
        <v>#REF!</v>
      </c>
      <c r="F897" s="16" t="e">
        <f>#REF!</f>
        <v>#REF!</v>
      </c>
      <c r="G897" s="16" t="e">
        <f>#REF!</f>
        <v>#REF!</v>
      </c>
      <c r="H897" s="16" t="e">
        <f>#REF!</f>
        <v>#REF!</v>
      </c>
      <c r="I897" s="16" t="e">
        <f>#REF!</f>
        <v>#REF!</v>
      </c>
      <c r="J897" s="16" t="e">
        <f>#REF!</f>
        <v>#REF!</v>
      </c>
      <c r="K897" s="16"/>
      <c r="L897" s="16"/>
      <c r="M897" s="16"/>
      <c r="N897" s="16"/>
      <c r="O897" s="16"/>
    </row>
    <row r="898" spans="1:15" ht="22.5" customHeight="1" thickTop="1" thickBot="1" x14ac:dyDescent="0.25">
      <c r="A898" s="16" t="e">
        <f>#REF!</f>
        <v>#REF!</v>
      </c>
      <c r="B898" s="16" t="e">
        <f>#REF!</f>
        <v>#REF!</v>
      </c>
      <c r="C898" s="16" t="e">
        <f>#REF!</f>
        <v>#REF!</v>
      </c>
      <c r="D898" s="16" t="e">
        <f>#REF!</f>
        <v>#REF!</v>
      </c>
      <c r="E898" s="16" t="e">
        <f>#REF!</f>
        <v>#REF!</v>
      </c>
      <c r="F898" s="16" t="e">
        <f>#REF!</f>
        <v>#REF!</v>
      </c>
      <c r="G898" s="16" t="e">
        <f>#REF!</f>
        <v>#REF!</v>
      </c>
      <c r="H898" s="16" t="e">
        <f>#REF!</f>
        <v>#REF!</v>
      </c>
      <c r="I898" s="16" t="e">
        <f>#REF!</f>
        <v>#REF!</v>
      </c>
      <c r="J898" s="16" t="e">
        <f>#REF!</f>
        <v>#REF!</v>
      </c>
      <c r="K898" s="16"/>
      <c r="L898" s="16"/>
      <c r="M898" s="16"/>
      <c r="N898" s="16"/>
      <c r="O898" s="16"/>
    </row>
    <row r="899" spans="1:15" ht="22.5" customHeight="1" thickTop="1" thickBot="1" x14ac:dyDescent="0.25">
      <c r="A899" s="16" t="e">
        <f>#REF!</f>
        <v>#REF!</v>
      </c>
      <c r="B899" s="16" t="e">
        <f>#REF!</f>
        <v>#REF!</v>
      </c>
      <c r="C899" s="16" t="e">
        <f>#REF!</f>
        <v>#REF!</v>
      </c>
      <c r="D899" s="16" t="e">
        <f>#REF!</f>
        <v>#REF!</v>
      </c>
      <c r="E899" s="16" t="e">
        <f>#REF!</f>
        <v>#REF!</v>
      </c>
      <c r="F899" s="16" t="e">
        <f>#REF!</f>
        <v>#REF!</v>
      </c>
      <c r="G899" s="16" t="e">
        <f>#REF!</f>
        <v>#REF!</v>
      </c>
      <c r="H899" s="16" t="e">
        <f>#REF!</f>
        <v>#REF!</v>
      </c>
      <c r="I899" s="16" t="e">
        <f>#REF!</f>
        <v>#REF!</v>
      </c>
      <c r="J899" s="16" t="e">
        <f>#REF!</f>
        <v>#REF!</v>
      </c>
      <c r="K899" s="16" t="s">
        <v>739</v>
      </c>
      <c r="L899" s="16" t="s">
        <v>741</v>
      </c>
      <c r="M899" s="16" t="s">
        <v>797</v>
      </c>
      <c r="N899" s="16" t="s">
        <v>48</v>
      </c>
      <c r="O899" s="16" t="s">
        <v>798</v>
      </c>
    </row>
    <row r="900" spans="1:15" ht="22.5" customHeight="1" thickTop="1" thickBot="1" x14ac:dyDescent="0.25">
      <c r="A900" s="16" t="e">
        <f>#REF!</f>
        <v>#REF!</v>
      </c>
      <c r="B900" s="16" t="e">
        <f>#REF!</f>
        <v>#REF!</v>
      </c>
      <c r="C900" s="16" t="e">
        <f>#REF!</f>
        <v>#REF!</v>
      </c>
      <c r="D900" s="16" t="e">
        <f>#REF!</f>
        <v>#REF!</v>
      </c>
      <c r="E900" s="16" t="e">
        <f>#REF!</f>
        <v>#REF!</v>
      </c>
      <c r="F900" s="16" t="e">
        <f>#REF!</f>
        <v>#REF!</v>
      </c>
      <c r="G900" s="16" t="e">
        <f>#REF!</f>
        <v>#REF!</v>
      </c>
      <c r="H900" s="16" t="e">
        <f>#REF!</f>
        <v>#REF!</v>
      </c>
      <c r="I900" s="16" t="e">
        <f>#REF!</f>
        <v>#REF!</v>
      </c>
      <c r="J900" s="16" t="e">
        <f>#REF!</f>
        <v>#REF!</v>
      </c>
      <c r="K900" s="16"/>
      <c r="L900" s="16"/>
      <c r="M900" s="16"/>
      <c r="N900" s="16"/>
      <c r="O900" s="16"/>
    </row>
    <row r="901" spans="1:15" ht="22.5" customHeight="1" thickTop="1" thickBot="1" x14ac:dyDescent="0.25">
      <c r="A901" s="16" t="e">
        <f>#REF!</f>
        <v>#REF!</v>
      </c>
      <c r="B901" s="16" t="e">
        <f>#REF!</f>
        <v>#REF!</v>
      </c>
      <c r="C901" s="16" t="e">
        <f>#REF!</f>
        <v>#REF!</v>
      </c>
      <c r="D901" s="16" t="e">
        <f>#REF!</f>
        <v>#REF!</v>
      </c>
      <c r="E901" s="16" t="e">
        <f>#REF!</f>
        <v>#REF!</v>
      </c>
      <c r="F901" s="16" t="e">
        <f>#REF!</f>
        <v>#REF!</v>
      </c>
      <c r="G901" s="16" t="e">
        <f>#REF!</f>
        <v>#REF!</v>
      </c>
      <c r="H901" s="16" t="e">
        <f>#REF!</f>
        <v>#REF!</v>
      </c>
      <c r="I901" s="16" t="e">
        <f>#REF!</f>
        <v>#REF!</v>
      </c>
      <c r="J901" s="16" t="e">
        <f>#REF!</f>
        <v>#REF!</v>
      </c>
      <c r="K901" s="16" t="s">
        <v>752</v>
      </c>
      <c r="L901" s="16"/>
      <c r="M901" s="16"/>
      <c r="N901" s="16"/>
      <c r="O901" s="16"/>
    </row>
    <row r="902" spans="1:15" ht="22.5" customHeight="1" thickTop="1" thickBot="1" x14ac:dyDescent="0.25">
      <c r="A902" s="16" t="e">
        <f>#REF!</f>
        <v>#REF!</v>
      </c>
      <c r="B902" s="16" t="e">
        <f>#REF!</f>
        <v>#REF!</v>
      </c>
      <c r="C902" s="16" t="e">
        <f>#REF!</f>
        <v>#REF!</v>
      </c>
      <c r="D902" s="16" t="e">
        <f>#REF!</f>
        <v>#REF!</v>
      </c>
      <c r="E902" s="16" t="e">
        <f>#REF!</f>
        <v>#REF!</v>
      </c>
      <c r="F902" s="16" t="e">
        <f>#REF!</f>
        <v>#REF!</v>
      </c>
      <c r="G902" s="16" t="e">
        <f>#REF!</f>
        <v>#REF!</v>
      </c>
      <c r="H902" s="16" t="e">
        <f>#REF!</f>
        <v>#REF!</v>
      </c>
      <c r="I902" s="16" t="e">
        <f>#REF!</f>
        <v>#REF!</v>
      </c>
      <c r="J902" s="16" t="e">
        <f>#REF!</f>
        <v>#REF!</v>
      </c>
      <c r="K902" s="16"/>
      <c r="L902" s="16"/>
      <c r="M902" s="16"/>
      <c r="N902" s="16"/>
      <c r="O902" s="16"/>
    </row>
    <row r="903" spans="1:15" ht="22.5" customHeight="1" thickTop="1" thickBot="1" x14ac:dyDescent="0.25">
      <c r="A903" s="16" t="e">
        <f>#REF!</f>
        <v>#REF!</v>
      </c>
      <c r="B903" s="16" t="e">
        <f>#REF!</f>
        <v>#REF!</v>
      </c>
      <c r="C903" s="16" t="e">
        <f>#REF!</f>
        <v>#REF!</v>
      </c>
      <c r="D903" s="16" t="e">
        <f>#REF!</f>
        <v>#REF!</v>
      </c>
      <c r="E903" s="16" t="e">
        <f>#REF!</f>
        <v>#REF!</v>
      </c>
      <c r="F903" s="16" t="e">
        <f>#REF!</f>
        <v>#REF!</v>
      </c>
      <c r="G903" s="16" t="e">
        <f>#REF!</f>
        <v>#REF!</v>
      </c>
      <c r="H903" s="16" t="e">
        <f>#REF!</f>
        <v>#REF!</v>
      </c>
      <c r="I903" s="16" t="e">
        <f>#REF!</f>
        <v>#REF!</v>
      </c>
      <c r="J903" s="16" t="e">
        <f>#REF!</f>
        <v>#REF!</v>
      </c>
      <c r="K903" s="16"/>
      <c r="L903" s="16"/>
      <c r="M903" s="16"/>
      <c r="N903" s="16"/>
      <c r="O903" s="16"/>
    </row>
    <row r="904" spans="1:15" ht="22.5" customHeight="1" thickTop="1" thickBot="1" x14ac:dyDescent="0.25">
      <c r="A904" s="16" t="e">
        <f>#REF!</f>
        <v>#REF!</v>
      </c>
      <c r="B904" s="16" t="e">
        <f>#REF!</f>
        <v>#REF!</v>
      </c>
      <c r="C904" s="16" t="e">
        <f>#REF!</f>
        <v>#REF!</v>
      </c>
      <c r="D904" s="16" t="e">
        <f>#REF!</f>
        <v>#REF!</v>
      </c>
      <c r="E904" s="16" t="e">
        <f>#REF!</f>
        <v>#REF!</v>
      </c>
      <c r="F904" s="16" t="e">
        <f>#REF!</f>
        <v>#REF!</v>
      </c>
      <c r="G904" s="16" t="e">
        <f>#REF!</f>
        <v>#REF!</v>
      </c>
      <c r="H904" s="16" t="e">
        <f>#REF!</f>
        <v>#REF!</v>
      </c>
      <c r="I904" s="16" t="e">
        <f>#REF!</f>
        <v>#REF!</v>
      </c>
      <c r="J904" s="16" t="e">
        <f>#REF!</f>
        <v>#REF!</v>
      </c>
      <c r="K904" s="16"/>
      <c r="L904" s="16"/>
      <c r="M904" s="16"/>
      <c r="N904" s="16"/>
      <c r="O904" s="16"/>
    </row>
    <row r="905" spans="1:15" ht="22.5" customHeight="1" thickTop="1" thickBot="1" x14ac:dyDescent="0.25">
      <c r="A905" s="16" t="e">
        <f>#REF!</f>
        <v>#REF!</v>
      </c>
      <c r="B905" s="16" t="e">
        <f>#REF!</f>
        <v>#REF!</v>
      </c>
      <c r="C905" s="16" t="e">
        <f>#REF!</f>
        <v>#REF!</v>
      </c>
      <c r="D905" s="16" t="e">
        <f>#REF!</f>
        <v>#REF!</v>
      </c>
      <c r="E905" s="16" t="e">
        <f>#REF!</f>
        <v>#REF!</v>
      </c>
      <c r="F905" s="16" t="e">
        <f>#REF!</f>
        <v>#REF!</v>
      </c>
      <c r="G905" s="16" t="e">
        <f>#REF!</f>
        <v>#REF!</v>
      </c>
      <c r="H905" s="16" t="e">
        <f>#REF!</f>
        <v>#REF!</v>
      </c>
      <c r="I905" s="16" t="e">
        <f>#REF!</f>
        <v>#REF!</v>
      </c>
      <c r="J905" s="16" t="e">
        <f>#REF!</f>
        <v>#REF!</v>
      </c>
      <c r="K905" s="16" t="s">
        <v>752</v>
      </c>
      <c r="L905" s="16"/>
      <c r="M905" s="16"/>
      <c r="N905" s="16"/>
      <c r="O905" s="16"/>
    </row>
    <row r="906" spans="1:15" ht="22.5" customHeight="1" thickTop="1" thickBot="1" x14ac:dyDescent="0.25">
      <c r="A906" s="16" t="e">
        <f>#REF!</f>
        <v>#REF!</v>
      </c>
      <c r="B906" s="16" t="e">
        <f>#REF!</f>
        <v>#REF!</v>
      </c>
      <c r="C906" s="16" t="e">
        <f>#REF!</f>
        <v>#REF!</v>
      </c>
      <c r="D906" s="16" t="e">
        <f>#REF!</f>
        <v>#REF!</v>
      </c>
      <c r="E906" s="16" t="e">
        <f>#REF!</f>
        <v>#REF!</v>
      </c>
      <c r="F906" s="16" t="e">
        <f>#REF!</f>
        <v>#REF!</v>
      </c>
      <c r="G906" s="16" t="e">
        <f>#REF!</f>
        <v>#REF!</v>
      </c>
      <c r="H906" s="16" t="e">
        <f>#REF!</f>
        <v>#REF!</v>
      </c>
      <c r="I906" s="16" t="e">
        <f>#REF!</f>
        <v>#REF!</v>
      </c>
      <c r="J906" s="16" t="e">
        <f>#REF!</f>
        <v>#REF!</v>
      </c>
      <c r="K906" s="16" t="s">
        <v>752</v>
      </c>
      <c r="L906" s="16"/>
      <c r="M906" s="16"/>
      <c r="N906" s="16"/>
      <c r="O906" s="16"/>
    </row>
    <row r="907" spans="1:15" ht="22.5" customHeight="1" thickTop="1" thickBot="1" x14ac:dyDescent="0.25">
      <c r="A907" s="16" t="e">
        <f>#REF!</f>
        <v>#REF!</v>
      </c>
      <c r="B907" s="16" t="e">
        <f>#REF!</f>
        <v>#REF!</v>
      </c>
      <c r="C907" s="16" t="e">
        <f>#REF!</f>
        <v>#REF!</v>
      </c>
      <c r="D907" s="16" t="e">
        <f>#REF!</f>
        <v>#REF!</v>
      </c>
      <c r="E907" s="16" t="e">
        <f>#REF!</f>
        <v>#REF!</v>
      </c>
      <c r="F907" s="16" t="e">
        <f>#REF!</f>
        <v>#REF!</v>
      </c>
      <c r="G907" s="16" t="e">
        <f>#REF!</f>
        <v>#REF!</v>
      </c>
      <c r="H907" s="16" t="e">
        <f>#REF!</f>
        <v>#REF!</v>
      </c>
      <c r="I907" s="16" t="e">
        <f>#REF!</f>
        <v>#REF!</v>
      </c>
      <c r="J907" s="16" t="e">
        <f>#REF!</f>
        <v>#REF!</v>
      </c>
      <c r="K907" s="16"/>
      <c r="L907" s="16"/>
      <c r="M907" s="16"/>
      <c r="N907" s="16"/>
      <c r="O907" s="16"/>
    </row>
    <row r="908" spans="1:15" ht="22.5" customHeight="1" thickTop="1" thickBot="1" x14ac:dyDescent="0.25">
      <c r="A908" s="16" t="e">
        <f>#REF!</f>
        <v>#REF!</v>
      </c>
      <c r="B908" s="16" t="e">
        <f>#REF!</f>
        <v>#REF!</v>
      </c>
      <c r="C908" s="16" t="e">
        <f>#REF!</f>
        <v>#REF!</v>
      </c>
      <c r="D908" s="16" t="e">
        <f>#REF!</f>
        <v>#REF!</v>
      </c>
      <c r="E908" s="16" t="e">
        <f>#REF!</f>
        <v>#REF!</v>
      </c>
      <c r="F908" s="16" t="e">
        <f>#REF!</f>
        <v>#REF!</v>
      </c>
      <c r="G908" s="16" t="e">
        <f>#REF!</f>
        <v>#REF!</v>
      </c>
      <c r="H908" s="16" t="e">
        <f>#REF!</f>
        <v>#REF!</v>
      </c>
      <c r="I908" s="16" t="e">
        <f>#REF!</f>
        <v>#REF!</v>
      </c>
      <c r="J908" s="16" t="e">
        <f>#REF!</f>
        <v>#REF!</v>
      </c>
      <c r="K908" s="16"/>
      <c r="L908" s="16"/>
      <c r="M908" s="16"/>
      <c r="N908" s="16"/>
      <c r="O908" s="16"/>
    </row>
    <row r="909" spans="1:15" ht="22.5" customHeight="1" thickTop="1" thickBot="1" x14ac:dyDescent="0.25">
      <c r="A909" s="16" t="e">
        <f>#REF!</f>
        <v>#REF!</v>
      </c>
      <c r="B909" s="16" t="e">
        <f>#REF!</f>
        <v>#REF!</v>
      </c>
      <c r="C909" s="16" t="e">
        <f>#REF!</f>
        <v>#REF!</v>
      </c>
      <c r="D909" s="16" t="e">
        <f>#REF!</f>
        <v>#REF!</v>
      </c>
      <c r="E909" s="16" t="e">
        <f>#REF!</f>
        <v>#REF!</v>
      </c>
      <c r="F909" s="16" t="e">
        <f>#REF!</f>
        <v>#REF!</v>
      </c>
      <c r="G909" s="16" t="e">
        <f>#REF!</f>
        <v>#REF!</v>
      </c>
      <c r="H909" s="16" t="e">
        <f>#REF!</f>
        <v>#REF!</v>
      </c>
      <c r="I909" s="16" t="e">
        <f>#REF!</f>
        <v>#REF!</v>
      </c>
      <c r="J909" s="16" t="e">
        <f>#REF!</f>
        <v>#REF!</v>
      </c>
      <c r="K909" s="16"/>
      <c r="L909" s="16"/>
      <c r="M909" s="16"/>
      <c r="N909" s="16"/>
      <c r="O909" s="16"/>
    </row>
    <row r="910" spans="1:15" ht="22.5" customHeight="1" thickTop="1" thickBot="1" x14ac:dyDescent="0.25">
      <c r="A910" s="16" t="e">
        <f>#REF!</f>
        <v>#REF!</v>
      </c>
      <c r="B910" s="16" t="e">
        <f>#REF!</f>
        <v>#REF!</v>
      </c>
      <c r="C910" s="16" t="e">
        <f>#REF!</f>
        <v>#REF!</v>
      </c>
      <c r="D910" s="16" t="e">
        <f>#REF!</f>
        <v>#REF!</v>
      </c>
      <c r="E910" s="16" t="e">
        <f>#REF!</f>
        <v>#REF!</v>
      </c>
      <c r="F910" s="16" t="e">
        <f>#REF!</f>
        <v>#REF!</v>
      </c>
      <c r="G910" s="16" t="e">
        <f>#REF!</f>
        <v>#REF!</v>
      </c>
      <c r="H910" s="16" t="e">
        <f>#REF!</f>
        <v>#REF!</v>
      </c>
      <c r="I910" s="16" t="e">
        <f>#REF!</f>
        <v>#REF!</v>
      </c>
      <c r="J910" s="16" t="e">
        <f>#REF!</f>
        <v>#REF!</v>
      </c>
      <c r="K910" s="16" t="s">
        <v>752</v>
      </c>
      <c r="L910" s="16"/>
      <c r="M910" s="16"/>
      <c r="N910" s="16"/>
      <c r="O910" s="16"/>
    </row>
    <row r="911" spans="1:15" ht="22.5" customHeight="1" thickTop="1" thickBot="1" x14ac:dyDescent="0.25">
      <c r="A911" s="16" t="e">
        <f>#REF!</f>
        <v>#REF!</v>
      </c>
      <c r="B911" s="16" t="e">
        <f>#REF!</f>
        <v>#REF!</v>
      </c>
      <c r="C911" s="16" t="e">
        <f>#REF!</f>
        <v>#REF!</v>
      </c>
      <c r="D911" s="16" t="e">
        <f>#REF!</f>
        <v>#REF!</v>
      </c>
      <c r="E911" s="16" t="e">
        <f>#REF!</f>
        <v>#REF!</v>
      </c>
      <c r="F911" s="16" t="e">
        <f>#REF!</f>
        <v>#REF!</v>
      </c>
      <c r="G911" s="16" t="e">
        <f>#REF!</f>
        <v>#REF!</v>
      </c>
      <c r="H911" s="16" t="e">
        <f>#REF!</f>
        <v>#REF!</v>
      </c>
      <c r="I911" s="16" t="e">
        <f>#REF!</f>
        <v>#REF!</v>
      </c>
      <c r="J911" s="16" t="e">
        <f>#REF!</f>
        <v>#REF!</v>
      </c>
      <c r="K911" s="16"/>
      <c r="L911" s="16"/>
      <c r="M911" s="16"/>
      <c r="N911" s="16"/>
      <c r="O911" s="16"/>
    </row>
    <row r="912" spans="1:15" ht="22.5" customHeight="1" thickTop="1" thickBot="1" x14ac:dyDescent="0.25">
      <c r="A912" s="16" t="e">
        <f>#REF!</f>
        <v>#REF!</v>
      </c>
      <c r="B912" s="16" t="e">
        <f>#REF!</f>
        <v>#REF!</v>
      </c>
      <c r="C912" s="16" t="e">
        <f>#REF!</f>
        <v>#REF!</v>
      </c>
      <c r="D912" s="16" t="e">
        <f>#REF!</f>
        <v>#REF!</v>
      </c>
      <c r="E912" s="16" t="e">
        <f>#REF!</f>
        <v>#REF!</v>
      </c>
      <c r="F912" s="16" t="e">
        <f>#REF!</f>
        <v>#REF!</v>
      </c>
      <c r="G912" s="16" t="e">
        <f>#REF!</f>
        <v>#REF!</v>
      </c>
      <c r="H912" s="16" t="e">
        <f>#REF!</f>
        <v>#REF!</v>
      </c>
      <c r="I912" s="16" t="e">
        <f>#REF!</f>
        <v>#REF!</v>
      </c>
      <c r="J912" s="16" t="e">
        <f>#REF!</f>
        <v>#REF!</v>
      </c>
      <c r="K912" s="16"/>
      <c r="L912" s="16"/>
      <c r="M912" s="16"/>
      <c r="N912" s="16"/>
      <c r="O912" s="16"/>
    </row>
    <row r="913" spans="1:15" ht="22.5" customHeight="1" thickTop="1" thickBot="1" x14ac:dyDescent="0.25">
      <c r="A913" s="16" t="e">
        <f>#REF!</f>
        <v>#REF!</v>
      </c>
      <c r="B913" s="16" t="e">
        <f>#REF!</f>
        <v>#REF!</v>
      </c>
      <c r="C913" s="16" t="e">
        <f>#REF!</f>
        <v>#REF!</v>
      </c>
      <c r="D913" s="16" t="e">
        <f>#REF!</f>
        <v>#REF!</v>
      </c>
      <c r="E913" s="16" t="e">
        <f>#REF!</f>
        <v>#REF!</v>
      </c>
      <c r="F913" s="16" t="e">
        <f>#REF!</f>
        <v>#REF!</v>
      </c>
      <c r="G913" s="16" t="e">
        <f>#REF!</f>
        <v>#REF!</v>
      </c>
      <c r="H913" s="16" t="e">
        <f>#REF!</f>
        <v>#REF!</v>
      </c>
      <c r="I913" s="16" t="e">
        <f>#REF!</f>
        <v>#REF!</v>
      </c>
      <c r="J913" s="16" t="e">
        <f>#REF!</f>
        <v>#REF!</v>
      </c>
      <c r="K913" s="16" t="s">
        <v>752</v>
      </c>
      <c r="L913" s="16"/>
      <c r="M913" s="16"/>
      <c r="N913" s="16"/>
      <c r="O913" s="16"/>
    </row>
    <row r="914" spans="1:15" ht="22.5" customHeight="1" thickTop="1" thickBot="1" x14ac:dyDescent="0.25">
      <c r="A914" s="16" t="e">
        <f>#REF!</f>
        <v>#REF!</v>
      </c>
      <c r="B914" s="16" t="e">
        <f>#REF!</f>
        <v>#REF!</v>
      </c>
      <c r="C914" s="16" t="e">
        <f>#REF!</f>
        <v>#REF!</v>
      </c>
      <c r="D914" s="16" t="e">
        <f>#REF!</f>
        <v>#REF!</v>
      </c>
      <c r="E914" s="16" t="e">
        <f>#REF!</f>
        <v>#REF!</v>
      </c>
      <c r="F914" s="16" t="e">
        <f>#REF!</f>
        <v>#REF!</v>
      </c>
      <c r="G914" s="16" t="e">
        <f>#REF!</f>
        <v>#REF!</v>
      </c>
      <c r="H914" s="16" t="e">
        <f>#REF!</f>
        <v>#REF!</v>
      </c>
      <c r="I914" s="16" t="e">
        <f>#REF!</f>
        <v>#REF!</v>
      </c>
      <c r="J914" s="16" t="e">
        <f>#REF!</f>
        <v>#REF!</v>
      </c>
      <c r="K914" s="16"/>
      <c r="L914" s="16"/>
      <c r="M914" s="16"/>
      <c r="N914" s="16"/>
      <c r="O914" s="16"/>
    </row>
    <row r="915" spans="1:15" ht="22.5" customHeight="1" thickTop="1" thickBot="1" x14ac:dyDescent="0.25">
      <c r="A915" s="16" t="e">
        <f>#REF!</f>
        <v>#REF!</v>
      </c>
      <c r="B915" s="16" t="e">
        <f>#REF!</f>
        <v>#REF!</v>
      </c>
      <c r="C915" s="16" t="e">
        <f>#REF!</f>
        <v>#REF!</v>
      </c>
      <c r="D915" s="16" t="e">
        <f>#REF!</f>
        <v>#REF!</v>
      </c>
      <c r="E915" s="16" t="e">
        <f>#REF!</f>
        <v>#REF!</v>
      </c>
      <c r="F915" s="16" t="e">
        <f>#REF!</f>
        <v>#REF!</v>
      </c>
      <c r="G915" s="16" t="e">
        <f>#REF!</f>
        <v>#REF!</v>
      </c>
      <c r="H915" s="16" t="e">
        <f>#REF!</f>
        <v>#REF!</v>
      </c>
      <c r="I915" s="16" t="e">
        <f>#REF!</f>
        <v>#REF!</v>
      </c>
      <c r="J915" s="16" t="e">
        <f>#REF!</f>
        <v>#REF!</v>
      </c>
      <c r="K915" s="16" t="s">
        <v>752</v>
      </c>
      <c r="L915" s="16"/>
      <c r="M915" s="16"/>
      <c r="N915" s="16"/>
      <c r="O915" s="16"/>
    </row>
    <row r="916" spans="1:15" ht="22.5" customHeight="1" thickTop="1" thickBot="1" x14ac:dyDescent="0.25">
      <c r="A916" s="16" t="e">
        <f>#REF!</f>
        <v>#REF!</v>
      </c>
      <c r="B916" s="16" t="e">
        <f>#REF!</f>
        <v>#REF!</v>
      </c>
      <c r="C916" s="16" t="e">
        <f>#REF!</f>
        <v>#REF!</v>
      </c>
      <c r="D916" s="16" t="e">
        <f>#REF!</f>
        <v>#REF!</v>
      </c>
      <c r="E916" s="16" t="e">
        <f>#REF!</f>
        <v>#REF!</v>
      </c>
      <c r="F916" s="16" t="e">
        <f>#REF!</f>
        <v>#REF!</v>
      </c>
      <c r="G916" s="16" t="e">
        <f>#REF!</f>
        <v>#REF!</v>
      </c>
      <c r="H916" s="16" t="e">
        <f>#REF!</f>
        <v>#REF!</v>
      </c>
      <c r="I916" s="16" t="e">
        <f>#REF!</f>
        <v>#REF!</v>
      </c>
      <c r="J916" s="16" t="e">
        <f>#REF!</f>
        <v>#REF!</v>
      </c>
      <c r="K916" s="16" t="s">
        <v>752</v>
      </c>
      <c r="L916" s="16"/>
      <c r="M916" s="16"/>
      <c r="N916" s="16"/>
      <c r="O916" s="16"/>
    </row>
    <row r="917" spans="1:15" ht="22.5" customHeight="1" thickTop="1" thickBot="1" x14ac:dyDescent="0.25">
      <c r="A917" s="16" t="e">
        <f>#REF!</f>
        <v>#REF!</v>
      </c>
      <c r="B917" s="16" t="e">
        <f>#REF!</f>
        <v>#REF!</v>
      </c>
      <c r="C917" s="16" t="e">
        <f>#REF!</f>
        <v>#REF!</v>
      </c>
      <c r="D917" s="16" t="e">
        <f>#REF!</f>
        <v>#REF!</v>
      </c>
      <c r="E917" s="16" t="e">
        <f>#REF!</f>
        <v>#REF!</v>
      </c>
      <c r="F917" s="16" t="e">
        <f>#REF!</f>
        <v>#REF!</v>
      </c>
      <c r="G917" s="16" t="e">
        <f>#REF!</f>
        <v>#REF!</v>
      </c>
      <c r="H917" s="16" t="e">
        <f>#REF!</f>
        <v>#REF!</v>
      </c>
      <c r="I917" s="16" t="e">
        <f>#REF!</f>
        <v>#REF!</v>
      </c>
      <c r="J917" s="16" t="e">
        <f>#REF!</f>
        <v>#REF!</v>
      </c>
      <c r="K917" s="16"/>
      <c r="L917" s="16"/>
      <c r="M917" s="16"/>
      <c r="N917" s="16"/>
      <c r="O917" s="16"/>
    </row>
    <row r="918" spans="1:15" ht="22.5" customHeight="1" thickTop="1" thickBot="1" x14ac:dyDescent="0.25">
      <c r="A918" s="16" t="e">
        <f>#REF!</f>
        <v>#REF!</v>
      </c>
      <c r="B918" s="16" t="e">
        <f>#REF!</f>
        <v>#REF!</v>
      </c>
      <c r="C918" s="16" t="e">
        <f>#REF!</f>
        <v>#REF!</v>
      </c>
      <c r="D918" s="16" t="e">
        <f>#REF!</f>
        <v>#REF!</v>
      </c>
      <c r="E918" s="16" t="e">
        <f>#REF!</f>
        <v>#REF!</v>
      </c>
      <c r="F918" s="16" t="e">
        <f>#REF!</f>
        <v>#REF!</v>
      </c>
      <c r="G918" s="16" t="e">
        <f>#REF!</f>
        <v>#REF!</v>
      </c>
      <c r="H918" s="16" t="e">
        <f>#REF!</f>
        <v>#REF!</v>
      </c>
      <c r="I918" s="16" t="e">
        <f>#REF!</f>
        <v>#REF!</v>
      </c>
      <c r="J918" s="16" t="e">
        <f>#REF!</f>
        <v>#REF!</v>
      </c>
      <c r="K918" s="16"/>
      <c r="L918" s="16"/>
      <c r="M918" s="16"/>
      <c r="N918" s="16"/>
      <c r="O918" s="16"/>
    </row>
    <row r="919" spans="1:15" ht="22.5" customHeight="1" thickTop="1" thickBot="1" x14ac:dyDescent="0.25">
      <c r="A919" s="16" t="e">
        <f>#REF!</f>
        <v>#REF!</v>
      </c>
      <c r="B919" s="16" t="e">
        <f>#REF!</f>
        <v>#REF!</v>
      </c>
      <c r="C919" s="16" t="e">
        <f>#REF!</f>
        <v>#REF!</v>
      </c>
      <c r="D919" s="16" t="e">
        <f>#REF!</f>
        <v>#REF!</v>
      </c>
      <c r="E919" s="16" t="e">
        <f>#REF!</f>
        <v>#REF!</v>
      </c>
      <c r="F919" s="16" t="e">
        <f>#REF!</f>
        <v>#REF!</v>
      </c>
      <c r="G919" s="16" t="e">
        <f>#REF!</f>
        <v>#REF!</v>
      </c>
      <c r="H919" s="16" t="e">
        <f>#REF!</f>
        <v>#REF!</v>
      </c>
      <c r="I919" s="16" t="e">
        <f>#REF!</f>
        <v>#REF!</v>
      </c>
      <c r="J919" s="16" t="e">
        <f>#REF!</f>
        <v>#REF!</v>
      </c>
      <c r="K919" s="16" t="s">
        <v>752</v>
      </c>
      <c r="L919" s="16"/>
      <c r="M919" s="16"/>
      <c r="N919" s="16"/>
      <c r="O919" s="16"/>
    </row>
    <row r="920" spans="1:15" ht="22.5" customHeight="1" thickTop="1" thickBot="1" x14ac:dyDescent="0.25">
      <c r="A920" s="16" t="e">
        <f>#REF!</f>
        <v>#REF!</v>
      </c>
      <c r="B920" s="16" t="e">
        <f>#REF!</f>
        <v>#REF!</v>
      </c>
      <c r="C920" s="16" t="e">
        <f>#REF!</f>
        <v>#REF!</v>
      </c>
      <c r="D920" s="16" t="e">
        <f>#REF!</f>
        <v>#REF!</v>
      </c>
      <c r="E920" s="16" t="e">
        <f>#REF!</f>
        <v>#REF!</v>
      </c>
      <c r="F920" s="16" t="e">
        <f>#REF!</f>
        <v>#REF!</v>
      </c>
      <c r="G920" s="16" t="e">
        <f>#REF!</f>
        <v>#REF!</v>
      </c>
      <c r="H920" s="16" t="e">
        <f>#REF!</f>
        <v>#REF!</v>
      </c>
      <c r="I920" s="16" t="e">
        <f>#REF!</f>
        <v>#REF!</v>
      </c>
      <c r="J920" s="16" t="e">
        <f>#REF!</f>
        <v>#REF!</v>
      </c>
      <c r="K920" s="16"/>
      <c r="L920" s="16"/>
      <c r="M920" s="16"/>
      <c r="N920" s="16"/>
      <c r="O920" s="16"/>
    </row>
    <row r="921" spans="1:15" ht="22.5" customHeight="1" thickTop="1" thickBot="1" x14ac:dyDescent="0.25">
      <c r="A921" s="16" t="e">
        <f>#REF!</f>
        <v>#REF!</v>
      </c>
      <c r="B921" s="16" t="e">
        <f>#REF!</f>
        <v>#REF!</v>
      </c>
      <c r="C921" s="16" t="e">
        <f>#REF!</f>
        <v>#REF!</v>
      </c>
      <c r="D921" s="16" t="e">
        <f>#REF!</f>
        <v>#REF!</v>
      </c>
      <c r="E921" s="16" t="e">
        <f>#REF!</f>
        <v>#REF!</v>
      </c>
      <c r="F921" s="16" t="e">
        <f>#REF!</f>
        <v>#REF!</v>
      </c>
      <c r="G921" s="16" t="e">
        <f>#REF!</f>
        <v>#REF!</v>
      </c>
      <c r="H921" s="16" t="e">
        <f>#REF!</f>
        <v>#REF!</v>
      </c>
      <c r="I921" s="16" t="e">
        <f>#REF!</f>
        <v>#REF!</v>
      </c>
      <c r="J921" s="16" t="e">
        <f>#REF!</f>
        <v>#REF!</v>
      </c>
      <c r="K921" s="16"/>
      <c r="L921" s="16"/>
      <c r="M921" s="16"/>
      <c r="N921" s="16"/>
      <c r="O921" s="16"/>
    </row>
    <row r="922" spans="1:15" ht="22.5" customHeight="1" thickTop="1" thickBot="1" x14ac:dyDescent="0.25">
      <c r="A922" s="16" t="e">
        <f>#REF!</f>
        <v>#REF!</v>
      </c>
      <c r="B922" s="16" t="e">
        <f>#REF!</f>
        <v>#REF!</v>
      </c>
      <c r="C922" s="16" t="e">
        <f>#REF!</f>
        <v>#REF!</v>
      </c>
      <c r="D922" s="16" t="e">
        <f>#REF!</f>
        <v>#REF!</v>
      </c>
      <c r="E922" s="16" t="e">
        <f>#REF!</f>
        <v>#REF!</v>
      </c>
      <c r="F922" s="16" t="e">
        <f>#REF!</f>
        <v>#REF!</v>
      </c>
      <c r="G922" s="16" t="e">
        <f>#REF!</f>
        <v>#REF!</v>
      </c>
      <c r="H922" s="16" t="e">
        <f>#REF!</f>
        <v>#REF!</v>
      </c>
      <c r="I922" s="16" t="e">
        <f>#REF!</f>
        <v>#REF!</v>
      </c>
      <c r="J922" s="16" t="e">
        <f>#REF!</f>
        <v>#REF!</v>
      </c>
      <c r="K922" s="16" t="s">
        <v>752</v>
      </c>
      <c r="L922" s="16"/>
      <c r="M922" s="16"/>
      <c r="N922" s="16"/>
      <c r="O922" s="16"/>
    </row>
    <row r="923" spans="1:15" ht="22.5" customHeight="1" thickTop="1" thickBot="1" x14ac:dyDescent="0.25">
      <c r="A923" s="16" t="e">
        <f>#REF!</f>
        <v>#REF!</v>
      </c>
      <c r="B923" s="16" t="e">
        <f>#REF!</f>
        <v>#REF!</v>
      </c>
      <c r="C923" s="16" t="e">
        <f>#REF!</f>
        <v>#REF!</v>
      </c>
      <c r="D923" s="16" t="e">
        <f>#REF!</f>
        <v>#REF!</v>
      </c>
      <c r="E923" s="16" t="e">
        <f>#REF!</f>
        <v>#REF!</v>
      </c>
      <c r="F923" s="16" t="e">
        <f>#REF!</f>
        <v>#REF!</v>
      </c>
      <c r="G923" s="16" t="e">
        <f>#REF!</f>
        <v>#REF!</v>
      </c>
      <c r="H923" s="16" t="e">
        <f>#REF!</f>
        <v>#REF!</v>
      </c>
      <c r="I923" s="16" t="e">
        <f>#REF!</f>
        <v>#REF!</v>
      </c>
      <c r="J923" s="16" t="e">
        <f>#REF!</f>
        <v>#REF!</v>
      </c>
      <c r="K923" s="16" t="s">
        <v>752</v>
      </c>
      <c r="L923" s="16"/>
      <c r="M923" s="16"/>
      <c r="N923" s="16"/>
      <c r="O923" s="16"/>
    </row>
    <row r="924" spans="1:15" ht="22.5" customHeight="1" thickTop="1" thickBot="1" x14ac:dyDescent="0.25">
      <c r="A924" s="16" t="e">
        <f>#REF!</f>
        <v>#REF!</v>
      </c>
      <c r="B924" s="16" t="e">
        <f>#REF!</f>
        <v>#REF!</v>
      </c>
      <c r="C924" s="16" t="e">
        <f>#REF!</f>
        <v>#REF!</v>
      </c>
      <c r="D924" s="16" t="e">
        <f>#REF!</f>
        <v>#REF!</v>
      </c>
      <c r="E924" s="16" t="e">
        <f>#REF!</f>
        <v>#REF!</v>
      </c>
      <c r="F924" s="16" t="e">
        <f>#REF!</f>
        <v>#REF!</v>
      </c>
      <c r="G924" s="16" t="e">
        <f>#REF!</f>
        <v>#REF!</v>
      </c>
      <c r="H924" s="16" t="e">
        <f>#REF!</f>
        <v>#REF!</v>
      </c>
      <c r="I924" s="16" t="e">
        <f>#REF!</f>
        <v>#REF!</v>
      </c>
      <c r="J924" s="16" t="e">
        <f>#REF!</f>
        <v>#REF!</v>
      </c>
      <c r="K924" s="16"/>
      <c r="L924" s="16"/>
      <c r="M924" s="16"/>
      <c r="N924" s="16"/>
      <c r="O924" s="16"/>
    </row>
    <row r="925" spans="1:15" ht="22.5" customHeight="1" thickTop="1" thickBot="1" x14ac:dyDescent="0.25">
      <c r="A925" s="16" t="e">
        <f>#REF!</f>
        <v>#REF!</v>
      </c>
      <c r="B925" s="16" t="e">
        <f>#REF!</f>
        <v>#REF!</v>
      </c>
      <c r="C925" s="16" t="e">
        <f>#REF!</f>
        <v>#REF!</v>
      </c>
      <c r="D925" s="16" t="e">
        <f>#REF!</f>
        <v>#REF!</v>
      </c>
      <c r="E925" s="16" t="e">
        <f>#REF!</f>
        <v>#REF!</v>
      </c>
      <c r="F925" s="16" t="e">
        <f>#REF!</f>
        <v>#REF!</v>
      </c>
      <c r="G925" s="16" t="e">
        <f>#REF!</f>
        <v>#REF!</v>
      </c>
      <c r="H925" s="16" t="e">
        <f>#REF!</f>
        <v>#REF!</v>
      </c>
      <c r="I925" s="16" t="e">
        <f>#REF!</f>
        <v>#REF!</v>
      </c>
      <c r="J925" s="16" t="e">
        <f>#REF!</f>
        <v>#REF!</v>
      </c>
      <c r="K925" s="16" t="s">
        <v>752</v>
      </c>
      <c r="L925" s="16"/>
      <c r="M925" s="16"/>
      <c r="N925" s="16"/>
      <c r="O925" s="16"/>
    </row>
    <row r="926" spans="1:15" ht="22.5" customHeight="1" thickTop="1" thickBot="1" x14ac:dyDescent="0.25">
      <c r="A926" s="16" t="e">
        <f>#REF!</f>
        <v>#REF!</v>
      </c>
      <c r="B926" s="16" t="e">
        <f>#REF!</f>
        <v>#REF!</v>
      </c>
      <c r="C926" s="16" t="e">
        <f>#REF!</f>
        <v>#REF!</v>
      </c>
      <c r="D926" s="16" t="e">
        <f>#REF!</f>
        <v>#REF!</v>
      </c>
      <c r="E926" s="16" t="e">
        <f>#REF!</f>
        <v>#REF!</v>
      </c>
      <c r="F926" s="16" t="e">
        <f>#REF!</f>
        <v>#REF!</v>
      </c>
      <c r="G926" s="16" t="e">
        <f>#REF!</f>
        <v>#REF!</v>
      </c>
      <c r="H926" s="16" t="e">
        <f>#REF!</f>
        <v>#REF!</v>
      </c>
      <c r="I926" s="16" t="e">
        <f>#REF!</f>
        <v>#REF!</v>
      </c>
      <c r="J926" s="16" t="e">
        <f>#REF!</f>
        <v>#REF!</v>
      </c>
      <c r="K926" s="16"/>
      <c r="L926" s="16"/>
      <c r="M926" s="16"/>
      <c r="N926" s="16"/>
      <c r="O926" s="16"/>
    </row>
    <row r="927" spans="1:15" ht="22.5" customHeight="1" thickTop="1" thickBot="1" x14ac:dyDescent="0.25">
      <c r="A927" s="16" t="e">
        <f>#REF!</f>
        <v>#REF!</v>
      </c>
      <c r="B927" s="16" t="e">
        <f>#REF!</f>
        <v>#REF!</v>
      </c>
      <c r="C927" s="16" t="e">
        <f>#REF!</f>
        <v>#REF!</v>
      </c>
      <c r="D927" s="16" t="e">
        <f>#REF!</f>
        <v>#REF!</v>
      </c>
      <c r="E927" s="16" t="e">
        <f>#REF!</f>
        <v>#REF!</v>
      </c>
      <c r="F927" s="16" t="e">
        <f>#REF!</f>
        <v>#REF!</v>
      </c>
      <c r="G927" s="16" t="e">
        <f>#REF!</f>
        <v>#REF!</v>
      </c>
      <c r="H927" s="16" t="e">
        <f>#REF!</f>
        <v>#REF!</v>
      </c>
      <c r="I927" s="16" t="e">
        <f>#REF!</f>
        <v>#REF!</v>
      </c>
      <c r="J927" s="16" t="e">
        <f>#REF!</f>
        <v>#REF!</v>
      </c>
      <c r="K927" s="16" t="s">
        <v>739</v>
      </c>
      <c r="L927" s="16" t="s">
        <v>741</v>
      </c>
      <c r="M927" s="16" t="s">
        <v>799</v>
      </c>
      <c r="N927" s="16" t="s">
        <v>48</v>
      </c>
      <c r="O927" s="16" t="s">
        <v>800</v>
      </c>
    </row>
    <row r="928" spans="1:15" ht="22.5" customHeight="1" thickTop="1" thickBot="1" x14ac:dyDescent="0.25">
      <c r="A928" s="16" t="e">
        <f>#REF!</f>
        <v>#REF!</v>
      </c>
      <c r="B928" s="16" t="e">
        <f>#REF!</f>
        <v>#REF!</v>
      </c>
      <c r="C928" s="16" t="e">
        <f>#REF!</f>
        <v>#REF!</v>
      </c>
      <c r="D928" s="16" t="e">
        <f>#REF!</f>
        <v>#REF!</v>
      </c>
      <c r="E928" s="16" t="e">
        <f>#REF!</f>
        <v>#REF!</v>
      </c>
      <c r="F928" s="16" t="e">
        <f>#REF!</f>
        <v>#REF!</v>
      </c>
      <c r="G928" s="16" t="e">
        <f>#REF!</f>
        <v>#REF!</v>
      </c>
      <c r="H928" s="16" t="e">
        <f>#REF!</f>
        <v>#REF!</v>
      </c>
      <c r="I928" s="16" t="e">
        <f>#REF!</f>
        <v>#REF!</v>
      </c>
      <c r="J928" s="16" t="e">
        <f>#REF!</f>
        <v>#REF!</v>
      </c>
      <c r="K928" s="16" t="s">
        <v>744</v>
      </c>
      <c r="L928" s="16"/>
      <c r="M928" s="16"/>
      <c r="N928" s="16"/>
      <c r="O928" s="16"/>
    </row>
    <row r="929" spans="1:15" ht="22.5" customHeight="1" thickTop="1" thickBot="1" x14ac:dyDescent="0.25">
      <c r="A929" s="16" t="e">
        <f>#REF!</f>
        <v>#REF!</v>
      </c>
      <c r="B929" s="16" t="e">
        <f>#REF!</f>
        <v>#REF!</v>
      </c>
      <c r="C929" s="16" t="e">
        <f>#REF!</f>
        <v>#REF!</v>
      </c>
      <c r="D929" s="16" t="e">
        <f>#REF!</f>
        <v>#REF!</v>
      </c>
      <c r="E929" s="16" t="e">
        <f>#REF!</f>
        <v>#REF!</v>
      </c>
      <c r="F929" s="16" t="e">
        <f>#REF!</f>
        <v>#REF!</v>
      </c>
      <c r="G929" s="16" t="e">
        <f>#REF!</f>
        <v>#REF!</v>
      </c>
      <c r="H929" s="16" t="e">
        <f>#REF!</f>
        <v>#REF!</v>
      </c>
      <c r="I929" s="16" t="e">
        <f>#REF!</f>
        <v>#REF!</v>
      </c>
      <c r="J929" s="16" t="e">
        <f>#REF!</f>
        <v>#REF!</v>
      </c>
      <c r="K929" s="16" t="s">
        <v>744</v>
      </c>
      <c r="L929" s="16"/>
      <c r="M929" s="16"/>
      <c r="N929" s="16"/>
      <c r="O929" s="16"/>
    </row>
    <row r="930" spans="1:15" ht="22.5" customHeight="1" thickTop="1" thickBot="1" x14ac:dyDescent="0.25">
      <c r="A930" s="16" t="e">
        <f>#REF!</f>
        <v>#REF!</v>
      </c>
      <c r="B930" s="16" t="e">
        <f>#REF!</f>
        <v>#REF!</v>
      </c>
      <c r="C930" s="16" t="e">
        <f>#REF!</f>
        <v>#REF!</v>
      </c>
      <c r="D930" s="16" t="e">
        <f>#REF!</f>
        <v>#REF!</v>
      </c>
      <c r="E930" s="16" t="e">
        <f>#REF!</f>
        <v>#REF!</v>
      </c>
      <c r="F930" s="16" t="e">
        <f>#REF!</f>
        <v>#REF!</v>
      </c>
      <c r="G930" s="16" t="e">
        <f>#REF!</f>
        <v>#REF!</v>
      </c>
      <c r="H930" s="16" t="e">
        <f>#REF!</f>
        <v>#REF!</v>
      </c>
      <c r="I930" s="16" t="e">
        <f>#REF!</f>
        <v>#REF!</v>
      </c>
      <c r="J930" s="16" t="e">
        <f>#REF!</f>
        <v>#REF!</v>
      </c>
      <c r="K930" s="16" t="s">
        <v>744</v>
      </c>
      <c r="L930" s="16"/>
      <c r="M930" s="16"/>
      <c r="N930" s="16"/>
      <c r="O930" s="16"/>
    </row>
    <row r="931" spans="1:15" ht="22.5" customHeight="1" thickTop="1" thickBot="1" x14ac:dyDescent="0.25">
      <c r="A931" s="16" t="e">
        <f>#REF!</f>
        <v>#REF!</v>
      </c>
      <c r="B931" s="16" t="e">
        <f>#REF!</f>
        <v>#REF!</v>
      </c>
      <c r="C931" s="16" t="e">
        <f>#REF!</f>
        <v>#REF!</v>
      </c>
      <c r="D931" s="16" t="e">
        <f>#REF!</f>
        <v>#REF!</v>
      </c>
      <c r="E931" s="16" t="e">
        <f>#REF!</f>
        <v>#REF!</v>
      </c>
      <c r="F931" s="16" t="e">
        <f>#REF!</f>
        <v>#REF!</v>
      </c>
      <c r="G931" s="16" t="e">
        <f>#REF!</f>
        <v>#REF!</v>
      </c>
      <c r="H931" s="16" t="e">
        <f>#REF!</f>
        <v>#REF!</v>
      </c>
      <c r="I931" s="16" t="e">
        <f>#REF!</f>
        <v>#REF!</v>
      </c>
      <c r="J931" s="16" t="e">
        <f>#REF!</f>
        <v>#REF!</v>
      </c>
      <c r="K931" s="16" t="s">
        <v>744</v>
      </c>
      <c r="L931" s="16"/>
      <c r="M931" s="16"/>
      <c r="N931" s="16"/>
      <c r="O931" s="16"/>
    </row>
    <row r="932" spans="1:15" ht="22.5" customHeight="1" thickTop="1" thickBot="1" x14ac:dyDescent="0.25">
      <c r="A932" s="16" t="e">
        <f>#REF!</f>
        <v>#REF!</v>
      </c>
      <c r="B932" s="16" t="e">
        <f>#REF!</f>
        <v>#REF!</v>
      </c>
      <c r="C932" s="16" t="e">
        <f>#REF!</f>
        <v>#REF!</v>
      </c>
      <c r="D932" s="16" t="e">
        <f>#REF!</f>
        <v>#REF!</v>
      </c>
      <c r="E932" s="16" t="e">
        <f>#REF!</f>
        <v>#REF!</v>
      </c>
      <c r="F932" s="16" t="e">
        <f>#REF!</f>
        <v>#REF!</v>
      </c>
      <c r="G932" s="16" t="e">
        <f>#REF!</f>
        <v>#REF!</v>
      </c>
      <c r="H932" s="16" t="e">
        <f>#REF!</f>
        <v>#REF!</v>
      </c>
      <c r="I932" s="16" t="e">
        <f>#REF!</f>
        <v>#REF!</v>
      </c>
      <c r="J932" s="16" t="e">
        <f>#REF!</f>
        <v>#REF!</v>
      </c>
      <c r="K932" s="16" t="s">
        <v>744</v>
      </c>
      <c r="L932" s="16"/>
      <c r="M932" s="16"/>
      <c r="N932" s="16"/>
      <c r="O932" s="16"/>
    </row>
    <row r="933" spans="1:15" ht="22.5" customHeight="1" thickTop="1" thickBot="1" x14ac:dyDescent="0.25">
      <c r="A933" s="16" t="e">
        <f>#REF!</f>
        <v>#REF!</v>
      </c>
      <c r="B933" s="16" t="e">
        <f>#REF!</f>
        <v>#REF!</v>
      </c>
      <c r="C933" s="16" t="e">
        <f>#REF!</f>
        <v>#REF!</v>
      </c>
      <c r="D933" s="16" t="e">
        <f>#REF!</f>
        <v>#REF!</v>
      </c>
      <c r="E933" s="16" t="e">
        <f>#REF!</f>
        <v>#REF!</v>
      </c>
      <c r="F933" s="16" t="e">
        <f>#REF!</f>
        <v>#REF!</v>
      </c>
      <c r="G933" s="16" t="e">
        <f>#REF!</f>
        <v>#REF!</v>
      </c>
      <c r="H933" s="16" t="e">
        <f>#REF!</f>
        <v>#REF!</v>
      </c>
      <c r="I933" s="16" t="e">
        <f>#REF!</f>
        <v>#REF!</v>
      </c>
      <c r="J933" s="16" t="e">
        <f>#REF!</f>
        <v>#REF!</v>
      </c>
      <c r="K933" s="16" t="s">
        <v>744</v>
      </c>
      <c r="L933" s="16"/>
      <c r="M933" s="16"/>
      <c r="N933" s="16"/>
      <c r="O933" s="16"/>
    </row>
    <row r="934" spans="1:15" ht="22.5" customHeight="1" thickTop="1" thickBot="1" x14ac:dyDescent="0.25">
      <c r="A934" s="16" t="e">
        <f>#REF!</f>
        <v>#REF!</v>
      </c>
      <c r="B934" s="16" t="e">
        <f>#REF!</f>
        <v>#REF!</v>
      </c>
      <c r="C934" s="16" t="e">
        <f>#REF!</f>
        <v>#REF!</v>
      </c>
      <c r="D934" s="16" t="e">
        <f>#REF!</f>
        <v>#REF!</v>
      </c>
      <c r="E934" s="16" t="e">
        <f>#REF!</f>
        <v>#REF!</v>
      </c>
      <c r="F934" s="16" t="e">
        <f>#REF!</f>
        <v>#REF!</v>
      </c>
      <c r="G934" s="16" t="e">
        <f>#REF!</f>
        <v>#REF!</v>
      </c>
      <c r="H934" s="16" t="e">
        <f>#REF!</f>
        <v>#REF!</v>
      </c>
      <c r="I934" s="16" t="e">
        <f>#REF!</f>
        <v>#REF!</v>
      </c>
      <c r="J934" s="16" t="e">
        <f>#REF!</f>
        <v>#REF!</v>
      </c>
      <c r="K934" s="16"/>
      <c r="L934" s="16"/>
      <c r="M934" s="16"/>
      <c r="N934" s="16"/>
      <c r="O934" s="16"/>
    </row>
    <row r="935" spans="1:15" ht="22.5" customHeight="1" thickTop="1" thickBot="1" x14ac:dyDescent="0.25">
      <c r="A935" s="16" t="e">
        <f>#REF!</f>
        <v>#REF!</v>
      </c>
      <c r="B935" s="16" t="e">
        <f>#REF!</f>
        <v>#REF!</v>
      </c>
      <c r="C935" s="16" t="e">
        <f>#REF!</f>
        <v>#REF!</v>
      </c>
      <c r="D935" s="16" t="e">
        <f>#REF!</f>
        <v>#REF!</v>
      </c>
      <c r="E935" s="16" t="e">
        <f>#REF!</f>
        <v>#REF!</v>
      </c>
      <c r="F935" s="16" t="e">
        <f>#REF!</f>
        <v>#REF!</v>
      </c>
      <c r="G935" s="16" t="e">
        <f>#REF!</f>
        <v>#REF!</v>
      </c>
      <c r="H935" s="16" t="e">
        <f>#REF!</f>
        <v>#REF!</v>
      </c>
      <c r="I935" s="16" t="e">
        <f>#REF!</f>
        <v>#REF!</v>
      </c>
      <c r="J935" s="16" t="e">
        <f>#REF!</f>
        <v>#REF!</v>
      </c>
      <c r="K935" s="16" t="s">
        <v>744</v>
      </c>
      <c r="L935" s="16"/>
      <c r="M935" s="16"/>
      <c r="N935" s="16"/>
      <c r="O935" s="16"/>
    </row>
    <row r="936" spans="1:15" ht="22.5" customHeight="1" thickTop="1" thickBot="1" x14ac:dyDescent="0.25">
      <c r="A936" s="16" t="e">
        <f>#REF!</f>
        <v>#REF!</v>
      </c>
      <c r="B936" s="16" t="e">
        <f>#REF!</f>
        <v>#REF!</v>
      </c>
      <c r="C936" s="16" t="e">
        <f>#REF!</f>
        <v>#REF!</v>
      </c>
      <c r="D936" s="16" t="e">
        <f>#REF!</f>
        <v>#REF!</v>
      </c>
      <c r="E936" s="16" t="e">
        <f>#REF!</f>
        <v>#REF!</v>
      </c>
      <c r="F936" s="16" t="e">
        <f>#REF!</f>
        <v>#REF!</v>
      </c>
      <c r="G936" s="16" t="e">
        <f>#REF!</f>
        <v>#REF!</v>
      </c>
      <c r="H936" s="16" t="e">
        <f>#REF!</f>
        <v>#REF!</v>
      </c>
      <c r="I936" s="16" t="e">
        <f>#REF!</f>
        <v>#REF!</v>
      </c>
      <c r="J936" s="16" t="e">
        <f>#REF!</f>
        <v>#REF!</v>
      </c>
      <c r="K936" s="16" t="s">
        <v>744</v>
      </c>
      <c r="L936" s="16"/>
      <c r="M936" s="16"/>
      <c r="N936" s="16"/>
      <c r="O936" s="16"/>
    </row>
    <row r="937" spans="1:15" ht="22.5" customHeight="1" thickTop="1" thickBot="1" x14ac:dyDescent="0.25">
      <c r="A937" s="16" t="e">
        <f>#REF!</f>
        <v>#REF!</v>
      </c>
      <c r="B937" s="16" t="e">
        <f>#REF!</f>
        <v>#REF!</v>
      </c>
      <c r="C937" s="16" t="e">
        <f>#REF!</f>
        <v>#REF!</v>
      </c>
      <c r="D937" s="16" t="e">
        <f>#REF!</f>
        <v>#REF!</v>
      </c>
      <c r="E937" s="16" t="e">
        <f>#REF!</f>
        <v>#REF!</v>
      </c>
      <c r="F937" s="16" t="e">
        <f>#REF!</f>
        <v>#REF!</v>
      </c>
      <c r="G937" s="16" t="e">
        <f>#REF!</f>
        <v>#REF!</v>
      </c>
      <c r="H937" s="16" t="e">
        <f>#REF!</f>
        <v>#REF!</v>
      </c>
      <c r="I937" s="16" t="e">
        <f>#REF!</f>
        <v>#REF!</v>
      </c>
      <c r="J937" s="16" t="e">
        <f>#REF!</f>
        <v>#REF!</v>
      </c>
      <c r="K937" s="16" t="s">
        <v>744</v>
      </c>
      <c r="L937" s="16"/>
      <c r="M937" s="16"/>
      <c r="N937" s="16"/>
      <c r="O937" s="16"/>
    </row>
    <row r="938" spans="1:15" ht="22.5" customHeight="1" thickTop="1" thickBot="1" x14ac:dyDescent="0.25">
      <c r="A938" s="16" t="e">
        <f>#REF!</f>
        <v>#REF!</v>
      </c>
      <c r="B938" s="16" t="e">
        <f>#REF!</f>
        <v>#REF!</v>
      </c>
      <c r="C938" s="16" t="e">
        <f>#REF!</f>
        <v>#REF!</v>
      </c>
      <c r="D938" s="16" t="e">
        <f>#REF!</f>
        <v>#REF!</v>
      </c>
      <c r="E938" s="16" t="e">
        <f>#REF!</f>
        <v>#REF!</v>
      </c>
      <c r="F938" s="16" t="e">
        <f>#REF!</f>
        <v>#REF!</v>
      </c>
      <c r="G938" s="16" t="e">
        <f>#REF!</f>
        <v>#REF!</v>
      </c>
      <c r="H938" s="16" t="e">
        <f>#REF!</f>
        <v>#REF!</v>
      </c>
      <c r="I938" s="16" t="e">
        <f>#REF!</f>
        <v>#REF!</v>
      </c>
      <c r="J938" s="16" t="e">
        <f>#REF!</f>
        <v>#REF!</v>
      </c>
      <c r="K938" s="16" t="s">
        <v>744</v>
      </c>
      <c r="L938" s="16"/>
      <c r="M938" s="16"/>
      <c r="N938" s="16"/>
      <c r="O938" s="16"/>
    </row>
    <row r="939" spans="1:15" ht="22.5" customHeight="1" thickTop="1" thickBot="1" x14ac:dyDescent="0.25">
      <c r="A939" s="16" t="e">
        <f>#REF!</f>
        <v>#REF!</v>
      </c>
      <c r="B939" s="16" t="e">
        <f>#REF!</f>
        <v>#REF!</v>
      </c>
      <c r="C939" s="16" t="e">
        <f>#REF!</f>
        <v>#REF!</v>
      </c>
      <c r="D939" s="16" t="e">
        <f>#REF!</f>
        <v>#REF!</v>
      </c>
      <c r="E939" s="16" t="e">
        <f>#REF!</f>
        <v>#REF!</v>
      </c>
      <c r="F939" s="16" t="e">
        <f>#REF!</f>
        <v>#REF!</v>
      </c>
      <c r="G939" s="16" t="e">
        <f>#REF!</f>
        <v>#REF!</v>
      </c>
      <c r="H939" s="16" t="e">
        <f>#REF!</f>
        <v>#REF!</v>
      </c>
      <c r="I939" s="16" t="e">
        <f>#REF!</f>
        <v>#REF!</v>
      </c>
      <c r="J939" s="16" t="e">
        <f>#REF!</f>
        <v>#REF!</v>
      </c>
      <c r="K939" s="16" t="s">
        <v>744</v>
      </c>
      <c r="L939" s="16"/>
      <c r="M939" s="16"/>
      <c r="N939" s="16"/>
      <c r="O939" s="16"/>
    </row>
    <row r="940" spans="1:15" ht="22.5" customHeight="1" thickTop="1" thickBot="1" x14ac:dyDescent="0.25">
      <c r="A940" s="16" t="e">
        <f>#REF!</f>
        <v>#REF!</v>
      </c>
      <c r="B940" s="16" t="e">
        <f>#REF!</f>
        <v>#REF!</v>
      </c>
      <c r="C940" s="16" t="e">
        <f>#REF!</f>
        <v>#REF!</v>
      </c>
      <c r="D940" s="16" t="e">
        <f>#REF!</f>
        <v>#REF!</v>
      </c>
      <c r="E940" s="16" t="e">
        <f>#REF!</f>
        <v>#REF!</v>
      </c>
      <c r="F940" s="16" t="e">
        <f>#REF!</f>
        <v>#REF!</v>
      </c>
      <c r="G940" s="16" t="e">
        <f>#REF!</f>
        <v>#REF!</v>
      </c>
      <c r="H940" s="16" t="e">
        <f>#REF!</f>
        <v>#REF!</v>
      </c>
      <c r="I940" s="16" t="e">
        <f>#REF!</f>
        <v>#REF!</v>
      </c>
      <c r="J940" s="16" t="e">
        <f>#REF!</f>
        <v>#REF!</v>
      </c>
      <c r="K940" s="16" t="s">
        <v>744</v>
      </c>
      <c r="L940" s="16"/>
      <c r="M940" s="16"/>
      <c r="N940" s="16"/>
      <c r="O940" s="16"/>
    </row>
    <row r="941" spans="1:15" ht="22.5" customHeight="1" thickTop="1" thickBot="1" x14ac:dyDescent="0.25">
      <c r="A941" s="16" t="e">
        <f>#REF!</f>
        <v>#REF!</v>
      </c>
      <c r="B941" s="16" t="e">
        <f>#REF!</f>
        <v>#REF!</v>
      </c>
      <c r="C941" s="16" t="e">
        <f>#REF!</f>
        <v>#REF!</v>
      </c>
      <c r="D941" s="16" t="e">
        <f>#REF!</f>
        <v>#REF!</v>
      </c>
      <c r="E941" s="16" t="e">
        <f>#REF!</f>
        <v>#REF!</v>
      </c>
      <c r="F941" s="16" t="e">
        <f>#REF!</f>
        <v>#REF!</v>
      </c>
      <c r="G941" s="16" t="e">
        <f>#REF!</f>
        <v>#REF!</v>
      </c>
      <c r="H941" s="16" t="e">
        <f>#REF!</f>
        <v>#REF!</v>
      </c>
      <c r="I941" s="16" t="e">
        <f>#REF!</f>
        <v>#REF!</v>
      </c>
      <c r="J941" s="16" t="e">
        <f>#REF!</f>
        <v>#REF!</v>
      </c>
      <c r="K941" s="16" t="s">
        <v>744</v>
      </c>
      <c r="L941" s="16"/>
      <c r="M941" s="16"/>
      <c r="N941" s="16"/>
      <c r="O941" s="16"/>
    </row>
    <row r="942" spans="1:15" ht="22.5" customHeight="1" thickTop="1" thickBot="1" x14ac:dyDescent="0.25">
      <c r="A942" s="16" t="e">
        <f>#REF!</f>
        <v>#REF!</v>
      </c>
      <c r="B942" s="16" t="e">
        <f>#REF!</f>
        <v>#REF!</v>
      </c>
      <c r="C942" s="16" t="e">
        <f>#REF!</f>
        <v>#REF!</v>
      </c>
      <c r="D942" s="16" t="e">
        <f>#REF!</f>
        <v>#REF!</v>
      </c>
      <c r="E942" s="16" t="e">
        <f>#REF!</f>
        <v>#REF!</v>
      </c>
      <c r="F942" s="16" t="e">
        <f>#REF!</f>
        <v>#REF!</v>
      </c>
      <c r="G942" s="16" t="e">
        <f>#REF!</f>
        <v>#REF!</v>
      </c>
      <c r="H942" s="16" t="e">
        <f>#REF!</f>
        <v>#REF!</v>
      </c>
      <c r="I942" s="16" t="e">
        <f>#REF!</f>
        <v>#REF!</v>
      </c>
      <c r="J942" s="16" t="e">
        <f>#REF!</f>
        <v>#REF!</v>
      </c>
      <c r="K942" s="16" t="s">
        <v>744</v>
      </c>
      <c r="L942" s="16"/>
      <c r="M942" s="16"/>
      <c r="N942" s="16"/>
      <c r="O942" s="16"/>
    </row>
    <row r="943" spans="1:15" ht="22.5" customHeight="1" thickTop="1" thickBot="1" x14ac:dyDescent="0.25">
      <c r="A943" s="16" t="e">
        <f>#REF!</f>
        <v>#REF!</v>
      </c>
      <c r="B943" s="16" t="e">
        <f>#REF!</f>
        <v>#REF!</v>
      </c>
      <c r="C943" s="16" t="e">
        <f>#REF!</f>
        <v>#REF!</v>
      </c>
      <c r="D943" s="16" t="e">
        <f>#REF!</f>
        <v>#REF!</v>
      </c>
      <c r="E943" s="16" t="e">
        <f>#REF!</f>
        <v>#REF!</v>
      </c>
      <c r="F943" s="16" t="e">
        <f>#REF!</f>
        <v>#REF!</v>
      </c>
      <c r="G943" s="16" t="e">
        <f>#REF!</f>
        <v>#REF!</v>
      </c>
      <c r="H943" s="16" t="e">
        <f>#REF!</f>
        <v>#REF!</v>
      </c>
      <c r="I943" s="16" t="e">
        <f>#REF!</f>
        <v>#REF!</v>
      </c>
      <c r="J943" s="16" t="e">
        <f>#REF!</f>
        <v>#REF!</v>
      </c>
      <c r="K943" s="16" t="s">
        <v>744</v>
      </c>
      <c r="L943" s="16"/>
      <c r="M943" s="16"/>
      <c r="N943" s="16"/>
      <c r="O943" s="16"/>
    </row>
    <row r="944" spans="1:15" ht="22.5" customHeight="1" thickTop="1" thickBot="1" x14ac:dyDescent="0.25">
      <c r="A944" s="16" t="e">
        <f>#REF!</f>
        <v>#REF!</v>
      </c>
      <c r="B944" s="16" t="e">
        <f>#REF!</f>
        <v>#REF!</v>
      </c>
      <c r="C944" s="16" t="e">
        <f>#REF!</f>
        <v>#REF!</v>
      </c>
      <c r="D944" s="16" t="e">
        <f>#REF!</f>
        <v>#REF!</v>
      </c>
      <c r="E944" s="16" t="e">
        <f>#REF!</f>
        <v>#REF!</v>
      </c>
      <c r="F944" s="16" t="e">
        <f>#REF!</f>
        <v>#REF!</v>
      </c>
      <c r="G944" s="16" t="e">
        <f>#REF!</f>
        <v>#REF!</v>
      </c>
      <c r="H944" s="16" t="e">
        <f>#REF!</f>
        <v>#REF!</v>
      </c>
      <c r="I944" s="16" t="e">
        <f>#REF!</f>
        <v>#REF!</v>
      </c>
      <c r="J944" s="16" t="e">
        <f>#REF!</f>
        <v>#REF!</v>
      </c>
      <c r="K944" s="16" t="s">
        <v>744</v>
      </c>
      <c r="L944" s="16"/>
      <c r="M944" s="16"/>
      <c r="N944" s="16"/>
      <c r="O944" s="16"/>
    </row>
    <row r="945" spans="1:15" ht="22.5" customHeight="1" thickTop="1" thickBot="1" x14ac:dyDescent="0.25">
      <c r="A945" s="16" t="e">
        <f>#REF!</f>
        <v>#REF!</v>
      </c>
      <c r="B945" s="16" t="e">
        <f>#REF!</f>
        <v>#REF!</v>
      </c>
      <c r="C945" s="16" t="e">
        <f>#REF!</f>
        <v>#REF!</v>
      </c>
      <c r="D945" s="16" t="e">
        <f>#REF!</f>
        <v>#REF!</v>
      </c>
      <c r="E945" s="16" t="e">
        <f>#REF!</f>
        <v>#REF!</v>
      </c>
      <c r="F945" s="16" t="e">
        <f>#REF!</f>
        <v>#REF!</v>
      </c>
      <c r="G945" s="16" t="e">
        <f>#REF!</f>
        <v>#REF!</v>
      </c>
      <c r="H945" s="16" t="e">
        <f>#REF!</f>
        <v>#REF!</v>
      </c>
      <c r="I945" s="16" t="e">
        <f>#REF!</f>
        <v>#REF!</v>
      </c>
      <c r="J945" s="16" t="e">
        <f>#REF!</f>
        <v>#REF!</v>
      </c>
      <c r="K945" s="16" t="s">
        <v>744</v>
      </c>
      <c r="L945" s="16"/>
      <c r="M945" s="16"/>
      <c r="N945" s="16"/>
      <c r="O945" s="16"/>
    </row>
    <row r="946" spans="1:15" ht="22.5" customHeight="1" thickTop="1" thickBot="1" x14ac:dyDescent="0.25">
      <c r="A946" s="16" t="e">
        <f>#REF!</f>
        <v>#REF!</v>
      </c>
      <c r="B946" s="16" t="e">
        <f>#REF!</f>
        <v>#REF!</v>
      </c>
      <c r="C946" s="16" t="e">
        <f>#REF!</f>
        <v>#REF!</v>
      </c>
      <c r="D946" s="16" t="e">
        <f>#REF!</f>
        <v>#REF!</v>
      </c>
      <c r="E946" s="16" t="e">
        <f>#REF!</f>
        <v>#REF!</v>
      </c>
      <c r="F946" s="16" t="e">
        <f>#REF!</f>
        <v>#REF!</v>
      </c>
      <c r="G946" s="16" t="e">
        <f>#REF!</f>
        <v>#REF!</v>
      </c>
      <c r="H946" s="16" t="e">
        <f>#REF!</f>
        <v>#REF!</v>
      </c>
      <c r="I946" s="16" t="e">
        <f>#REF!</f>
        <v>#REF!</v>
      </c>
      <c r="J946" s="16" t="e">
        <f>#REF!</f>
        <v>#REF!</v>
      </c>
      <c r="K946" s="16" t="s">
        <v>744</v>
      </c>
      <c r="L946" s="16"/>
      <c r="M946" s="16"/>
      <c r="N946" s="16"/>
      <c r="O946" s="16"/>
    </row>
    <row r="947" spans="1:15" ht="22.5" customHeight="1" thickTop="1" thickBot="1" x14ac:dyDescent="0.25">
      <c r="A947" s="16" t="e">
        <f>#REF!</f>
        <v>#REF!</v>
      </c>
      <c r="B947" s="16" t="e">
        <f>#REF!</f>
        <v>#REF!</v>
      </c>
      <c r="C947" s="16" t="e">
        <f>#REF!</f>
        <v>#REF!</v>
      </c>
      <c r="D947" s="16" t="e">
        <f>#REF!</f>
        <v>#REF!</v>
      </c>
      <c r="E947" s="16" t="e">
        <f>#REF!</f>
        <v>#REF!</v>
      </c>
      <c r="F947" s="16" t="e">
        <f>#REF!</f>
        <v>#REF!</v>
      </c>
      <c r="G947" s="16" t="e">
        <f>#REF!</f>
        <v>#REF!</v>
      </c>
      <c r="H947" s="16" t="e">
        <f>#REF!</f>
        <v>#REF!</v>
      </c>
      <c r="I947" s="16" t="e">
        <f>#REF!</f>
        <v>#REF!</v>
      </c>
      <c r="J947" s="16" t="e">
        <f>#REF!</f>
        <v>#REF!</v>
      </c>
      <c r="K947" s="16"/>
      <c r="L947" s="16"/>
      <c r="M947" s="16"/>
      <c r="N947" s="16"/>
      <c r="O947" s="16"/>
    </row>
    <row r="948" spans="1:15" ht="22.5" customHeight="1" thickTop="1" thickBot="1" x14ac:dyDescent="0.25">
      <c r="A948" s="16" t="e">
        <f>#REF!</f>
        <v>#REF!</v>
      </c>
      <c r="B948" s="16" t="e">
        <f>#REF!</f>
        <v>#REF!</v>
      </c>
      <c r="C948" s="16" t="e">
        <f>#REF!</f>
        <v>#REF!</v>
      </c>
      <c r="D948" s="16" t="e">
        <f>#REF!</f>
        <v>#REF!</v>
      </c>
      <c r="E948" s="16" t="e">
        <f>#REF!</f>
        <v>#REF!</v>
      </c>
      <c r="F948" s="16" t="e">
        <f>#REF!</f>
        <v>#REF!</v>
      </c>
      <c r="G948" s="16" t="e">
        <f>#REF!</f>
        <v>#REF!</v>
      </c>
      <c r="H948" s="16" t="e">
        <f>#REF!</f>
        <v>#REF!</v>
      </c>
      <c r="I948" s="16" t="e">
        <f>#REF!</f>
        <v>#REF!</v>
      </c>
      <c r="J948" s="16" t="e">
        <f>#REF!</f>
        <v>#REF!</v>
      </c>
      <c r="K948" s="16" t="s">
        <v>744</v>
      </c>
      <c r="L948" s="16"/>
      <c r="M948" s="16"/>
      <c r="N948" s="16"/>
      <c r="O948" s="16"/>
    </row>
    <row r="949" spans="1:15" ht="22.5" customHeight="1" thickTop="1" thickBot="1" x14ac:dyDescent="0.25">
      <c r="A949" s="16" t="e">
        <f>#REF!</f>
        <v>#REF!</v>
      </c>
      <c r="B949" s="16" t="e">
        <f>#REF!</f>
        <v>#REF!</v>
      </c>
      <c r="C949" s="16" t="e">
        <f>#REF!</f>
        <v>#REF!</v>
      </c>
      <c r="D949" s="16" t="e">
        <f>#REF!</f>
        <v>#REF!</v>
      </c>
      <c r="E949" s="16" t="e">
        <f>#REF!</f>
        <v>#REF!</v>
      </c>
      <c r="F949" s="16" t="e">
        <f>#REF!</f>
        <v>#REF!</v>
      </c>
      <c r="G949" s="16" t="e">
        <f>#REF!</f>
        <v>#REF!</v>
      </c>
      <c r="H949" s="16" t="e">
        <f>#REF!</f>
        <v>#REF!</v>
      </c>
      <c r="I949" s="16" t="e">
        <f>#REF!</f>
        <v>#REF!</v>
      </c>
      <c r="J949" s="16" t="e">
        <f>#REF!</f>
        <v>#REF!</v>
      </c>
      <c r="K949" s="16"/>
      <c r="L949" s="16"/>
      <c r="M949" s="16"/>
      <c r="N949" s="16"/>
      <c r="O949" s="16"/>
    </row>
    <row r="950" spans="1:15" ht="22.5" customHeight="1" thickTop="1" thickBot="1" x14ac:dyDescent="0.25">
      <c r="A950" s="16" t="e">
        <f>#REF!</f>
        <v>#REF!</v>
      </c>
      <c r="B950" s="16" t="e">
        <f>#REF!</f>
        <v>#REF!</v>
      </c>
      <c r="C950" s="16" t="e">
        <f>#REF!</f>
        <v>#REF!</v>
      </c>
      <c r="D950" s="16" t="e">
        <f>#REF!</f>
        <v>#REF!</v>
      </c>
      <c r="E950" s="16" t="e">
        <f>#REF!</f>
        <v>#REF!</v>
      </c>
      <c r="F950" s="16" t="e">
        <f>#REF!</f>
        <v>#REF!</v>
      </c>
      <c r="G950" s="16" t="e">
        <f>#REF!</f>
        <v>#REF!</v>
      </c>
      <c r="H950" s="16" t="e">
        <f>#REF!</f>
        <v>#REF!</v>
      </c>
      <c r="I950" s="16" t="e">
        <f>#REF!</f>
        <v>#REF!</v>
      </c>
      <c r="J950" s="16" t="e">
        <f>#REF!</f>
        <v>#REF!</v>
      </c>
      <c r="K950" s="16"/>
      <c r="L950" s="16"/>
      <c r="M950" s="16"/>
      <c r="N950" s="16"/>
      <c r="O950" s="16"/>
    </row>
    <row r="951" spans="1:15" ht="22.5" customHeight="1" thickTop="1" thickBot="1" x14ac:dyDescent="0.25">
      <c r="A951" s="16" t="e">
        <f>#REF!</f>
        <v>#REF!</v>
      </c>
      <c r="B951" s="16" t="e">
        <f>#REF!</f>
        <v>#REF!</v>
      </c>
      <c r="C951" s="16" t="e">
        <f>#REF!</f>
        <v>#REF!</v>
      </c>
      <c r="D951" s="16" t="e">
        <f>#REF!</f>
        <v>#REF!</v>
      </c>
      <c r="E951" s="16" t="e">
        <f>#REF!</f>
        <v>#REF!</v>
      </c>
      <c r="F951" s="16" t="e">
        <f>#REF!</f>
        <v>#REF!</v>
      </c>
      <c r="G951" s="16" t="e">
        <f>#REF!</f>
        <v>#REF!</v>
      </c>
      <c r="H951" s="16" t="e">
        <f>#REF!</f>
        <v>#REF!</v>
      </c>
      <c r="I951" s="16" t="e">
        <f>#REF!</f>
        <v>#REF!</v>
      </c>
      <c r="J951" s="16" t="e">
        <f>#REF!</f>
        <v>#REF!</v>
      </c>
      <c r="K951" s="16"/>
      <c r="L951" s="16"/>
      <c r="M951" s="16"/>
      <c r="N951" s="16"/>
      <c r="O951" s="16"/>
    </row>
    <row r="952" spans="1:15" ht="22.5" customHeight="1" thickTop="1" thickBot="1" x14ac:dyDescent="0.25">
      <c r="A952" s="16" t="e">
        <f>#REF!</f>
        <v>#REF!</v>
      </c>
      <c r="B952" s="16" t="e">
        <f>#REF!</f>
        <v>#REF!</v>
      </c>
      <c r="C952" s="16" t="e">
        <f>#REF!</f>
        <v>#REF!</v>
      </c>
      <c r="D952" s="16" t="e">
        <f>#REF!</f>
        <v>#REF!</v>
      </c>
      <c r="E952" s="16" t="e">
        <f>#REF!</f>
        <v>#REF!</v>
      </c>
      <c r="F952" s="16" t="e">
        <f>#REF!</f>
        <v>#REF!</v>
      </c>
      <c r="G952" s="16" t="e">
        <f>#REF!</f>
        <v>#REF!</v>
      </c>
      <c r="H952" s="16" t="e">
        <f>#REF!</f>
        <v>#REF!</v>
      </c>
      <c r="I952" s="16" t="e">
        <f>#REF!</f>
        <v>#REF!</v>
      </c>
      <c r="J952" s="16" t="e">
        <f>#REF!</f>
        <v>#REF!</v>
      </c>
      <c r="K952" s="16"/>
      <c r="L952" s="16"/>
      <c r="M952" s="16"/>
      <c r="N952" s="16"/>
      <c r="O952" s="16"/>
    </row>
    <row r="953" spans="1:15" ht="22.5" customHeight="1" thickTop="1" thickBot="1" x14ac:dyDescent="0.25">
      <c r="A953" s="16" t="e">
        <f>#REF!</f>
        <v>#REF!</v>
      </c>
      <c r="B953" s="16" t="e">
        <f>#REF!</f>
        <v>#REF!</v>
      </c>
      <c r="C953" s="16" t="e">
        <f>#REF!</f>
        <v>#REF!</v>
      </c>
      <c r="D953" s="16" t="e">
        <f>#REF!</f>
        <v>#REF!</v>
      </c>
      <c r="E953" s="16" t="e">
        <f>#REF!</f>
        <v>#REF!</v>
      </c>
      <c r="F953" s="16" t="e">
        <f>#REF!</f>
        <v>#REF!</v>
      </c>
      <c r="G953" s="16" t="e">
        <f>#REF!</f>
        <v>#REF!</v>
      </c>
      <c r="H953" s="16" t="e">
        <f>#REF!</f>
        <v>#REF!</v>
      </c>
      <c r="I953" s="16" t="e">
        <f>#REF!</f>
        <v>#REF!</v>
      </c>
      <c r="J953" s="16" t="e">
        <f>#REF!</f>
        <v>#REF!</v>
      </c>
      <c r="K953" s="16"/>
      <c r="L953" s="16"/>
      <c r="M953" s="16"/>
      <c r="N953" s="16"/>
      <c r="O953" s="16"/>
    </row>
    <row r="954" spans="1:15" ht="22.5" customHeight="1" thickTop="1" thickBot="1" x14ac:dyDescent="0.25">
      <c r="A954" s="16" t="e">
        <f>#REF!</f>
        <v>#REF!</v>
      </c>
      <c r="B954" s="16" t="e">
        <f>#REF!</f>
        <v>#REF!</v>
      </c>
      <c r="C954" s="16" t="e">
        <f>#REF!</f>
        <v>#REF!</v>
      </c>
      <c r="D954" s="16" t="e">
        <f>#REF!</f>
        <v>#REF!</v>
      </c>
      <c r="E954" s="16" t="e">
        <f>#REF!</f>
        <v>#REF!</v>
      </c>
      <c r="F954" s="16" t="e">
        <f>#REF!</f>
        <v>#REF!</v>
      </c>
      <c r="G954" s="16" t="e">
        <f>#REF!</f>
        <v>#REF!</v>
      </c>
      <c r="H954" s="16" t="e">
        <f>#REF!</f>
        <v>#REF!</v>
      </c>
      <c r="I954" s="16" t="e">
        <f>#REF!</f>
        <v>#REF!</v>
      </c>
      <c r="J954" s="16" t="e">
        <f>#REF!</f>
        <v>#REF!</v>
      </c>
      <c r="K954" s="16"/>
      <c r="L954" s="16"/>
      <c r="M954" s="16"/>
      <c r="N954" s="16"/>
      <c r="O954" s="16"/>
    </row>
    <row r="955" spans="1:15" ht="22.5" customHeight="1" thickTop="1" thickBot="1" x14ac:dyDescent="0.25">
      <c r="A955" s="16" t="e">
        <f>#REF!</f>
        <v>#REF!</v>
      </c>
      <c r="B955" s="16" t="e">
        <f>#REF!</f>
        <v>#REF!</v>
      </c>
      <c r="C955" s="16" t="e">
        <f>#REF!</f>
        <v>#REF!</v>
      </c>
      <c r="D955" s="16" t="e">
        <f>#REF!</f>
        <v>#REF!</v>
      </c>
      <c r="E955" s="16" t="e">
        <f>#REF!</f>
        <v>#REF!</v>
      </c>
      <c r="F955" s="16" t="e">
        <f>#REF!</f>
        <v>#REF!</v>
      </c>
      <c r="G955" s="16" t="e">
        <f>#REF!</f>
        <v>#REF!</v>
      </c>
      <c r="H955" s="16" t="e">
        <f>#REF!</f>
        <v>#REF!</v>
      </c>
      <c r="I955" s="16" t="e">
        <f>#REF!</f>
        <v>#REF!</v>
      </c>
      <c r="J955" s="16" t="e">
        <f>#REF!</f>
        <v>#REF!</v>
      </c>
      <c r="K955" s="16"/>
      <c r="L955" s="16"/>
      <c r="M955" s="16"/>
      <c r="N955" s="16"/>
      <c r="O955" s="16"/>
    </row>
    <row r="956" spans="1:15" ht="22.5" customHeight="1" thickTop="1" thickBot="1" x14ac:dyDescent="0.25">
      <c r="A956" s="16" t="e">
        <f>#REF!</f>
        <v>#REF!</v>
      </c>
      <c r="B956" s="16" t="e">
        <f>#REF!</f>
        <v>#REF!</v>
      </c>
      <c r="C956" s="16" t="e">
        <f>#REF!</f>
        <v>#REF!</v>
      </c>
      <c r="D956" s="16" t="e">
        <f>#REF!</f>
        <v>#REF!</v>
      </c>
      <c r="E956" s="16" t="e">
        <f>#REF!</f>
        <v>#REF!</v>
      </c>
      <c r="F956" s="16" t="e">
        <f>#REF!</f>
        <v>#REF!</v>
      </c>
      <c r="G956" s="16" t="e">
        <f>#REF!</f>
        <v>#REF!</v>
      </c>
      <c r="H956" s="16" t="e">
        <f>#REF!</f>
        <v>#REF!</v>
      </c>
      <c r="I956" s="16" t="e">
        <f>#REF!</f>
        <v>#REF!</v>
      </c>
      <c r="J956" s="16" t="e">
        <f>#REF!</f>
        <v>#REF!</v>
      </c>
      <c r="K956" s="16"/>
      <c r="L956" s="16"/>
      <c r="M956" s="16"/>
      <c r="N956" s="16"/>
      <c r="O956" s="16"/>
    </row>
    <row r="957" spans="1:15" ht="22.5" customHeight="1" thickTop="1" thickBot="1" x14ac:dyDescent="0.25">
      <c r="A957" s="16" t="e">
        <f>#REF!</f>
        <v>#REF!</v>
      </c>
      <c r="B957" s="16" t="e">
        <f>#REF!</f>
        <v>#REF!</v>
      </c>
      <c r="C957" s="16" t="e">
        <f>#REF!</f>
        <v>#REF!</v>
      </c>
      <c r="D957" s="16" t="e">
        <f>#REF!</f>
        <v>#REF!</v>
      </c>
      <c r="E957" s="16" t="e">
        <f>#REF!</f>
        <v>#REF!</v>
      </c>
      <c r="F957" s="16" t="e">
        <f>#REF!</f>
        <v>#REF!</v>
      </c>
      <c r="G957" s="16" t="e">
        <f>#REF!</f>
        <v>#REF!</v>
      </c>
      <c r="H957" s="16" t="e">
        <f>#REF!</f>
        <v>#REF!</v>
      </c>
      <c r="I957" s="16" t="e">
        <f>#REF!</f>
        <v>#REF!</v>
      </c>
      <c r="J957" s="16" t="e">
        <f>#REF!</f>
        <v>#REF!</v>
      </c>
      <c r="K957" s="16"/>
      <c r="L957" s="16"/>
      <c r="M957" s="16"/>
      <c r="N957" s="16"/>
      <c r="O957" s="16"/>
    </row>
    <row r="958" spans="1:15" ht="22.5" customHeight="1" thickTop="1" thickBot="1" x14ac:dyDescent="0.25">
      <c r="A958" s="16" t="e">
        <f>#REF!</f>
        <v>#REF!</v>
      </c>
      <c r="B958" s="16" t="e">
        <f>#REF!</f>
        <v>#REF!</v>
      </c>
      <c r="C958" s="16" t="e">
        <f>#REF!</f>
        <v>#REF!</v>
      </c>
      <c r="D958" s="16" t="e">
        <f>#REF!</f>
        <v>#REF!</v>
      </c>
      <c r="E958" s="16" t="e">
        <f>#REF!</f>
        <v>#REF!</v>
      </c>
      <c r="F958" s="16" t="e">
        <f>#REF!</f>
        <v>#REF!</v>
      </c>
      <c r="G958" s="16" t="e">
        <f>#REF!</f>
        <v>#REF!</v>
      </c>
      <c r="H958" s="16" t="e">
        <f>#REF!</f>
        <v>#REF!</v>
      </c>
      <c r="I958" s="16" t="e">
        <f>#REF!</f>
        <v>#REF!</v>
      </c>
      <c r="J958" s="16" t="e">
        <f>#REF!</f>
        <v>#REF!</v>
      </c>
      <c r="K958" s="16"/>
      <c r="L958" s="16"/>
      <c r="M958" s="16"/>
      <c r="N958" s="16"/>
      <c r="O958" s="16"/>
    </row>
    <row r="959" spans="1:15" ht="22.5" customHeight="1" thickTop="1" thickBot="1" x14ac:dyDescent="0.25">
      <c r="A959" s="16" t="e">
        <f>#REF!</f>
        <v>#REF!</v>
      </c>
      <c r="B959" s="16" t="e">
        <f>#REF!</f>
        <v>#REF!</v>
      </c>
      <c r="C959" s="16" t="e">
        <f>#REF!</f>
        <v>#REF!</v>
      </c>
      <c r="D959" s="16" t="e">
        <f>#REF!</f>
        <v>#REF!</v>
      </c>
      <c r="E959" s="16" t="e">
        <f>#REF!</f>
        <v>#REF!</v>
      </c>
      <c r="F959" s="16" t="e">
        <f>#REF!</f>
        <v>#REF!</v>
      </c>
      <c r="G959" s="16" t="e">
        <f>#REF!</f>
        <v>#REF!</v>
      </c>
      <c r="H959" s="16" t="e">
        <f>#REF!</f>
        <v>#REF!</v>
      </c>
      <c r="I959" s="16" t="e">
        <f>#REF!</f>
        <v>#REF!</v>
      </c>
      <c r="J959" s="16" t="e">
        <f>#REF!</f>
        <v>#REF!</v>
      </c>
      <c r="K959" s="16"/>
      <c r="L959" s="16"/>
      <c r="M959" s="16"/>
      <c r="N959" s="16"/>
      <c r="O959" s="16"/>
    </row>
    <row r="960" spans="1:15" ht="22.5" customHeight="1" thickTop="1" thickBot="1" x14ac:dyDescent="0.25">
      <c r="A960" s="16" t="e">
        <f>#REF!</f>
        <v>#REF!</v>
      </c>
      <c r="B960" s="16" t="e">
        <f>#REF!</f>
        <v>#REF!</v>
      </c>
      <c r="C960" s="16" t="e">
        <f>#REF!</f>
        <v>#REF!</v>
      </c>
      <c r="D960" s="16" t="e">
        <f>#REF!</f>
        <v>#REF!</v>
      </c>
      <c r="E960" s="16" t="e">
        <f>#REF!</f>
        <v>#REF!</v>
      </c>
      <c r="F960" s="16" t="e">
        <f>#REF!</f>
        <v>#REF!</v>
      </c>
      <c r="G960" s="16" t="e">
        <f>#REF!</f>
        <v>#REF!</v>
      </c>
      <c r="H960" s="16" t="e">
        <f>#REF!</f>
        <v>#REF!</v>
      </c>
      <c r="I960" s="16" t="e">
        <f>#REF!</f>
        <v>#REF!</v>
      </c>
      <c r="J960" s="16" t="e">
        <f>#REF!</f>
        <v>#REF!</v>
      </c>
      <c r="K960" s="16"/>
      <c r="L960" s="16"/>
      <c r="M960" s="16"/>
      <c r="N960" s="16"/>
      <c r="O960" s="16"/>
    </row>
    <row r="961" spans="1:15" ht="22.5" customHeight="1" thickTop="1" thickBot="1" x14ac:dyDescent="0.25">
      <c r="A961" s="16" t="e">
        <f>#REF!</f>
        <v>#REF!</v>
      </c>
      <c r="B961" s="16" t="e">
        <f>#REF!</f>
        <v>#REF!</v>
      </c>
      <c r="C961" s="16" t="e">
        <f>#REF!</f>
        <v>#REF!</v>
      </c>
      <c r="D961" s="16" t="e">
        <f>#REF!</f>
        <v>#REF!</v>
      </c>
      <c r="E961" s="16" t="e">
        <f>#REF!</f>
        <v>#REF!</v>
      </c>
      <c r="F961" s="16" t="e">
        <f>#REF!</f>
        <v>#REF!</v>
      </c>
      <c r="G961" s="16" t="e">
        <f>#REF!</f>
        <v>#REF!</v>
      </c>
      <c r="H961" s="16" t="e">
        <f>#REF!</f>
        <v>#REF!</v>
      </c>
      <c r="I961" s="16" t="e">
        <f>#REF!</f>
        <v>#REF!</v>
      </c>
      <c r="J961" s="16" t="e">
        <f>#REF!</f>
        <v>#REF!</v>
      </c>
      <c r="K961" s="16"/>
      <c r="L961" s="16"/>
      <c r="M961" s="16"/>
      <c r="N961" s="16"/>
      <c r="O961" s="16"/>
    </row>
    <row r="962" spans="1:15" ht="22.5" customHeight="1" thickTop="1" thickBot="1" x14ac:dyDescent="0.25">
      <c r="A962" s="16" t="e">
        <f>#REF!</f>
        <v>#REF!</v>
      </c>
      <c r="B962" s="16" t="e">
        <f>#REF!</f>
        <v>#REF!</v>
      </c>
      <c r="C962" s="16" t="e">
        <f>#REF!</f>
        <v>#REF!</v>
      </c>
      <c r="D962" s="16" t="e">
        <f>#REF!</f>
        <v>#REF!</v>
      </c>
      <c r="E962" s="16" t="e">
        <f>#REF!</f>
        <v>#REF!</v>
      </c>
      <c r="F962" s="16" t="e">
        <f>#REF!</f>
        <v>#REF!</v>
      </c>
      <c r="G962" s="16" t="e">
        <f>#REF!</f>
        <v>#REF!</v>
      </c>
      <c r="H962" s="16" t="e">
        <f>#REF!</f>
        <v>#REF!</v>
      </c>
      <c r="I962" s="16" t="e">
        <f>#REF!</f>
        <v>#REF!</v>
      </c>
      <c r="J962" s="16" t="e">
        <f>#REF!</f>
        <v>#REF!</v>
      </c>
      <c r="K962" s="16"/>
      <c r="L962" s="16"/>
      <c r="M962" s="16"/>
      <c r="N962" s="16"/>
      <c r="O962" s="16"/>
    </row>
    <row r="963" spans="1:15" ht="22.5" customHeight="1" thickTop="1" thickBot="1" x14ac:dyDescent="0.25">
      <c r="A963" s="16" t="e">
        <f>#REF!</f>
        <v>#REF!</v>
      </c>
      <c r="B963" s="16" t="e">
        <f>#REF!</f>
        <v>#REF!</v>
      </c>
      <c r="C963" s="16" t="e">
        <f>#REF!</f>
        <v>#REF!</v>
      </c>
      <c r="D963" s="16" t="e">
        <f>#REF!</f>
        <v>#REF!</v>
      </c>
      <c r="E963" s="16" t="e">
        <f>#REF!</f>
        <v>#REF!</v>
      </c>
      <c r="F963" s="16" t="e">
        <f>#REF!</f>
        <v>#REF!</v>
      </c>
      <c r="G963" s="16" t="e">
        <f>#REF!</f>
        <v>#REF!</v>
      </c>
      <c r="H963" s="16" t="e">
        <f>#REF!</f>
        <v>#REF!</v>
      </c>
      <c r="I963" s="16" t="e">
        <f>#REF!</f>
        <v>#REF!</v>
      </c>
      <c r="J963" s="16" t="e">
        <f>#REF!</f>
        <v>#REF!</v>
      </c>
      <c r="K963" s="16"/>
      <c r="L963" s="16"/>
      <c r="M963" s="16"/>
      <c r="N963" s="16"/>
      <c r="O963" s="16"/>
    </row>
    <row r="964" spans="1:15" ht="22.5" customHeight="1" thickTop="1" thickBot="1" x14ac:dyDescent="0.25">
      <c r="A964" s="16" t="e">
        <f>#REF!</f>
        <v>#REF!</v>
      </c>
      <c r="B964" s="16" t="e">
        <f>#REF!</f>
        <v>#REF!</v>
      </c>
      <c r="C964" s="16" t="e">
        <f>#REF!</f>
        <v>#REF!</v>
      </c>
      <c r="D964" s="16" t="e">
        <f>#REF!</f>
        <v>#REF!</v>
      </c>
      <c r="E964" s="16" t="e">
        <f>#REF!</f>
        <v>#REF!</v>
      </c>
      <c r="F964" s="16" t="e">
        <f>#REF!</f>
        <v>#REF!</v>
      </c>
      <c r="G964" s="16" t="e">
        <f>#REF!</f>
        <v>#REF!</v>
      </c>
      <c r="H964" s="16" t="e">
        <f>#REF!</f>
        <v>#REF!</v>
      </c>
      <c r="I964" s="16" t="e">
        <f>#REF!</f>
        <v>#REF!</v>
      </c>
      <c r="J964" s="16" t="e">
        <f>#REF!</f>
        <v>#REF!</v>
      </c>
      <c r="K964" s="16"/>
      <c r="L964" s="16"/>
      <c r="M964" s="16"/>
      <c r="N964" s="16"/>
      <c r="O964" s="16"/>
    </row>
    <row r="965" spans="1:15" ht="22.5" customHeight="1" thickTop="1" thickBot="1" x14ac:dyDescent="0.25">
      <c r="A965" s="16" t="e">
        <f>#REF!</f>
        <v>#REF!</v>
      </c>
      <c r="B965" s="16" t="e">
        <f>#REF!</f>
        <v>#REF!</v>
      </c>
      <c r="C965" s="16" t="e">
        <f>#REF!</f>
        <v>#REF!</v>
      </c>
      <c r="D965" s="16" t="e">
        <f>#REF!</f>
        <v>#REF!</v>
      </c>
      <c r="E965" s="16" t="e">
        <f>#REF!</f>
        <v>#REF!</v>
      </c>
      <c r="F965" s="16" t="e">
        <f>#REF!</f>
        <v>#REF!</v>
      </c>
      <c r="G965" s="16" t="e">
        <f>#REF!</f>
        <v>#REF!</v>
      </c>
      <c r="H965" s="16" t="e">
        <f>#REF!</f>
        <v>#REF!</v>
      </c>
      <c r="I965" s="16" t="e">
        <f>#REF!</f>
        <v>#REF!</v>
      </c>
      <c r="J965" s="16" t="e">
        <f>#REF!</f>
        <v>#REF!</v>
      </c>
      <c r="K965" s="16"/>
      <c r="L965" s="16"/>
      <c r="M965" s="16"/>
      <c r="N965" s="16"/>
      <c r="O965" s="16"/>
    </row>
    <row r="966" spans="1:15" ht="22.5" customHeight="1" thickTop="1" thickBot="1" x14ac:dyDescent="0.25">
      <c r="A966" s="16" t="e">
        <f>#REF!</f>
        <v>#REF!</v>
      </c>
      <c r="B966" s="16" t="e">
        <f>#REF!</f>
        <v>#REF!</v>
      </c>
      <c r="C966" s="16" t="e">
        <f>#REF!</f>
        <v>#REF!</v>
      </c>
      <c r="D966" s="16" t="e">
        <f>#REF!</f>
        <v>#REF!</v>
      </c>
      <c r="E966" s="16" t="e">
        <f>#REF!</f>
        <v>#REF!</v>
      </c>
      <c r="F966" s="16" t="e">
        <f>#REF!</f>
        <v>#REF!</v>
      </c>
      <c r="G966" s="16" t="e">
        <f>#REF!</f>
        <v>#REF!</v>
      </c>
      <c r="H966" s="16" t="e">
        <f>#REF!</f>
        <v>#REF!</v>
      </c>
      <c r="I966" s="16" t="e">
        <f>#REF!</f>
        <v>#REF!</v>
      </c>
      <c r="J966" s="16" t="e">
        <f>#REF!</f>
        <v>#REF!</v>
      </c>
      <c r="K966" s="16" t="s">
        <v>744</v>
      </c>
      <c r="L966" s="16"/>
      <c r="M966" s="16"/>
      <c r="N966" s="16"/>
      <c r="O966" s="16"/>
    </row>
    <row r="967" spans="1:15" ht="22.5" customHeight="1" thickTop="1" thickBot="1" x14ac:dyDescent="0.25">
      <c r="A967" s="16" t="e">
        <f>#REF!</f>
        <v>#REF!</v>
      </c>
      <c r="B967" s="16" t="e">
        <f>#REF!</f>
        <v>#REF!</v>
      </c>
      <c r="C967" s="16" t="e">
        <f>#REF!</f>
        <v>#REF!</v>
      </c>
      <c r="D967" s="16" t="e">
        <f>#REF!</f>
        <v>#REF!</v>
      </c>
      <c r="E967" s="16" t="e">
        <f>#REF!</f>
        <v>#REF!</v>
      </c>
      <c r="F967" s="16" t="e">
        <f>#REF!</f>
        <v>#REF!</v>
      </c>
      <c r="G967" s="16" t="e">
        <f>#REF!</f>
        <v>#REF!</v>
      </c>
      <c r="H967" s="16" t="e">
        <f>#REF!</f>
        <v>#REF!</v>
      </c>
      <c r="I967" s="16" t="e">
        <f>#REF!</f>
        <v>#REF!</v>
      </c>
      <c r="J967" s="16" t="e">
        <f>#REF!</f>
        <v>#REF!</v>
      </c>
      <c r="K967" s="16"/>
      <c r="L967" s="16"/>
      <c r="M967" s="16"/>
      <c r="N967" s="16"/>
      <c r="O967" s="16"/>
    </row>
    <row r="968" spans="1:15" ht="22.5" customHeight="1" thickTop="1" thickBot="1" x14ac:dyDescent="0.25">
      <c r="A968" s="16" t="e">
        <f>#REF!</f>
        <v>#REF!</v>
      </c>
      <c r="B968" s="16" t="e">
        <f>#REF!</f>
        <v>#REF!</v>
      </c>
      <c r="C968" s="16" t="e">
        <f>#REF!</f>
        <v>#REF!</v>
      </c>
      <c r="D968" s="16" t="e">
        <f>#REF!</f>
        <v>#REF!</v>
      </c>
      <c r="E968" s="16" t="e">
        <f>#REF!</f>
        <v>#REF!</v>
      </c>
      <c r="F968" s="16" t="e">
        <f>#REF!</f>
        <v>#REF!</v>
      </c>
      <c r="G968" s="16" t="e">
        <f>#REF!</f>
        <v>#REF!</v>
      </c>
      <c r="H968" s="16" t="e">
        <f>#REF!</f>
        <v>#REF!</v>
      </c>
      <c r="I968" s="16" t="e">
        <f>#REF!</f>
        <v>#REF!</v>
      </c>
      <c r="J968" s="16" t="e">
        <f>#REF!</f>
        <v>#REF!</v>
      </c>
      <c r="K968" s="16" t="s">
        <v>744</v>
      </c>
      <c r="L968" s="16"/>
      <c r="M968" s="16"/>
      <c r="N968" s="16"/>
      <c r="O968" s="16"/>
    </row>
    <row r="969" spans="1:15" ht="22.5" customHeight="1" thickTop="1" thickBot="1" x14ac:dyDescent="0.25">
      <c r="A969" s="16" t="e">
        <f>#REF!</f>
        <v>#REF!</v>
      </c>
      <c r="B969" s="16" t="e">
        <f>#REF!</f>
        <v>#REF!</v>
      </c>
      <c r="C969" s="16" t="e">
        <f>#REF!</f>
        <v>#REF!</v>
      </c>
      <c r="D969" s="16" t="e">
        <f>#REF!</f>
        <v>#REF!</v>
      </c>
      <c r="E969" s="16" t="e">
        <f>#REF!</f>
        <v>#REF!</v>
      </c>
      <c r="F969" s="16" t="e">
        <f>#REF!</f>
        <v>#REF!</v>
      </c>
      <c r="G969" s="16" t="e">
        <f>#REF!</f>
        <v>#REF!</v>
      </c>
      <c r="H969" s="16" t="e">
        <f>#REF!</f>
        <v>#REF!</v>
      </c>
      <c r="I969" s="16" t="e">
        <f>#REF!</f>
        <v>#REF!</v>
      </c>
      <c r="J969" s="16" t="e">
        <f>#REF!</f>
        <v>#REF!</v>
      </c>
      <c r="K969" s="16" t="s">
        <v>744</v>
      </c>
      <c r="L969" s="16"/>
      <c r="M969" s="16"/>
      <c r="N969" s="16"/>
      <c r="O969" s="16"/>
    </row>
    <row r="970" spans="1:15" ht="22.5" customHeight="1" thickTop="1" thickBot="1" x14ac:dyDescent="0.25">
      <c r="A970" s="16" t="e">
        <f>#REF!</f>
        <v>#REF!</v>
      </c>
      <c r="B970" s="16" t="e">
        <f>#REF!</f>
        <v>#REF!</v>
      </c>
      <c r="C970" s="16" t="e">
        <f>#REF!</f>
        <v>#REF!</v>
      </c>
      <c r="D970" s="16" t="e">
        <f>#REF!</f>
        <v>#REF!</v>
      </c>
      <c r="E970" s="16" t="e">
        <f>#REF!</f>
        <v>#REF!</v>
      </c>
      <c r="F970" s="16" t="e">
        <f>#REF!</f>
        <v>#REF!</v>
      </c>
      <c r="G970" s="16" t="e">
        <f>#REF!</f>
        <v>#REF!</v>
      </c>
      <c r="H970" s="16" t="e">
        <f>#REF!</f>
        <v>#REF!</v>
      </c>
      <c r="I970" s="16" t="e">
        <f>#REF!</f>
        <v>#REF!</v>
      </c>
      <c r="J970" s="16" t="e">
        <f>#REF!</f>
        <v>#REF!</v>
      </c>
      <c r="K970" s="16" t="s">
        <v>744</v>
      </c>
      <c r="L970" s="16"/>
      <c r="M970" s="16"/>
      <c r="N970" s="16"/>
      <c r="O970" s="16"/>
    </row>
    <row r="971" spans="1:15" ht="22.5" customHeight="1" thickTop="1" thickBot="1" x14ac:dyDescent="0.25">
      <c r="A971" s="16" t="e">
        <f>#REF!</f>
        <v>#REF!</v>
      </c>
      <c r="B971" s="16" t="e">
        <f>#REF!</f>
        <v>#REF!</v>
      </c>
      <c r="C971" s="16" t="e">
        <f>#REF!</f>
        <v>#REF!</v>
      </c>
      <c r="D971" s="16" t="e">
        <f>#REF!</f>
        <v>#REF!</v>
      </c>
      <c r="E971" s="16" t="e">
        <f>#REF!</f>
        <v>#REF!</v>
      </c>
      <c r="F971" s="16" t="e">
        <f>#REF!</f>
        <v>#REF!</v>
      </c>
      <c r="G971" s="16" t="e">
        <f>#REF!</f>
        <v>#REF!</v>
      </c>
      <c r="H971" s="16" t="e">
        <f>#REF!</f>
        <v>#REF!</v>
      </c>
      <c r="I971" s="16" t="e">
        <f>#REF!</f>
        <v>#REF!</v>
      </c>
      <c r="J971" s="16" t="e">
        <f>#REF!</f>
        <v>#REF!</v>
      </c>
      <c r="K971" s="16" t="s">
        <v>744</v>
      </c>
      <c r="L971" s="16"/>
      <c r="M971" s="16"/>
      <c r="N971" s="16"/>
      <c r="O971" s="16"/>
    </row>
    <row r="972" spans="1:15" ht="22.5" customHeight="1" thickTop="1" thickBot="1" x14ac:dyDescent="0.25">
      <c r="A972" s="16" t="e">
        <f>#REF!</f>
        <v>#REF!</v>
      </c>
      <c r="B972" s="16" t="e">
        <f>#REF!</f>
        <v>#REF!</v>
      </c>
      <c r="C972" s="16" t="e">
        <f>#REF!</f>
        <v>#REF!</v>
      </c>
      <c r="D972" s="16" t="e">
        <f>#REF!</f>
        <v>#REF!</v>
      </c>
      <c r="E972" s="16" t="e">
        <f>#REF!</f>
        <v>#REF!</v>
      </c>
      <c r="F972" s="16" t="e">
        <f>#REF!</f>
        <v>#REF!</v>
      </c>
      <c r="G972" s="16" t="e">
        <f>#REF!</f>
        <v>#REF!</v>
      </c>
      <c r="H972" s="16" t="e">
        <f>#REF!</f>
        <v>#REF!</v>
      </c>
      <c r="I972" s="16" t="e">
        <f>#REF!</f>
        <v>#REF!</v>
      </c>
      <c r="J972" s="16" t="e">
        <f>#REF!</f>
        <v>#REF!</v>
      </c>
      <c r="K972" s="16" t="s">
        <v>744</v>
      </c>
      <c r="L972" s="16"/>
      <c r="M972" s="16"/>
      <c r="N972" s="16"/>
      <c r="O972" s="16"/>
    </row>
    <row r="973" spans="1:15" ht="22.5" customHeight="1" thickTop="1" thickBot="1" x14ac:dyDescent="0.25">
      <c r="A973" s="16" t="e">
        <f>#REF!</f>
        <v>#REF!</v>
      </c>
      <c r="B973" s="16" t="e">
        <f>#REF!</f>
        <v>#REF!</v>
      </c>
      <c r="C973" s="16" t="e">
        <f>#REF!</f>
        <v>#REF!</v>
      </c>
      <c r="D973" s="16" t="e">
        <f>#REF!</f>
        <v>#REF!</v>
      </c>
      <c r="E973" s="16" t="e">
        <f>#REF!</f>
        <v>#REF!</v>
      </c>
      <c r="F973" s="16" t="e">
        <f>#REF!</f>
        <v>#REF!</v>
      </c>
      <c r="G973" s="16" t="e">
        <f>#REF!</f>
        <v>#REF!</v>
      </c>
      <c r="H973" s="16" t="e">
        <f>#REF!</f>
        <v>#REF!</v>
      </c>
      <c r="I973" s="16" t="e">
        <f>#REF!</f>
        <v>#REF!</v>
      </c>
      <c r="J973" s="16" t="e">
        <f>#REF!</f>
        <v>#REF!</v>
      </c>
      <c r="K973" s="16"/>
      <c r="L973" s="16"/>
      <c r="M973" s="16"/>
      <c r="N973" s="16"/>
      <c r="O973" s="16"/>
    </row>
    <row r="974" spans="1:15" ht="22.5" customHeight="1" thickTop="1" thickBot="1" x14ac:dyDescent="0.25">
      <c r="A974" s="16" t="e">
        <f>#REF!</f>
        <v>#REF!</v>
      </c>
      <c r="B974" s="16" t="e">
        <f>#REF!</f>
        <v>#REF!</v>
      </c>
      <c r="C974" s="16" t="e">
        <f>#REF!</f>
        <v>#REF!</v>
      </c>
      <c r="D974" s="16" t="e">
        <f>#REF!</f>
        <v>#REF!</v>
      </c>
      <c r="E974" s="16" t="e">
        <f>#REF!</f>
        <v>#REF!</v>
      </c>
      <c r="F974" s="16" t="e">
        <f>#REF!</f>
        <v>#REF!</v>
      </c>
      <c r="G974" s="16" t="e">
        <f>#REF!</f>
        <v>#REF!</v>
      </c>
      <c r="H974" s="16" t="e">
        <f>#REF!</f>
        <v>#REF!</v>
      </c>
      <c r="I974" s="16" t="e">
        <f>#REF!</f>
        <v>#REF!</v>
      </c>
      <c r="J974" s="16" t="e">
        <f>#REF!</f>
        <v>#REF!</v>
      </c>
      <c r="K974" s="16" t="s">
        <v>744</v>
      </c>
      <c r="L974" s="16"/>
      <c r="M974" s="16"/>
      <c r="N974" s="16"/>
      <c r="O974" s="16"/>
    </row>
    <row r="975" spans="1:15" ht="22.5" customHeight="1" thickTop="1" thickBot="1" x14ac:dyDescent="0.25">
      <c r="A975" s="16" t="e">
        <f>#REF!</f>
        <v>#REF!</v>
      </c>
      <c r="B975" s="16" t="e">
        <f>#REF!</f>
        <v>#REF!</v>
      </c>
      <c r="C975" s="16" t="e">
        <f>#REF!</f>
        <v>#REF!</v>
      </c>
      <c r="D975" s="16" t="e">
        <f>#REF!</f>
        <v>#REF!</v>
      </c>
      <c r="E975" s="16" t="e">
        <f>#REF!</f>
        <v>#REF!</v>
      </c>
      <c r="F975" s="16" t="e">
        <f>#REF!</f>
        <v>#REF!</v>
      </c>
      <c r="G975" s="16" t="e">
        <f>#REF!</f>
        <v>#REF!</v>
      </c>
      <c r="H975" s="16" t="e">
        <f>#REF!</f>
        <v>#REF!</v>
      </c>
      <c r="I975" s="16" t="e">
        <f>#REF!</f>
        <v>#REF!</v>
      </c>
      <c r="J975" s="16" t="e">
        <f>#REF!</f>
        <v>#REF!</v>
      </c>
      <c r="K975" s="16" t="s">
        <v>744</v>
      </c>
      <c r="L975" s="16"/>
      <c r="M975" s="16"/>
      <c r="N975" s="16"/>
      <c r="O975" s="16"/>
    </row>
    <row r="976" spans="1:15" ht="22.5" customHeight="1" thickTop="1" thickBot="1" x14ac:dyDescent="0.25">
      <c r="A976" s="16" t="e">
        <f>#REF!</f>
        <v>#REF!</v>
      </c>
      <c r="B976" s="16" t="e">
        <f>#REF!</f>
        <v>#REF!</v>
      </c>
      <c r="C976" s="16" t="e">
        <f>#REF!</f>
        <v>#REF!</v>
      </c>
      <c r="D976" s="16" t="e">
        <f>#REF!</f>
        <v>#REF!</v>
      </c>
      <c r="E976" s="16" t="e">
        <f>#REF!</f>
        <v>#REF!</v>
      </c>
      <c r="F976" s="16" t="e">
        <f>#REF!</f>
        <v>#REF!</v>
      </c>
      <c r="G976" s="16" t="e">
        <f>#REF!</f>
        <v>#REF!</v>
      </c>
      <c r="H976" s="16" t="e">
        <f>#REF!</f>
        <v>#REF!</v>
      </c>
      <c r="I976" s="16" t="e">
        <f>#REF!</f>
        <v>#REF!</v>
      </c>
      <c r="J976" s="16" t="e">
        <f>#REF!</f>
        <v>#REF!</v>
      </c>
      <c r="K976" s="16" t="s">
        <v>744</v>
      </c>
      <c r="L976" s="16"/>
      <c r="M976" s="16"/>
      <c r="N976" s="16"/>
      <c r="O976" s="16"/>
    </row>
    <row r="977" spans="1:15" ht="22.5" customHeight="1" thickTop="1" thickBot="1" x14ac:dyDescent="0.25">
      <c r="A977" s="16" t="e">
        <f>#REF!</f>
        <v>#REF!</v>
      </c>
      <c r="B977" s="16" t="e">
        <f>#REF!</f>
        <v>#REF!</v>
      </c>
      <c r="C977" s="16" t="e">
        <f>#REF!</f>
        <v>#REF!</v>
      </c>
      <c r="D977" s="16" t="e">
        <f>#REF!</f>
        <v>#REF!</v>
      </c>
      <c r="E977" s="16" t="e">
        <f>#REF!</f>
        <v>#REF!</v>
      </c>
      <c r="F977" s="16" t="e">
        <f>#REF!</f>
        <v>#REF!</v>
      </c>
      <c r="G977" s="16" t="e">
        <f>#REF!</f>
        <v>#REF!</v>
      </c>
      <c r="H977" s="16" t="e">
        <f>#REF!</f>
        <v>#REF!</v>
      </c>
      <c r="I977" s="16" t="e">
        <f>#REF!</f>
        <v>#REF!</v>
      </c>
      <c r="J977" s="16" t="e">
        <f>#REF!</f>
        <v>#REF!</v>
      </c>
      <c r="K977" s="16" t="s">
        <v>744</v>
      </c>
      <c r="L977" s="16"/>
      <c r="M977" s="16"/>
      <c r="N977" s="16"/>
      <c r="O977" s="16"/>
    </row>
    <row r="978" spans="1:15" ht="22.5" customHeight="1" thickTop="1" thickBot="1" x14ac:dyDescent="0.25">
      <c r="A978" s="16" t="e">
        <f>#REF!</f>
        <v>#REF!</v>
      </c>
      <c r="B978" s="16" t="e">
        <f>#REF!</f>
        <v>#REF!</v>
      </c>
      <c r="C978" s="16" t="e">
        <f>#REF!</f>
        <v>#REF!</v>
      </c>
      <c r="D978" s="16" t="e">
        <f>#REF!</f>
        <v>#REF!</v>
      </c>
      <c r="E978" s="16" t="e">
        <f>#REF!</f>
        <v>#REF!</v>
      </c>
      <c r="F978" s="16" t="e">
        <f>#REF!</f>
        <v>#REF!</v>
      </c>
      <c r="G978" s="16" t="e">
        <f>#REF!</f>
        <v>#REF!</v>
      </c>
      <c r="H978" s="16" t="e">
        <f>#REF!</f>
        <v>#REF!</v>
      </c>
      <c r="I978" s="16" t="e">
        <f>#REF!</f>
        <v>#REF!</v>
      </c>
      <c r="J978" s="16" t="e">
        <f>#REF!</f>
        <v>#REF!</v>
      </c>
      <c r="K978" s="16" t="s">
        <v>744</v>
      </c>
      <c r="L978" s="16"/>
      <c r="M978" s="16"/>
      <c r="N978" s="16"/>
      <c r="O978" s="16"/>
    </row>
    <row r="979" spans="1:15" ht="22.5" customHeight="1" thickTop="1" thickBot="1" x14ac:dyDescent="0.25">
      <c r="A979" s="16" t="e">
        <f>#REF!</f>
        <v>#REF!</v>
      </c>
      <c r="B979" s="16" t="e">
        <f>#REF!</f>
        <v>#REF!</v>
      </c>
      <c r="C979" s="16" t="e">
        <f>#REF!</f>
        <v>#REF!</v>
      </c>
      <c r="D979" s="16" t="e">
        <f>#REF!</f>
        <v>#REF!</v>
      </c>
      <c r="E979" s="16" t="e">
        <f>#REF!</f>
        <v>#REF!</v>
      </c>
      <c r="F979" s="16" t="e">
        <f>#REF!</f>
        <v>#REF!</v>
      </c>
      <c r="G979" s="16" t="e">
        <f>#REF!</f>
        <v>#REF!</v>
      </c>
      <c r="H979" s="16" t="e">
        <f>#REF!</f>
        <v>#REF!</v>
      </c>
      <c r="I979" s="16" t="e">
        <f>#REF!</f>
        <v>#REF!</v>
      </c>
      <c r="J979" s="16" t="e">
        <f>#REF!</f>
        <v>#REF!</v>
      </c>
      <c r="K979" s="16" t="s">
        <v>744</v>
      </c>
      <c r="L979" s="16"/>
      <c r="M979" s="16"/>
      <c r="N979" s="16"/>
      <c r="O979" s="16"/>
    </row>
    <row r="980" spans="1:15" ht="22.5" customHeight="1" thickTop="1" thickBot="1" x14ac:dyDescent="0.25">
      <c r="A980" s="16" t="e">
        <f>#REF!</f>
        <v>#REF!</v>
      </c>
      <c r="B980" s="16" t="e">
        <f>#REF!</f>
        <v>#REF!</v>
      </c>
      <c r="C980" s="16" t="e">
        <f>#REF!</f>
        <v>#REF!</v>
      </c>
      <c r="D980" s="16" t="e">
        <f>#REF!</f>
        <v>#REF!</v>
      </c>
      <c r="E980" s="16" t="e">
        <f>#REF!</f>
        <v>#REF!</v>
      </c>
      <c r="F980" s="16" t="e">
        <f>#REF!</f>
        <v>#REF!</v>
      </c>
      <c r="G980" s="16" t="e">
        <f>#REF!</f>
        <v>#REF!</v>
      </c>
      <c r="H980" s="16" t="e">
        <f>#REF!</f>
        <v>#REF!</v>
      </c>
      <c r="I980" s="16" t="e">
        <f>#REF!</f>
        <v>#REF!</v>
      </c>
      <c r="J980" s="16" t="e">
        <f>#REF!</f>
        <v>#REF!</v>
      </c>
      <c r="K980" s="16"/>
      <c r="L980" s="16"/>
      <c r="M980" s="16"/>
      <c r="N980" s="16"/>
      <c r="O980" s="16"/>
    </row>
    <row r="981" spans="1:15" ht="22.5" customHeight="1" thickTop="1" thickBot="1" x14ac:dyDescent="0.25">
      <c r="A981" s="16" t="e">
        <f>#REF!</f>
        <v>#REF!</v>
      </c>
      <c r="B981" s="16" t="e">
        <f>#REF!</f>
        <v>#REF!</v>
      </c>
      <c r="C981" s="16" t="e">
        <f>#REF!</f>
        <v>#REF!</v>
      </c>
      <c r="D981" s="16" t="e">
        <f>#REF!</f>
        <v>#REF!</v>
      </c>
      <c r="E981" s="16" t="e">
        <f>#REF!</f>
        <v>#REF!</v>
      </c>
      <c r="F981" s="16" t="e">
        <f>#REF!</f>
        <v>#REF!</v>
      </c>
      <c r="G981" s="16" t="e">
        <f>#REF!</f>
        <v>#REF!</v>
      </c>
      <c r="H981" s="16" t="e">
        <f>#REF!</f>
        <v>#REF!</v>
      </c>
      <c r="I981" s="16" t="e">
        <f>#REF!</f>
        <v>#REF!</v>
      </c>
      <c r="J981" s="16" t="e">
        <f>#REF!</f>
        <v>#REF!</v>
      </c>
      <c r="K981" s="16" t="s">
        <v>744</v>
      </c>
      <c r="L981" s="16"/>
      <c r="M981" s="16"/>
      <c r="N981" s="16"/>
      <c r="O981" s="16"/>
    </row>
    <row r="982" spans="1:15" ht="22.5" customHeight="1" thickTop="1" thickBot="1" x14ac:dyDescent="0.25">
      <c r="A982" s="16" t="e">
        <f>#REF!</f>
        <v>#REF!</v>
      </c>
      <c r="B982" s="16" t="e">
        <f>#REF!</f>
        <v>#REF!</v>
      </c>
      <c r="C982" s="16" t="e">
        <f>#REF!</f>
        <v>#REF!</v>
      </c>
      <c r="D982" s="16" t="e">
        <f>#REF!</f>
        <v>#REF!</v>
      </c>
      <c r="E982" s="16" t="e">
        <f>#REF!</f>
        <v>#REF!</v>
      </c>
      <c r="F982" s="16" t="e">
        <f>#REF!</f>
        <v>#REF!</v>
      </c>
      <c r="G982" s="16" t="e">
        <f>#REF!</f>
        <v>#REF!</v>
      </c>
      <c r="H982" s="16" t="e">
        <f>#REF!</f>
        <v>#REF!</v>
      </c>
      <c r="I982" s="16" t="e">
        <f>#REF!</f>
        <v>#REF!</v>
      </c>
      <c r="J982" s="16" t="e">
        <f>#REF!</f>
        <v>#REF!</v>
      </c>
      <c r="K982" s="16" t="s">
        <v>744</v>
      </c>
      <c r="L982" s="16"/>
      <c r="M982" s="16"/>
      <c r="N982" s="16"/>
      <c r="O982" s="16"/>
    </row>
    <row r="983" spans="1:15" ht="22.5" customHeight="1" thickTop="1" thickBot="1" x14ac:dyDescent="0.25">
      <c r="A983" s="16" t="e">
        <f>#REF!</f>
        <v>#REF!</v>
      </c>
      <c r="B983" s="16" t="e">
        <f>#REF!</f>
        <v>#REF!</v>
      </c>
      <c r="C983" s="16" t="e">
        <f>#REF!</f>
        <v>#REF!</v>
      </c>
      <c r="D983" s="16" t="e">
        <f>#REF!</f>
        <v>#REF!</v>
      </c>
      <c r="E983" s="16" t="e">
        <f>#REF!</f>
        <v>#REF!</v>
      </c>
      <c r="F983" s="16" t="e">
        <f>#REF!</f>
        <v>#REF!</v>
      </c>
      <c r="G983" s="16" t="e">
        <f>#REF!</f>
        <v>#REF!</v>
      </c>
      <c r="H983" s="16" t="e">
        <f>#REF!</f>
        <v>#REF!</v>
      </c>
      <c r="I983" s="16" t="e">
        <f>#REF!</f>
        <v>#REF!</v>
      </c>
      <c r="J983" s="16" t="e">
        <f>#REF!</f>
        <v>#REF!</v>
      </c>
      <c r="K983" s="16" t="s">
        <v>744</v>
      </c>
      <c r="L983" s="16"/>
      <c r="M983" s="16"/>
      <c r="N983" s="16"/>
      <c r="O983" s="16"/>
    </row>
    <row r="984" spans="1:15" ht="22.5" customHeight="1" thickTop="1" thickBot="1" x14ac:dyDescent="0.25">
      <c r="A984" s="16" t="e">
        <f>#REF!</f>
        <v>#REF!</v>
      </c>
      <c r="B984" s="16" t="e">
        <f>#REF!</f>
        <v>#REF!</v>
      </c>
      <c r="C984" s="16" t="e">
        <f>#REF!</f>
        <v>#REF!</v>
      </c>
      <c r="D984" s="16" t="e">
        <f>#REF!</f>
        <v>#REF!</v>
      </c>
      <c r="E984" s="16" t="e">
        <f>#REF!</f>
        <v>#REF!</v>
      </c>
      <c r="F984" s="16" t="e">
        <f>#REF!</f>
        <v>#REF!</v>
      </c>
      <c r="G984" s="16" t="e">
        <f>#REF!</f>
        <v>#REF!</v>
      </c>
      <c r="H984" s="16" t="e">
        <f>#REF!</f>
        <v>#REF!</v>
      </c>
      <c r="I984" s="16" t="e">
        <f>#REF!</f>
        <v>#REF!</v>
      </c>
      <c r="J984" s="16" t="e">
        <f>#REF!</f>
        <v>#REF!</v>
      </c>
      <c r="K984" s="16" t="s">
        <v>744</v>
      </c>
      <c r="L984" s="16"/>
      <c r="M984" s="16"/>
      <c r="N984" s="16"/>
      <c r="O984" s="16"/>
    </row>
    <row r="985" spans="1:15" ht="22.5" customHeight="1" thickTop="1" thickBot="1" x14ac:dyDescent="0.25">
      <c r="A985" s="16" t="e">
        <f>#REF!</f>
        <v>#REF!</v>
      </c>
      <c r="B985" s="16" t="e">
        <f>#REF!</f>
        <v>#REF!</v>
      </c>
      <c r="C985" s="16" t="e">
        <f>#REF!</f>
        <v>#REF!</v>
      </c>
      <c r="D985" s="16" t="e">
        <f>#REF!</f>
        <v>#REF!</v>
      </c>
      <c r="E985" s="16" t="e">
        <f>#REF!</f>
        <v>#REF!</v>
      </c>
      <c r="F985" s="16" t="e">
        <f>#REF!</f>
        <v>#REF!</v>
      </c>
      <c r="G985" s="16" t="e">
        <f>#REF!</f>
        <v>#REF!</v>
      </c>
      <c r="H985" s="16" t="e">
        <f>#REF!</f>
        <v>#REF!</v>
      </c>
      <c r="I985" s="16" t="e">
        <f>#REF!</f>
        <v>#REF!</v>
      </c>
      <c r="J985" s="16" t="e">
        <f>#REF!</f>
        <v>#REF!</v>
      </c>
      <c r="K985" s="16" t="s">
        <v>744</v>
      </c>
      <c r="L985" s="16"/>
      <c r="M985" s="16"/>
      <c r="N985" s="16"/>
      <c r="O985" s="16"/>
    </row>
    <row r="986" spans="1:15" ht="22.5" customHeight="1" thickTop="1" thickBot="1" x14ac:dyDescent="0.25">
      <c r="A986" s="16" t="e">
        <f>#REF!</f>
        <v>#REF!</v>
      </c>
      <c r="B986" s="16" t="e">
        <f>#REF!</f>
        <v>#REF!</v>
      </c>
      <c r="C986" s="16" t="e">
        <f>#REF!</f>
        <v>#REF!</v>
      </c>
      <c r="D986" s="16" t="e">
        <f>#REF!</f>
        <v>#REF!</v>
      </c>
      <c r="E986" s="16" t="e">
        <f>#REF!</f>
        <v>#REF!</v>
      </c>
      <c r="F986" s="16" t="e">
        <f>#REF!</f>
        <v>#REF!</v>
      </c>
      <c r="G986" s="16" t="e">
        <f>#REF!</f>
        <v>#REF!</v>
      </c>
      <c r="H986" s="16" t="e">
        <f>#REF!</f>
        <v>#REF!</v>
      </c>
      <c r="I986" s="16" t="e">
        <f>#REF!</f>
        <v>#REF!</v>
      </c>
      <c r="J986" s="16" t="e">
        <f>#REF!</f>
        <v>#REF!</v>
      </c>
      <c r="K986" s="16" t="s">
        <v>744</v>
      </c>
      <c r="L986" s="16"/>
      <c r="M986" s="16"/>
      <c r="N986" s="16"/>
      <c r="O986" s="16"/>
    </row>
    <row r="987" spans="1:15" ht="22.5" customHeight="1" thickTop="1" thickBot="1" x14ac:dyDescent="0.25">
      <c r="A987" s="16" t="e">
        <f>#REF!</f>
        <v>#REF!</v>
      </c>
      <c r="B987" s="16" t="e">
        <f>#REF!</f>
        <v>#REF!</v>
      </c>
      <c r="C987" s="16" t="e">
        <f>#REF!</f>
        <v>#REF!</v>
      </c>
      <c r="D987" s="16" t="e">
        <f>#REF!</f>
        <v>#REF!</v>
      </c>
      <c r="E987" s="16" t="e">
        <f>#REF!</f>
        <v>#REF!</v>
      </c>
      <c r="F987" s="16" t="e">
        <f>#REF!</f>
        <v>#REF!</v>
      </c>
      <c r="G987" s="16" t="e">
        <f>#REF!</f>
        <v>#REF!</v>
      </c>
      <c r="H987" s="16" t="e">
        <f>#REF!</f>
        <v>#REF!</v>
      </c>
      <c r="I987" s="16" t="e">
        <f>#REF!</f>
        <v>#REF!</v>
      </c>
      <c r="J987" s="16" t="e">
        <f>#REF!</f>
        <v>#REF!</v>
      </c>
      <c r="K987" s="16" t="s">
        <v>744</v>
      </c>
      <c r="L987" s="16"/>
      <c r="M987" s="16"/>
      <c r="N987" s="16"/>
      <c r="O987" s="16"/>
    </row>
    <row r="988" spans="1:15" ht="22.5" customHeight="1" thickTop="1" thickBot="1" x14ac:dyDescent="0.25">
      <c r="A988" s="16" t="e">
        <f>#REF!</f>
        <v>#REF!</v>
      </c>
      <c r="B988" s="16" t="e">
        <f>#REF!</f>
        <v>#REF!</v>
      </c>
      <c r="C988" s="16" t="e">
        <f>#REF!</f>
        <v>#REF!</v>
      </c>
      <c r="D988" s="16" t="e">
        <f>#REF!</f>
        <v>#REF!</v>
      </c>
      <c r="E988" s="16" t="e">
        <f>#REF!</f>
        <v>#REF!</v>
      </c>
      <c r="F988" s="16" t="e">
        <f>#REF!</f>
        <v>#REF!</v>
      </c>
      <c r="G988" s="16" t="e">
        <f>#REF!</f>
        <v>#REF!</v>
      </c>
      <c r="H988" s="16" t="e">
        <f>#REF!</f>
        <v>#REF!</v>
      </c>
      <c r="I988" s="16" t="e">
        <f>#REF!</f>
        <v>#REF!</v>
      </c>
      <c r="J988" s="16" t="e">
        <f>#REF!</f>
        <v>#REF!</v>
      </c>
      <c r="K988" s="16" t="s">
        <v>744</v>
      </c>
      <c r="L988" s="16"/>
      <c r="M988" s="16"/>
      <c r="N988" s="16"/>
      <c r="O988" s="16"/>
    </row>
    <row r="989" spans="1:15" ht="22.5" customHeight="1" thickTop="1" thickBot="1" x14ac:dyDescent="0.25">
      <c r="A989" s="16" t="e">
        <f>#REF!</f>
        <v>#REF!</v>
      </c>
      <c r="B989" s="16" t="e">
        <f>#REF!</f>
        <v>#REF!</v>
      </c>
      <c r="C989" s="16" t="e">
        <f>#REF!</f>
        <v>#REF!</v>
      </c>
      <c r="D989" s="16" t="e">
        <f>#REF!</f>
        <v>#REF!</v>
      </c>
      <c r="E989" s="16" t="e">
        <f>#REF!</f>
        <v>#REF!</v>
      </c>
      <c r="F989" s="16" t="e">
        <f>#REF!</f>
        <v>#REF!</v>
      </c>
      <c r="G989" s="16" t="e">
        <f>#REF!</f>
        <v>#REF!</v>
      </c>
      <c r="H989" s="16" t="e">
        <f>#REF!</f>
        <v>#REF!</v>
      </c>
      <c r="I989" s="16" t="e">
        <f>#REF!</f>
        <v>#REF!</v>
      </c>
      <c r="J989" s="16" t="e">
        <f>#REF!</f>
        <v>#REF!</v>
      </c>
      <c r="K989" s="16" t="s">
        <v>744</v>
      </c>
      <c r="L989" s="16"/>
      <c r="M989" s="16"/>
      <c r="N989" s="16"/>
      <c r="O989" s="16"/>
    </row>
    <row r="990" spans="1:15" ht="22.5" customHeight="1" thickTop="1" thickBot="1" x14ac:dyDescent="0.25">
      <c r="A990" s="16" t="e">
        <f>#REF!</f>
        <v>#REF!</v>
      </c>
      <c r="B990" s="16" t="e">
        <f>#REF!</f>
        <v>#REF!</v>
      </c>
      <c r="C990" s="16" t="e">
        <f>#REF!</f>
        <v>#REF!</v>
      </c>
      <c r="D990" s="16" t="e">
        <f>#REF!</f>
        <v>#REF!</v>
      </c>
      <c r="E990" s="16" t="e">
        <f>#REF!</f>
        <v>#REF!</v>
      </c>
      <c r="F990" s="16" t="e">
        <f>#REF!</f>
        <v>#REF!</v>
      </c>
      <c r="G990" s="16" t="e">
        <f>#REF!</f>
        <v>#REF!</v>
      </c>
      <c r="H990" s="16" t="e">
        <f>#REF!</f>
        <v>#REF!</v>
      </c>
      <c r="I990" s="16" t="e">
        <f>#REF!</f>
        <v>#REF!</v>
      </c>
      <c r="J990" s="16" t="e">
        <f>#REF!</f>
        <v>#REF!</v>
      </c>
      <c r="K990" s="16" t="s">
        <v>744</v>
      </c>
      <c r="L990" s="16"/>
      <c r="M990" s="16"/>
      <c r="N990" s="16"/>
      <c r="O990" s="16"/>
    </row>
    <row r="991" spans="1:15" ht="22.5" customHeight="1" thickTop="1" thickBot="1" x14ac:dyDescent="0.25">
      <c r="A991" s="16" t="e">
        <f>#REF!</f>
        <v>#REF!</v>
      </c>
      <c r="B991" s="16" t="e">
        <f>#REF!</f>
        <v>#REF!</v>
      </c>
      <c r="C991" s="16" t="e">
        <f>#REF!</f>
        <v>#REF!</v>
      </c>
      <c r="D991" s="16" t="e">
        <f>#REF!</f>
        <v>#REF!</v>
      </c>
      <c r="E991" s="16" t="e">
        <f>#REF!</f>
        <v>#REF!</v>
      </c>
      <c r="F991" s="16" t="e">
        <f>#REF!</f>
        <v>#REF!</v>
      </c>
      <c r="G991" s="16" t="e">
        <f>#REF!</f>
        <v>#REF!</v>
      </c>
      <c r="H991" s="16" t="e">
        <f>#REF!</f>
        <v>#REF!</v>
      </c>
      <c r="I991" s="16" t="e">
        <f>#REF!</f>
        <v>#REF!</v>
      </c>
      <c r="J991" s="16" t="e">
        <f>#REF!</f>
        <v>#REF!</v>
      </c>
      <c r="K991" s="16" t="s">
        <v>744</v>
      </c>
      <c r="L991" s="16"/>
      <c r="M991" s="16"/>
      <c r="N991" s="16"/>
      <c r="O991" s="16"/>
    </row>
    <row r="992" spans="1:15" ht="22.5" customHeight="1" thickTop="1" thickBot="1" x14ac:dyDescent="0.25">
      <c r="A992" s="16" t="e">
        <f>#REF!</f>
        <v>#REF!</v>
      </c>
      <c r="B992" s="16" t="e">
        <f>#REF!</f>
        <v>#REF!</v>
      </c>
      <c r="C992" s="16" t="e">
        <f>#REF!</f>
        <v>#REF!</v>
      </c>
      <c r="D992" s="16" t="e">
        <f>#REF!</f>
        <v>#REF!</v>
      </c>
      <c r="E992" s="16" t="e">
        <f>#REF!</f>
        <v>#REF!</v>
      </c>
      <c r="F992" s="16" t="e">
        <f>#REF!</f>
        <v>#REF!</v>
      </c>
      <c r="G992" s="16" t="e">
        <f>#REF!</f>
        <v>#REF!</v>
      </c>
      <c r="H992" s="16" t="e">
        <f>#REF!</f>
        <v>#REF!</v>
      </c>
      <c r="I992" s="16" t="e">
        <f>#REF!</f>
        <v>#REF!</v>
      </c>
      <c r="J992" s="16" t="e">
        <f>#REF!</f>
        <v>#REF!</v>
      </c>
      <c r="K992" s="16"/>
      <c r="L992" s="16"/>
      <c r="M992" s="16"/>
      <c r="N992" s="16"/>
      <c r="O992" s="16"/>
    </row>
    <row r="993" spans="1:15" ht="22.5" customHeight="1" thickTop="1" thickBot="1" x14ac:dyDescent="0.25">
      <c r="A993" s="16" t="e">
        <f>#REF!</f>
        <v>#REF!</v>
      </c>
      <c r="B993" s="16" t="e">
        <f>#REF!</f>
        <v>#REF!</v>
      </c>
      <c r="C993" s="16" t="e">
        <f>#REF!</f>
        <v>#REF!</v>
      </c>
      <c r="D993" s="16" t="e">
        <f>#REF!</f>
        <v>#REF!</v>
      </c>
      <c r="E993" s="16" t="e">
        <f>#REF!</f>
        <v>#REF!</v>
      </c>
      <c r="F993" s="16" t="e">
        <f>#REF!</f>
        <v>#REF!</v>
      </c>
      <c r="G993" s="16" t="e">
        <f>#REF!</f>
        <v>#REF!</v>
      </c>
      <c r="H993" s="16" t="e">
        <f>#REF!</f>
        <v>#REF!</v>
      </c>
      <c r="I993" s="16" t="e">
        <f>#REF!</f>
        <v>#REF!</v>
      </c>
      <c r="J993" s="16" t="e">
        <f>#REF!</f>
        <v>#REF!</v>
      </c>
      <c r="K993" s="16" t="s">
        <v>744</v>
      </c>
      <c r="L993" s="16"/>
      <c r="M993" s="16"/>
      <c r="N993" s="16"/>
      <c r="O993" s="16"/>
    </row>
    <row r="994" spans="1:15" ht="22.5" customHeight="1" thickTop="1" thickBot="1" x14ac:dyDescent="0.25">
      <c r="A994" s="16" t="e">
        <f>#REF!</f>
        <v>#REF!</v>
      </c>
      <c r="B994" s="16" t="e">
        <f>#REF!</f>
        <v>#REF!</v>
      </c>
      <c r="C994" s="16" t="e">
        <f>#REF!</f>
        <v>#REF!</v>
      </c>
      <c r="D994" s="16" t="e">
        <f>#REF!</f>
        <v>#REF!</v>
      </c>
      <c r="E994" s="16" t="e">
        <f>#REF!</f>
        <v>#REF!</v>
      </c>
      <c r="F994" s="16" t="e">
        <f>#REF!</f>
        <v>#REF!</v>
      </c>
      <c r="G994" s="16" t="e">
        <f>#REF!</f>
        <v>#REF!</v>
      </c>
      <c r="H994" s="16" t="e">
        <f>#REF!</f>
        <v>#REF!</v>
      </c>
      <c r="I994" s="16" t="e">
        <f>#REF!</f>
        <v>#REF!</v>
      </c>
      <c r="J994" s="16" t="e">
        <f>#REF!</f>
        <v>#REF!</v>
      </c>
      <c r="K994" s="16" t="s">
        <v>744</v>
      </c>
      <c r="L994" s="16"/>
      <c r="M994" s="16"/>
      <c r="N994" s="16"/>
      <c r="O994" s="16"/>
    </row>
    <row r="995" spans="1:15" ht="22.5" customHeight="1" thickTop="1" thickBot="1" x14ac:dyDescent="0.25">
      <c r="A995" s="16" t="e">
        <f>#REF!</f>
        <v>#REF!</v>
      </c>
      <c r="B995" s="16" t="e">
        <f>#REF!</f>
        <v>#REF!</v>
      </c>
      <c r="C995" s="16" t="e">
        <f>#REF!</f>
        <v>#REF!</v>
      </c>
      <c r="D995" s="16" t="e">
        <f>#REF!</f>
        <v>#REF!</v>
      </c>
      <c r="E995" s="16" t="e">
        <f>#REF!</f>
        <v>#REF!</v>
      </c>
      <c r="F995" s="16" t="e">
        <f>#REF!</f>
        <v>#REF!</v>
      </c>
      <c r="G995" s="16" t="e">
        <f>#REF!</f>
        <v>#REF!</v>
      </c>
      <c r="H995" s="16" t="e">
        <f>#REF!</f>
        <v>#REF!</v>
      </c>
      <c r="I995" s="16" t="e">
        <f>#REF!</f>
        <v>#REF!</v>
      </c>
      <c r="J995" s="16" t="e">
        <f>#REF!</f>
        <v>#REF!</v>
      </c>
      <c r="K995" s="16"/>
      <c r="L995" s="16"/>
      <c r="M995" s="16"/>
      <c r="N995" s="16"/>
      <c r="O995" s="16"/>
    </row>
    <row r="996" spans="1:15" ht="22.5" customHeight="1" thickTop="1" thickBot="1" x14ac:dyDescent="0.25">
      <c r="A996" s="16" t="e">
        <f>#REF!</f>
        <v>#REF!</v>
      </c>
      <c r="B996" s="16" t="e">
        <f>#REF!</f>
        <v>#REF!</v>
      </c>
      <c r="C996" s="16" t="e">
        <f>#REF!</f>
        <v>#REF!</v>
      </c>
      <c r="D996" s="16" t="e">
        <f>#REF!</f>
        <v>#REF!</v>
      </c>
      <c r="E996" s="16" t="e">
        <f>#REF!</f>
        <v>#REF!</v>
      </c>
      <c r="F996" s="16" t="e">
        <f>#REF!</f>
        <v>#REF!</v>
      </c>
      <c r="G996" s="16" t="e">
        <f>#REF!</f>
        <v>#REF!</v>
      </c>
      <c r="H996" s="16" t="e">
        <f>#REF!</f>
        <v>#REF!</v>
      </c>
      <c r="I996" s="16" t="e">
        <f>#REF!</f>
        <v>#REF!</v>
      </c>
      <c r="J996" s="16" t="e">
        <f>#REF!</f>
        <v>#REF!</v>
      </c>
      <c r="K996" s="16"/>
      <c r="L996" s="16"/>
      <c r="M996" s="16"/>
      <c r="N996" s="16"/>
      <c r="O996" s="16"/>
    </row>
    <row r="997" spans="1:15" ht="22.5" customHeight="1" thickTop="1" thickBot="1" x14ac:dyDescent="0.25">
      <c r="A997" s="16" t="e">
        <f>#REF!</f>
        <v>#REF!</v>
      </c>
      <c r="B997" s="16" t="e">
        <f>#REF!</f>
        <v>#REF!</v>
      </c>
      <c r="C997" s="16" t="e">
        <f>#REF!</f>
        <v>#REF!</v>
      </c>
      <c r="D997" s="16" t="e">
        <f>#REF!</f>
        <v>#REF!</v>
      </c>
      <c r="E997" s="16" t="e">
        <f>#REF!</f>
        <v>#REF!</v>
      </c>
      <c r="F997" s="16" t="e">
        <f>#REF!</f>
        <v>#REF!</v>
      </c>
      <c r="G997" s="16" t="e">
        <f>#REF!</f>
        <v>#REF!</v>
      </c>
      <c r="H997" s="16" t="e">
        <f>#REF!</f>
        <v>#REF!</v>
      </c>
      <c r="I997" s="16" t="e">
        <f>#REF!</f>
        <v>#REF!</v>
      </c>
      <c r="J997" s="16" t="e">
        <f>#REF!</f>
        <v>#REF!</v>
      </c>
      <c r="K997" s="16"/>
      <c r="L997" s="16"/>
      <c r="M997" s="16"/>
      <c r="N997" s="16"/>
      <c r="O997" s="16"/>
    </row>
    <row r="998" spans="1:15" ht="22.5" customHeight="1" thickTop="1" thickBot="1" x14ac:dyDescent="0.25">
      <c r="A998" s="16" t="e">
        <f>#REF!</f>
        <v>#REF!</v>
      </c>
      <c r="B998" s="16" t="e">
        <f>#REF!</f>
        <v>#REF!</v>
      </c>
      <c r="C998" s="16" t="e">
        <f>#REF!</f>
        <v>#REF!</v>
      </c>
      <c r="D998" s="16" t="e">
        <f>#REF!</f>
        <v>#REF!</v>
      </c>
      <c r="E998" s="16" t="e">
        <f>#REF!</f>
        <v>#REF!</v>
      </c>
      <c r="F998" s="16" t="e">
        <f>#REF!</f>
        <v>#REF!</v>
      </c>
      <c r="G998" s="16" t="e">
        <f>#REF!</f>
        <v>#REF!</v>
      </c>
      <c r="H998" s="16" t="e">
        <f>#REF!</f>
        <v>#REF!</v>
      </c>
      <c r="I998" s="16" t="e">
        <f>#REF!</f>
        <v>#REF!</v>
      </c>
      <c r="J998" s="16" t="e">
        <f>#REF!</f>
        <v>#REF!</v>
      </c>
      <c r="K998" s="16"/>
      <c r="L998" s="16"/>
      <c r="M998" s="16"/>
      <c r="N998" s="16"/>
      <c r="O998" s="16"/>
    </row>
    <row r="999" spans="1:15" ht="22.5" customHeight="1" thickTop="1" thickBot="1" x14ac:dyDescent="0.25">
      <c r="A999" s="16" t="e">
        <f>#REF!</f>
        <v>#REF!</v>
      </c>
      <c r="B999" s="16" t="e">
        <f>#REF!</f>
        <v>#REF!</v>
      </c>
      <c r="C999" s="16" t="e">
        <f>#REF!</f>
        <v>#REF!</v>
      </c>
      <c r="D999" s="16" t="e">
        <f>#REF!</f>
        <v>#REF!</v>
      </c>
      <c r="E999" s="16" t="e">
        <f>#REF!</f>
        <v>#REF!</v>
      </c>
      <c r="F999" s="16" t="e">
        <f>#REF!</f>
        <v>#REF!</v>
      </c>
      <c r="G999" s="16" t="e">
        <f>#REF!</f>
        <v>#REF!</v>
      </c>
      <c r="H999" s="16" t="e">
        <f>#REF!</f>
        <v>#REF!</v>
      </c>
      <c r="I999" s="16" t="e">
        <f>#REF!</f>
        <v>#REF!</v>
      </c>
      <c r="J999" s="16" t="e">
        <f>#REF!</f>
        <v>#REF!</v>
      </c>
      <c r="K999" s="16" t="s">
        <v>744</v>
      </c>
      <c r="L999" s="16"/>
      <c r="M999" s="16"/>
      <c r="N999" s="16"/>
      <c r="O999" s="16"/>
    </row>
    <row r="1000" spans="1:15" ht="22.5" customHeight="1" thickTop="1" thickBot="1" x14ac:dyDescent="0.25">
      <c r="A1000" s="16" t="e">
        <f>#REF!</f>
        <v>#REF!</v>
      </c>
      <c r="B1000" s="16" t="e">
        <f>#REF!</f>
        <v>#REF!</v>
      </c>
      <c r="C1000" s="16" t="e">
        <f>#REF!</f>
        <v>#REF!</v>
      </c>
      <c r="D1000" s="16" t="e">
        <f>#REF!</f>
        <v>#REF!</v>
      </c>
      <c r="E1000" s="16" t="e">
        <f>#REF!</f>
        <v>#REF!</v>
      </c>
      <c r="F1000" s="16" t="e">
        <f>#REF!</f>
        <v>#REF!</v>
      </c>
      <c r="G1000" s="16" t="e">
        <f>#REF!</f>
        <v>#REF!</v>
      </c>
      <c r="H1000" s="16" t="e">
        <f>#REF!</f>
        <v>#REF!</v>
      </c>
      <c r="I1000" s="16" t="e">
        <f>#REF!</f>
        <v>#REF!</v>
      </c>
      <c r="J1000" s="16" t="e">
        <f>#REF!</f>
        <v>#REF!</v>
      </c>
      <c r="K1000" s="16" t="s">
        <v>744</v>
      </c>
      <c r="L1000" s="16"/>
      <c r="M1000" s="16"/>
      <c r="N1000" s="16"/>
      <c r="O1000" s="16"/>
    </row>
    <row r="1001" spans="1:15" ht="22.5" customHeight="1" thickTop="1" thickBot="1" x14ac:dyDescent="0.25">
      <c r="A1001" s="16" t="e">
        <f>#REF!</f>
        <v>#REF!</v>
      </c>
      <c r="B1001" s="16" t="e">
        <f>#REF!</f>
        <v>#REF!</v>
      </c>
      <c r="C1001" s="16" t="e">
        <f>#REF!</f>
        <v>#REF!</v>
      </c>
      <c r="D1001" s="16" t="e">
        <f>#REF!</f>
        <v>#REF!</v>
      </c>
      <c r="E1001" s="16" t="e">
        <f>#REF!</f>
        <v>#REF!</v>
      </c>
      <c r="F1001" s="16" t="e">
        <f>#REF!</f>
        <v>#REF!</v>
      </c>
      <c r="G1001" s="16" t="e">
        <f>#REF!</f>
        <v>#REF!</v>
      </c>
      <c r="H1001" s="16" t="e">
        <f>#REF!</f>
        <v>#REF!</v>
      </c>
      <c r="I1001" s="16" t="e">
        <f>#REF!</f>
        <v>#REF!</v>
      </c>
      <c r="J1001" s="16" t="e">
        <f>#REF!</f>
        <v>#REF!</v>
      </c>
      <c r="K1001" s="16" t="s">
        <v>744</v>
      </c>
      <c r="L1001" s="16"/>
      <c r="M1001" s="16"/>
      <c r="N1001" s="16"/>
      <c r="O1001" s="16"/>
    </row>
    <row r="1002" spans="1:15" ht="22.5" customHeight="1" thickTop="1" thickBot="1" x14ac:dyDescent="0.25">
      <c r="A1002" s="16" t="e">
        <f>#REF!</f>
        <v>#REF!</v>
      </c>
      <c r="B1002" s="16" t="e">
        <f>#REF!</f>
        <v>#REF!</v>
      </c>
      <c r="C1002" s="16" t="e">
        <f>#REF!</f>
        <v>#REF!</v>
      </c>
      <c r="D1002" s="16" t="e">
        <f>#REF!</f>
        <v>#REF!</v>
      </c>
      <c r="E1002" s="16" t="e">
        <f>#REF!</f>
        <v>#REF!</v>
      </c>
      <c r="F1002" s="16" t="e">
        <f>#REF!</f>
        <v>#REF!</v>
      </c>
      <c r="G1002" s="16" t="e">
        <f>#REF!</f>
        <v>#REF!</v>
      </c>
      <c r="H1002" s="16" t="e">
        <f>#REF!</f>
        <v>#REF!</v>
      </c>
      <c r="I1002" s="16" t="e">
        <f>#REF!</f>
        <v>#REF!</v>
      </c>
      <c r="J1002" s="16" t="e">
        <f>#REF!</f>
        <v>#REF!</v>
      </c>
      <c r="K1002" s="16" t="s">
        <v>744</v>
      </c>
      <c r="L1002" s="16"/>
      <c r="M1002" s="16"/>
      <c r="N1002" s="16"/>
      <c r="O1002" s="16"/>
    </row>
    <row r="1003" spans="1:15" ht="22.5" customHeight="1" thickTop="1" thickBot="1" x14ac:dyDescent="0.25">
      <c r="A1003" s="16" t="e">
        <f>#REF!</f>
        <v>#REF!</v>
      </c>
      <c r="B1003" s="16" t="e">
        <f>#REF!</f>
        <v>#REF!</v>
      </c>
      <c r="C1003" s="16" t="e">
        <f>#REF!</f>
        <v>#REF!</v>
      </c>
      <c r="D1003" s="16" t="e">
        <f>#REF!</f>
        <v>#REF!</v>
      </c>
      <c r="E1003" s="16" t="e">
        <f>#REF!</f>
        <v>#REF!</v>
      </c>
      <c r="F1003" s="16" t="e">
        <f>#REF!</f>
        <v>#REF!</v>
      </c>
      <c r="G1003" s="16" t="e">
        <f>#REF!</f>
        <v>#REF!</v>
      </c>
      <c r="H1003" s="16" t="e">
        <f>#REF!</f>
        <v>#REF!</v>
      </c>
      <c r="I1003" s="16" t="e">
        <f>#REF!</f>
        <v>#REF!</v>
      </c>
      <c r="J1003" s="16" t="e">
        <f>#REF!</f>
        <v>#REF!</v>
      </c>
      <c r="K1003" s="16" t="s">
        <v>744</v>
      </c>
      <c r="L1003" s="16"/>
      <c r="M1003" s="16"/>
      <c r="N1003" s="16"/>
      <c r="O1003" s="16"/>
    </row>
    <row r="1004" spans="1:15" ht="22.5" customHeight="1" thickTop="1" thickBot="1" x14ac:dyDescent="0.25">
      <c r="A1004" s="16" t="e">
        <f>#REF!</f>
        <v>#REF!</v>
      </c>
      <c r="B1004" s="16" t="e">
        <f>#REF!</f>
        <v>#REF!</v>
      </c>
      <c r="C1004" s="16" t="e">
        <f>#REF!</f>
        <v>#REF!</v>
      </c>
      <c r="D1004" s="16" t="e">
        <f>#REF!</f>
        <v>#REF!</v>
      </c>
      <c r="E1004" s="16" t="e">
        <f>#REF!</f>
        <v>#REF!</v>
      </c>
      <c r="F1004" s="16" t="e">
        <f>#REF!</f>
        <v>#REF!</v>
      </c>
      <c r="G1004" s="16" t="e">
        <f>#REF!</f>
        <v>#REF!</v>
      </c>
      <c r="H1004" s="16" t="e">
        <f>#REF!</f>
        <v>#REF!</v>
      </c>
      <c r="I1004" s="16" t="e">
        <f>#REF!</f>
        <v>#REF!</v>
      </c>
      <c r="J1004" s="16" t="e">
        <f>#REF!</f>
        <v>#REF!</v>
      </c>
      <c r="K1004" s="16" t="s">
        <v>744</v>
      </c>
      <c r="L1004" s="16"/>
      <c r="M1004" s="16"/>
      <c r="N1004" s="16"/>
      <c r="O1004" s="16"/>
    </row>
    <row r="1005" spans="1:15" ht="22.5" customHeight="1" thickTop="1" thickBot="1" x14ac:dyDescent="0.25">
      <c r="A1005" s="16" t="e">
        <f>#REF!</f>
        <v>#REF!</v>
      </c>
      <c r="B1005" s="16" t="e">
        <f>#REF!</f>
        <v>#REF!</v>
      </c>
      <c r="C1005" s="16" t="e">
        <f>#REF!</f>
        <v>#REF!</v>
      </c>
      <c r="D1005" s="16" t="e">
        <f>#REF!</f>
        <v>#REF!</v>
      </c>
      <c r="E1005" s="16" t="e">
        <f>#REF!</f>
        <v>#REF!</v>
      </c>
      <c r="F1005" s="16" t="e">
        <f>#REF!</f>
        <v>#REF!</v>
      </c>
      <c r="G1005" s="16" t="e">
        <f>#REF!</f>
        <v>#REF!</v>
      </c>
      <c r="H1005" s="16" t="e">
        <f>#REF!</f>
        <v>#REF!</v>
      </c>
      <c r="I1005" s="16" t="e">
        <f>#REF!</f>
        <v>#REF!</v>
      </c>
      <c r="J1005" s="16" t="e">
        <f>#REF!</f>
        <v>#REF!</v>
      </c>
      <c r="K1005" s="16" t="s">
        <v>744</v>
      </c>
      <c r="L1005" s="16"/>
      <c r="M1005" s="16"/>
      <c r="N1005" s="16"/>
      <c r="O1005" s="16"/>
    </row>
    <row r="1006" spans="1:15" ht="22.5" customHeight="1" thickTop="1" thickBot="1" x14ac:dyDescent="0.25">
      <c r="A1006" s="16" t="e">
        <f>#REF!</f>
        <v>#REF!</v>
      </c>
      <c r="B1006" s="16" t="e">
        <f>#REF!</f>
        <v>#REF!</v>
      </c>
      <c r="C1006" s="16" t="e">
        <f>#REF!</f>
        <v>#REF!</v>
      </c>
      <c r="D1006" s="16" t="e">
        <f>#REF!</f>
        <v>#REF!</v>
      </c>
      <c r="E1006" s="16" t="e">
        <f>#REF!</f>
        <v>#REF!</v>
      </c>
      <c r="F1006" s="16" t="e">
        <f>#REF!</f>
        <v>#REF!</v>
      </c>
      <c r="G1006" s="16" t="e">
        <f>#REF!</f>
        <v>#REF!</v>
      </c>
      <c r="H1006" s="16" t="e">
        <f>#REF!</f>
        <v>#REF!</v>
      </c>
      <c r="I1006" s="16" t="e">
        <f>#REF!</f>
        <v>#REF!</v>
      </c>
      <c r="J1006" s="16" t="e">
        <f>#REF!</f>
        <v>#REF!</v>
      </c>
      <c r="K1006" s="16" t="s">
        <v>744</v>
      </c>
      <c r="L1006" s="16"/>
      <c r="M1006" s="16"/>
      <c r="N1006" s="16"/>
      <c r="O1006" s="16"/>
    </row>
    <row r="1007" spans="1:15" ht="22.5" customHeight="1" thickTop="1" thickBot="1" x14ac:dyDescent="0.25">
      <c r="A1007" s="16" t="e">
        <f>#REF!</f>
        <v>#REF!</v>
      </c>
      <c r="B1007" s="16" t="e">
        <f>#REF!</f>
        <v>#REF!</v>
      </c>
      <c r="C1007" s="16" t="e">
        <f>#REF!</f>
        <v>#REF!</v>
      </c>
      <c r="D1007" s="16" t="e">
        <f>#REF!</f>
        <v>#REF!</v>
      </c>
      <c r="E1007" s="16" t="e">
        <f>#REF!</f>
        <v>#REF!</v>
      </c>
      <c r="F1007" s="16" t="e">
        <f>#REF!</f>
        <v>#REF!</v>
      </c>
      <c r="G1007" s="16" t="e">
        <f>#REF!</f>
        <v>#REF!</v>
      </c>
      <c r="H1007" s="16" t="e">
        <f>#REF!</f>
        <v>#REF!</v>
      </c>
      <c r="I1007" s="16" t="e">
        <f>#REF!</f>
        <v>#REF!</v>
      </c>
      <c r="J1007" s="16" t="e">
        <f>#REF!</f>
        <v>#REF!</v>
      </c>
      <c r="K1007" s="16" t="s">
        <v>744</v>
      </c>
      <c r="L1007" s="16"/>
      <c r="M1007" s="16"/>
      <c r="N1007" s="16"/>
      <c r="O1007" s="16"/>
    </row>
    <row r="1008" spans="1:15" ht="22.5" customHeight="1" thickTop="1" thickBot="1" x14ac:dyDescent="0.25">
      <c r="A1008" s="16" t="e">
        <f>#REF!</f>
        <v>#REF!</v>
      </c>
      <c r="B1008" s="16" t="e">
        <f>#REF!</f>
        <v>#REF!</v>
      </c>
      <c r="C1008" s="16" t="e">
        <f>#REF!</f>
        <v>#REF!</v>
      </c>
      <c r="D1008" s="16" t="e">
        <f>#REF!</f>
        <v>#REF!</v>
      </c>
      <c r="E1008" s="16" t="e">
        <f>#REF!</f>
        <v>#REF!</v>
      </c>
      <c r="F1008" s="16" t="e">
        <f>#REF!</f>
        <v>#REF!</v>
      </c>
      <c r="G1008" s="16" t="e">
        <f>#REF!</f>
        <v>#REF!</v>
      </c>
      <c r="H1008" s="16" t="e">
        <f>#REF!</f>
        <v>#REF!</v>
      </c>
      <c r="I1008" s="16" t="e">
        <f>#REF!</f>
        <v>#REF!</v>
      </c>
      <c r="J1008" s="16" t="e">
        <f>#REF!</f>
        <v>#REF!</v>
      </c>
      <c r="K1008" s="16" t="s">
        <v>744</v>
      </c>
      <c r="L1008" s="16"/>
      <c r="M1008" s="16"/>
      <c r="N1008" s="16"/>
      <c r="O1008" s="16"/>
    </row>
    <row r="1009" spans="1:15" ht="22.5" customHeight="1" thickTop="1" thickBot="1" x14ac:dyDescent="0.25">
      <c r="A1009" s="16" t="e">
        <f>#REF!</f>
        <v>#REF!</v>
      </c>
      <c r="B1009" s="16" t="e">
        <f>#REF!</f>
        <v>#REF!</v>
      </c>
      <c r="C1009" s="16" t="e">
        <f>#REF!</f>
        <v>#REF!</v>
      </c>
      <c r="D1009" s="16" t="e">
        <f>#REF!</f>
        <v>#REF!</v>
      </c>
      <c r="E1009" s="16" t="e">
        <f>#REF!</f>
        <v>#REF!</v>
      </c>
      <c r="F1009" s="16" t="e">
        <f>#REF!</f>
        <v>#REF!</v>
      </c>
      <c r="G1009" s="16" t="e">
        <f>#REF!</f>
        <v>#REF!</v>
      </c>
      <c r="H1009" s="16" t="e">
        <f>#REF!</f>
        <v>#REF!</v>
      </c>
      <c r="I1009" s="16" t="e">
        <f>#REF!</f>
        <v>#REF!</v>
      </c>
      <c r="J1009" s="16" t="e">
        <f>#REF!</f>
        <v>#REF!</v>
      </c>
      <c r="K1009" s="16" t="s">
        <v>744</v>
      </c>
      <c r="L1009" s="16"/>
      <c r="M1009" s="16"/>
      <c r="N1009" s="16"/>
      <c r="O1009" s="16"/>
    </row>
    <row r="1010" spans="1:15" ht="22.5" customHeight="1" thickTop="1" thickBot="1" x14ac:dyDescent="0.25">
      <c r="A1010" s="16" t="e">
        <f>#REF!</f>
        <v>#REF!</v>
      </c>
      <c r="B1010" s="16" t="e">
        <f>#REF!</f>
        <v>#REF!</v>
      </c>
      <c r="C1010" s="16" t="e">
        <f>#REF!</f>
        <v>#REF!</v>
      </c>
      <c r="D1010" s="16" t="e">
        <f>#REF!</f>
        <v>#REF!</v>
      </c>
      <c r="E1010" s="16" t="e">
        <f>#REF!</f>
        <v>#REF!</v>
      </c>
      <c r="F1010" s="16" t="e">
        <f>#REF!</f>
        <v>#REF!</v>
      </c>
      <c r="G1010" s="16" t="e">
        <f>#REF!</f>
        <v>#REF!</v>
      </c>
      <c r="H1010" s="16" t="e">
        <f>#REF!</f>
        <v>#REF!</v>
      </c>
      <c r="I1010" s="16" t="e">
        <f>#REF!</f>
        <v>#REF!</v>
      </c>
      <c r="J1010" s="16" t="e">
        <f>#REF!</f>
        <v>#REF!</v>
      </c>
      <c r="K1010" s="16" t="s">
        <v>744</v>
      </c>
      <c r="L1010" s="16"/>
      <c r="M1010" s="16"/>
      <c r="N1010" s="16"/>
      <c r="O1010" s="16"/>
    </row>
    <row r="1011" spans="1:15" ht="22.5" customHeight="1" thickTop="1" thickBot="1" x14ac:dyDescent="0.25">
      <c r="A1011" s="16" t="e">
        <f>#REF!</f>
        <v>#REF!</v>
      </c>
      <c r="B1011" s="16" t="e">
        <f>#REF!</f>
        <v>#REF!</v>
      </c>
      <c r="C1011" s="16" t="e">
        <f>#REF!</f>
        <v>#REF!</v>
      </c>
      <c r="D1011" s="16" t="e">
        <f>#REF!</f>
        <v>#REF!</v>
      </c>
      <c r="E1011" s="16" t="e">
        <f>#REF!</f>
        <v>#REF!</v>
      </c>
      <c r="F1011" s="16" t="e">
        <f>#REF!</f>
        <v>#REF!</v>
      </c>
      <c r="G1011" s="16" t="e">
        <f>#REF!</f>
        <v>#REF!</v>
      </c>
      <c r="H1011" s="16" t="e">
        <f>#REF!</f>
        <v>#REF!</v>
      </c>
      <c r="I1011" s="16" t="e">
        <f>#REF!</f>
        <v>#REF!</v>
      </c>
      <c r="J1011" s="16" t="e">
        <f>#REF!</f>
        <v>#REF!</v>
      </c>
      <c r="K1011" s="16" t="s">
        <v>744</v>
      </c>
      <c r="L1011" s="16"/>
      <c r="M1011" s="16"/>
      <c r="N1011" s="16"/>
      <c r="O1011" s="16"/>
    </row>
    <row r="1012" spans="1:15" ht="22.5" customHeight="1" thickTop="1" thickBot="1" x14ac:dyDescent="0.25">
      <c r="A1012" s="16" t="e">
        <f>#REF!</f>
        <v>#REF!</v>
      </c>
      <c r="B1012" s="16" t="e">
        <f>#REF!</f>
        <v>#REF!</v>
      </c>
      <c r="C1012" s="16" t="e">
        <f>#REF!</f>
        <v>#REF!</v>
      </c>
      <c r="D1012" s="16" t="e">
        <f>#REF!</f>
        <v>#REF!</v>
      </c>
      <c r="E1012" s="16" t="e">
        <f>#REF!</f>
        <v>#REF!</v>
      </c>
      <c r="F1012" s="16" t="e">
        <f>#REF!</f>
        <v>#REF!</v>
      </c>
      <c r="G1012" s="16" t="e">
        <f>#REF!</f>
        <v>#REF!</v>
      </c>
      <c r="H1012" s="16" t="e">
        <f>#REF!</f>
        <v>#REF!</v>
      </c>
      <c r="I1012" s="16" t="e">
        <f>#REF!</f>
        <v>#REF!</v>
      </c>
      <c r="J1012" s="16" t="e">
        <f>#REF!</f>
        <v>#REF!</v>
      </c>
      <c r="K1012" s="16" t="s">
        <v>744</v>
      </c>
      <c r="L1012" s="16"/>
      <c r="M1012" s="16"/>
      <c r="N1012" s="16"/>
      <c r="O1012" s="16"/>
    </row>
    <row r="1013" spans="1:15" ht="22.5" customHeight="1" thickTop="1" thickBot="1" x14ac:dyDescent="0.25">
      <c r="A1013" s="16" t="e">
        <f>#REF!</f>
        <v>#REF!</v>
      </c>
      <c r="B1013" s="16" t="e">
        <f>#REF!</f>
        <v>#REF!</v>
      </c>
      <c r="C1013" s="16" t="e">
        <f>#REF!</f>
        <v>#REF!</v>
      </c>
      <c r="D1013" s="16" t="e">
        <f>#REF!</f>
        <v>#REF!</v>
      </c>
      <c r="E1013" s="16" t="e">
        <f>#REF!</f>
        <v>#REF!</v>
      </c>
      <c r="F1013" s="16" t="e">
        <f>#REF!</f>
        <v>#REF!</v>
      </c>
      <c r="G1013" s="16" t="e">
        <f>#REF!</f>
        <v>#REF!</v>
      </c>
      <c r="H1013" s="16" t="e">
        <f>#REF!</f>
        <v>#REF!</v>
      </c>
      <c r="I1013" s="16" t="e">
        <f>#REF!</f>
        <v>#REF!</v>
      </c>
      <c r="J1013" s="16" t="e">
        <f>#REF!</f>
        <v>#REF!</v>
      </c>
      <c r="K1013" s="16" t="s">
        <v>744</v>
      </c>
      <c r="L1013" s="16"/>
      <c r="M1013" s="16"/>
      <c r="N1013" s="16"/>
      <c r="O1013" s="16"/>
    </row>
    <row r="1014" spans="1:15" ht="22.5" customHeight="1" thickTop="1" thickBot="1" x14ac:dyDescent="0.25">
      <c r="A1014" s="16" t="e">
        <f>#REF!</f>
        <v>#REF!</v>
      </c>
      <c r="B1014" s="16" t="e">
        <f>#REF!</f>
        <v>#REF!</v>
      </c>
      <c r="C1014" s="16" t="e">
        <f>#REF!</f>
        <v>#REF!</v>
      </c>
      <c r="D1014" s="16" t="e">
        <f>#REF!</f>
        <v>#REF!</v>
      </c>
      <c r="E1014" s="16" t="e">
        <f>#REF!</f>
        <v>#REF!</v>
      </c>
      <c r="F1014" s="16" t="e">
        <f>#REF!</f>
        <v>#REF!</v>
      </c>
      <c r="G1014" s="16" t="e">
        <f>#REF!</f>
        <v>#REF!</v>
      </c>
      <c r="H1014" s="16" t="e">
        <f>#REF!</f>
        <v>#REF!</v>
      </c>
      <c r="I1014" s="16" t="e">
        <f>#REF!</f>
        <v>#REF!</v>
      </c>
      <c r="J1014" s="16" t="e">
        <f>#REF!</f>
        <v>#REF!</v>
      </c>
      <c r="K1014" s="16" t="s">
        <v>744</v>
      </c>
      <c r="L1014" s="16"/>
      <c r="M1014" s="16"/>
      <c r="N1014" s="16"/>
      <c r="O1014" s="16"/>
    </row>
    <row r="1015" spans="1:15" ht="22.5" customHeight="1" thickTop="1" thickBot="1" x14ac:dyDescent="0.25">
      <c r="A1015" s="16" t="e">
        <f>#REF!</f>
        <v>#REF!</v>
      </c>
      <c r="B1015" s="16" t="e">
        <f>#REF!</f>
        <v>#REF!</v>
      </c>
      <c r="C1015" s="16" t="e">
        <f>#REF!</f>
        <v>#REF!</v>
      </c>
      <c r="D1015" s="16" t="e">
        <f>#REF!</f>
        <v>#REF!</v>
      </c>
      <c r="E1015" s="16" t="e">
        <f>#REF!</f>
        <v>#REF!</v>
      </c>
      <c r="F1015" s="16" t="e">
        <f>#REF!</f>
        <v>#REF!</v>
      </c>
      <c r="G1015" s="16" t="e">
        <f>#REF!</f>
        <v>#REF!</v>
      </c>
      <c r="H1015" s="16" t="e">
        <f>#REF!</f>
        <v>#REF!</v>
      </c>
      <c r="I1015" s="16" t="e">
        <f>#REF!</f>
        <v>#REF!</v>
      </c>
      <c r="J1015" s="16" t="e">
        <f>#REF!</f>
        <v>#REF!</v>
      </c>
      <c r="K1015" s="16" t="s">
        <v>744</v>
      </c>
      <c r="L1015" s="16"/>
      <c r="M1015" s="16"/>
      <c r="N1015" s="16"/>
      <c r="O1015" s="16"/>
    </row>
    <row r="1016" spans="1:15" ht="22.5" customHeight="1" thickTop="1" thickBot="1" x14ac:dyDescent="0.25">
      <c r="A1016" s="16" t="e">
        <f>#REF!</f>
        <v>#REF!</v>
      </c>
      <c r="B1016" s="16" t="e">
        <f>#REF!</f>
        <v>#REF!</v>
      </c>
      <c r="C1016" s="16" t="e">
        <f>#REF!</f>
        <v>#REF!</v>
      </c>
      <c r="D1016" s="16" t="e">
        <f>#REF!</f>
        <v>#REF!</v>
      </c>
      <c r="E1016" s="16" t="e">
        <f>#REF!</f>
        <v>#REF!</v>
      </c>
      <c r="F1016" s="16" t="e">
        <f>#REF!</f>
        <v>#REF!</v>
      </c>
      <c r="G1016" s="16" t="e">
        <f>#REF!</f>
        <v>#REF!</v>
      </c>
      <c r="H1016" s="16" t="e">
        <f>#REF!</f>
        <v>#REF!</v>
      </c>
      <c r="I1016" s="16" t="e">
        <f>#REF!</f>
        <v>#REF!</v>
      </c>
      <c r="J1016" s="16" t="e">
        <f>#REF!</f>
        <v>#REF!</v>
      </c>
      <c r="K1016" s="16" t="s">
        <v>744</v>
      </c>
      <c r="L1016" s="16"/>
      <c r="M1016" s="16"/>
      <c r="N1016" s="16"/>
      <c r="O1016" s="16"/>
    </row>
    <row r="1017" spans="1:15" ht="22.5" customHeight="1" thickTop="1" thickBot="1" x14ac:dyDescent="0.25">
      <c r="A1017" s="16" t="e">
        <f>#REF!</f>
        <v>#REF!</v>
      </c>
      <c r="B1017" s="16" t="e">
        <f>#REF!</f>
        <v>#REF!</v>
      </c>
      <c r="C1017" s="16" t="e">
        <f>#REF!</f>
        <v>#REF!</v>
      </c>
      <c r="D1017" s="16" t="e">
        <f>#REF!</f>
        <v>#REF!</v>
      </c>
      <c r="E1017" s="16" t="e">
        <f>#REF!</f>
        <v>#REF!</v>
      </c>
      <c r="F1017" s="16" t="e">
        <f>#REF!</f>
        <v>#REF!</v>
      </c>
      <c r="G1017" s="16" t="e">
        <f>#REF!</f>
        <v>#REF!</v>
      </c>
      <c r="H1017" s="16" t="e">
        <f>#REF!</f>
        <v>#REF!</v>
      </c>
      <c r="I1017" s="16" t="e">
        <f>#REF!</f>
        <v>#REF!</v>
      </c>
      <c r="J1017" s="16" t="e">
        <f>#REF!</f>
        <v>#REF!</v>
      </c>
      <c r="K1017" s="16" t="s">
        <v>744</v>
      </c>
      <c r="L1017" s="16"/>
      <c r="M1017" s="16"/>
      <c r="N1017" s="16"/>
      <c r="O1017" s="16"/>
    </row>
    <row r="1018" spans="1:15" ht="22.5" customHeight="1" thickTop="1" thickBot="1" x14ac:dyDescent="0.25">
      <c r="A1018" s="16" t="e">
        <f>#REF!</f>
        <v>#REF!</v>
      </c>
      <c r="B1018" s="16" t="e">
        <f>#REF!</f>
        <v>#REF!</v>
      </c>
      <c r="C1018" s="16" t="e">
        <f>#REF!</f>
        <v>#REF!</v>
      </c>
      <c r="D1018" s="16" t="e">
        <f>#REF!</f>
        <v>#REF!</v>
      </c>
      <c r="E1018" s="16" t="e">
        <f>#REF!</f>
        <v>#REF!</v>
      </c>
      <c r="F1018" s="16" t="e">
        <f>#REF!</f>
        <v>#REF!</v>
      </c>
      <c r="G1018" s="16" t="e">
        <f>#REF!</f>
        <v>#REF!</v>
      </c>
      <c r="H1018" s="16" t="e">
        <f>#REF!</f>
        <v>#REF!</v>
      </c>
      <c r="I1018" s="16" t="e">
        <f>#REF!</f>
        <v>#REF!</v>
      </c>
      <c r="J1018" s="16" t="e">
        <f>#REF!</f>
        <v>#REF!</v>
      </c>
      <c r="K1018" s="16" t="s">
        <v>744</v>
      </c>
      <c r="L1018" s="16"/>
      <c r="M1018" s="16"/>
      <c r="N1018" s="16"/>
      <c r="O1018" s="16"/>
    </row>
    <row r="1019" spans="1:15" ht="22.5" customHeight="1" thickTop="1" thickBot="1" x14ac:dyDescent="0.25">
      <c r="A1019" s="16" t="e">
        <f>#REF!</f>
        <v>#REF!</v>
      </c>
      <c r="B1019" s="16" t="e">
        <f>#REF!</f>
        <v>#REF!</v>
      </c>
      <c r="C1019" s="16" t="e">
        <f>#REF!</f>
        <v>#REF!</v>
      </c>
      <c r="D1019" s="16" t="e">
        <f>#REF!</f>
        <v>#REF!</v>
      </c>
      <c r="E1019" s="16" t="e">
        <f>#REF!</f>
        <v>#REF!</v>
      </c>
      <c r="F1019" s="16" t="e">
        <f>#REF!</f>
        <v>#REF!</v>
      </c>
      <c r="G1019" s="16" t="e">
        <f>#REF!</f>
        <v>#REF!</v>
      </c>
      <c r="H1019" s="16" t="e">
        <f>#REF!</f>
        <v>#REF!</v>
      </c>
      <c r="I1019" s="16" t="e">
        <f>#REF!</f>
        <v>#REF!</v>
      </c>
      <c r="J1019" s="16" t="e">
        <f>#REF!</f>
        <v>#REF!</v>
      </c>
      <c r="K1019" s="16" t="s">
        <v>744</v>
      </c>
      <c r="L1019" s="16"/>
      <c r="M1019" s="16"/>
      <c r="N1019" s="16"/>
      <c r="O1019" s="16"/>
    </row>
    <row r="1020" spans="1:15" ht="22.5" customHeight="1" thickTop="1" thickBot="1" x14ac:dyDescent="0.25">
      <c r="A1020" s="16" t="e">
        <f>#REF!</f>
        <v>#REF!</v>
      </c>
      <c r="B1020" s="16" t="e">
        <f>#REF!</f>
        <v>#REF!</v>
      </c>
      <c r="C1020" s="16" t="e">
        <f>#REF!</f>
        <v>#REF!</v>
      </c>
      <c r="D1020" s="16" t="e">
        <f>#REF!</f>
        <v>#REF!</v>
      </c>
      <c r="E1020" s="16" t="e">
        <f>#REF!</f>
        <v>#REF!</v>
      </c>
      <c r="F1020" s="16" t="e">
        <f>#REF!</f>
        <v>#REF!</v>
      </c>
      <c r="G1020" s="16" t="e">
        <f>#REF!</f>
        <v>#REF!</v>
      </c>
      <c r="H1020" s="16" t="e">
        <f>#REF!</f>
        <v>#REF!</v>
      </c>
      <c r="I1020" s="16" t="e">
        <f>#REF!</f>
        <v>#REF!</v>
      </c>
      <c r="J1020" s="16" t="e">
        <f>#REF!</f>
        <v>#REF!</v>
      </c>
      <c r="K1020" s="16" t="s">
        <v>744</v>
      </c>
      <c r="L1020" s="16"/>
      <c r="M1020" s="16"/>
      <c r="N1020" s="16"/>
      <c r="O1020" s="16"/>
    </row>
    <row r="1021" spans="1:15" ht="22.5" customHeight="1" thickTop="1" thickBot="1" x14ac:dyDescent="0.25">
      <c r="A1021" s="16" t="e">
        <f>#REF!</f>
        <v>#REF!</v>
      </c>
      <c r="B1021" s="16" t="e">
        <f>#REF!</f>
        <v>#REF!</v>
      </c>
      <c r="C1021" s="16" t="e">
        <f>#REF!</f>
        <v>#REF!</v>
      </c>
      <c r="D1021" s="16" t="e">
        <f>#REF!</f>
        <v>#REF!</v>
      </c>
      <c r="E1021" s="16" t="e">
        <f>#REF!</f>
        <v>#REF!</v>
      </c>
      <c r="F1021" s="16" t="e">
        <f>#REF!</f>
        <v>#REF!</v>
      </c>
      <c r="G1021" s="16" t="e">
        <f>#REF!</f>
        <v>#REF!</v>
      </c>
      <c r="H1021" s="16" t="e">
        <f>#REF!</f>
        <v>#REF!</v>
      </c>
      <c r="I1021" s="16" t="e">
        <f>#REF!</f>
        <v>#REF!</v>
      </c>
      <c r="J1021" s="16" t="e">
        <f>#REF!</f>
        <v>#REF!</v>
      </c>
      <c r="K1021" s="16" t="s">
        <v>744</v>
      </c>
      <c r="L1021" s="16"/>
      <c r="M1021" s="16"/>
      <c r="N1021" s="16"/>
      <c r="O1021" s="16"/>
    </row>
    <row r="1022" spans="1:15" ht="22.5" customHeight="1" thickTop="1" thickBot="1" x14ac:dyDescent="0.25">
      <c r="A1022" s="16" t="e">
        <f>#REF!</f>
        <v>#REF!</v>
      </c>
      <c r="B1022" s="16" t="e">
        <f>#REF!</f>
        <v>#REF!</v>
      </c>
      <c r="C1022" s="16" t="e">
        <f>#REF!</f>
        <v>#REF!</v>
      </c>
      <c r="D1022" s="16" t="e">
        <f>#REF!</f>
        <v>#REF!</v>
      </c>
      <c r="E1022" s="16" t="e">
        <f>#REF!</f>
        <v>#REF!</v>
      </c>
      <c r="F1022" s="16" t="e">
        <f>#REF!</f>
        <v>#REF!</v>
      </c>
      <c r="G1022" s="16" t="e">
        <f>#REF!</f>
        <v>#REF!</v>
      </c>
      <c r="H1022" s="16" t="e">
        <f>#REF!</f>
        <v>#REF!</v>
      </c>
      <c r="I1022" s="16" t="e">
        <f>#REF!</f>
        <v>#REF!</v>
      </c>
      <c r="J1022" s="16" t="e">
        <f>#REF!</f>
        <v>#REF!</v>
      </c>
      <c r="K1022" s="16" t="s">
        <v>744</v>
      </c>
      <c r="L1022" s="16"/>
      <c r="M1022" s="16"/>
      <c r="N1022" s="16"/>
      <c r="O1022" s="16"/>
    </row>
    <row r="1023" spans="1:15" ht="22.5" customHeight="1" thickTop="1" thickBot="1" x14ac:dyDescent="0.25">
      <c r="A1023" s="16" t="e">
        <f>#REF!</f>
        <v>#REF!</v>
      </c>
      <c r="B1023" s="16" t="e">
        <f>#REF!</f>
        <v>#REF!</v>
      </c>
      <c r="C1023" s="16" t="e">
        <f>#REF!</f>
        <v>#REF!</v>
      </c>
      <c r="D1023" s="16" t="e">
        <f>#REF!</f>
        <v>#REF!</v>
      </c>
      <c r="E1023" s="16" t="e">
        <f>#REF!</f>
        <v>#REF!</v>
      </c>
      <c r="F1023" s="16" t="e">
        <f>#REF!</f>
        <v>#REF!</v>
      </c>
      <c r="G1023" s="16" t="e">
        <f>#REF!</f>
        <v>#REF!</v>
      </c>
      <c r="H1023" s="16" t="e">
        <f>#REF!</f>
        <v>#REF!</v>
      </c>
      <c r="I1023" s="16" t="e">
        <f>#REF!</f>
        <v>#REF!</v>
      </c>
      <c r="J1023" s="16" t="e">
        <f>#REF!</f>
        <v>#REF!</v>
      </c>
      <c r="K1023" s="16" t="s">
        <v>744</v>
      </c>
      <c r="L1023" s="16"/>
      <c r="M1023" s="16"/>
      <c r="N1023" s="16"/>
      <c r="O1023" s="16"/>
    </row>
    <row r="1024" spans="1:15" ht="22.5" customHeight="1" thickTop="1" thickBot="1" x14ac:dyDescent="0.25">
      <c r="A1024" s="16" t="e">
        <f>#REF!</f>
        <v>#REF!</v>
      </c>
      <c r="B1024" s="16" t="e">
        <f>#REF!</f>
        <v>#REF!</v>
      </c>
      <c r="C1024" s="16" t="e">
        <f>#REF!</f>
        <v>#REF!</v>
      </c>
      <c r="D1024" s="16" t="e">
        <f>#REF!</f>
        <v>#REF!</v>
      </c>
      <c r="E1024" s="16" t="e">
        <f>#REF!</f>
        <v>#REF!</v>
      </c>
      <c r="F1024" s="16" t="e">
        <f>#REF!</f>
        <v>#REF!</v>
      </c>
      <c r="G1024" s="16" t="e">
        <f>#REF!</f>
        <v>#REF!</v>
      </c>
      <c r="H1024" s="16" t="e">
        <f>#REF!</f>
        <v>#REF!</v>
      </c>
      <c r="I1024" s="16" t="e">
        <f>#REF!</f>
        <v>#REF!</v>
      </c>
      <c r="J1024" s="16" t="e">
        <f>#REF!</f>
        <v>#REF!</v>
      </c>
      <c r="K1024" s="16" t="s">
        <v>744</v>
      </c>
      <c r="L1024" s="16"/>
      <c r="M1024" s="16"/>
      <c r="N1024" s="16"/>
      <c r="O1024" s="16"/>
    </row>
    <row r="1025" spans="1:15" ht="22.5" customHeight="1" thickTop="1" thickBot="1" x14ac:dyDescent="0.25">
      <c r="A1025" s="16" t="e">
        <f>#REF!</f>
        <v>#REF!</v>
      </c>
      <c r="B1025" s="16" t="e">
        <f>#REF!</f>
        <v>#REF!</v>
      </c>
      <c r="C1025" s="16" t="e">
        <f>#REF!</f>
        <v>#REF!</v>
      </c>
      <c r="D1025" s="16" t="e">
        <f>#REF!</f>
        <v>#REF!</v>
      </c>
      <c r="E1025" s="16" t="e">
        <f>#REF!</f>
        <v>#REF!</v>
      </c>
      <c r="F1025" s="16" t="e">
        <f>#REF!</f>
        <v>#REF!</v>
      </c>
      <c r="G1025" s="16" t="e">
        <f>#REF!</f>
        <v>#REF!</v>
      </c>
      <c r="H1025" s="16" t="e">
        <f>#REF!</f>
        <v>#REF!</v>
      </c>
      <c r="I1025" s="16" t="e">
        <f>#REF!</f>
        <v>#REF!</v>
      </c>
      <c r="J1025" s="16" t="e">
        <f>#REF!</f>
        <v>#REF!</v>
      </c>
      <c r="K1025" s="16" t="s">
        <v>744</v>
      </c>
      <c r="L1025" s="16"/>
      <c r="M1025" s="16"/>
      <c r="N1025" s="16"/>
      <c r="O1025" s="16"/>
    </row>
    <row r="1026" spans="1:15" ht="22.5" customHeight="1" thickTop="1" thickBot="1" x14ac:dyDescent="0.25">
      <c r="A1026" s="16" t="e">
        <f>#REF!</f>
        <v>#REF!</v>
      </c>
      <c r="B1026" s="16" t="e">
        <f>#REF!</f>
        <v>#REF!</v>
      </c>
      <c r="C1026" s="16" t="e">
        <f>#REF!</f>
        <v>#REF!</v>
      </c>
      <c r="D1026" s="16" t="e">
        <f>#REF!</f>
        <v>#REF!</v>
      </c>
      <c r="E1026" s="16" t="e">
        <f>#REF!</f>
        <v>#REF!</v>
      </c>
      <c r="F1026" s="16" t="e">
        <f>#REF!</f>
        <v>#REF!</v>
      </c>
      <c r="G1026" s="16" t="e">
        <f>#REF!</f>
        <v>#REF!</v>
      </c>
      <c r="H1026" s="16" t="e">
        <f>#REF!</f>
        <v>#REF!</v>
      </c>
      <c r="I1026" s="16" t="e">
        <f>#REF!</f>
        <v>#REF!</v>
      </c>
      <c r="J1026" s="16" t="e">
        <f>#REF!</f>
        <v>#REF!</v>
      </c>
      <c r="K1026" s="16" t="s">
        <v>744</v>
      </c>
      <c r="L1026" s="16"/>
      <c r="M1026" s="16"/>
      <c r="N1026" s="16"/>
      <c r="O1026" s="16"/>
    </row>
    <row r="1027" spans="1:15" ht="22.5" customHeight="1" thickTop="1" thickBot="1" x14ac:dyDescent="0.25">
      <c r="A1027" s="16" t="e">
        <f>#REF!</f>
        <v>#REF!</v>
      </c>
      <c r="B1027" s="16" t="e">
        <f>#REF!</f>
        <v>#REF!</v>
      </c>
      <c r="C1027" s="16" t="e">
        <f>#REF!</f>
        <v>#REF!</v>
      </c>
      <c r="D1027" s="16" t="e">
        <f>#REF!</f>
        <v>#REF!</v>
      </c>
      <c r="E1027" s="16" t="e">
        <f>#REF!</f>
        <v>#REF!</v>
      </c>
      <c r="F1027" s="16" t="e">
        <f>#REF!</f>
        <v>#REF!</v>
      </c>
      <c r="G1027" s="16" t="e">
        <f>#REF!</f>
        <v>#REF!</v>
      </c>
      <c r="H1027" s="16" t="e">
        <f>#REF!</f>
        <v>#REF!</v>
      </c>
      <c r="I1027" s="16" t="e">
        <f>#REF!</f>
        <v>#REF!</v>
      </c>
      <c r="J1027" s="16" t="e">
        <f>#REF!</f>
        <v>#REF!</v>
      </c>
      <c r="K1027" s="16" t="s">
        <v>744</v>
      </c>
      <c r="L1027" s="16"/>
      <c r="M1027" s="16"/>
      <c r="N1027" s="16"/>
      <c r="O1027" s="16"/>
    </row>
    <row r="1028" spans="1:15" ht="22.5" customHeight="1" thickTop="1" thickBot="1" x14ac:dyDescent="0.25">
      <c r="A1028" s="16" t="e">
        <f>#REF!</f>
        <v>#REF!</v>
      </c>
      <c r="B1028" s="16" t="e">
        <f>#REF!</f>
        <v>#REF!</v>
      </c>
      <c r="C1028" s="16" t="e">
        <f>#REF!</f>
        <v>#REF!</v>
      </c>
      <c r="D1028" s="16" t="e">
        <f>#REF!</f>
        <v>#REF!</v>
      </c>
      <c r="E1028" s="16" t="e">
        <f>#REF!</f>
        <v>#REF!</v>
      </c>
      <c r="F1028" s="16" t="e">
        <f>#REF!</f>
        <v>#REF!</v>
      </c>
      <c r="G1028" s="16" t="e">
        <f>#REF!</f>
        <v>#REF!</v>
      </c>
      <c r="H1028" s="16" t="e">
        <f>#REF!</f>
        <v>#REF!</v>
      </c>
      <c r="I1028" s="16" t="e">
        <f>#REF!</f>
        <v>#REF!</v>
      </c>
      <c r="J1028" s="16" t="e">
        <f>#REF!</f>
        <v>#REF!</v>
      </c>
      <c r="K1028" s="16" t="s">
        <v>744</v>
      </c>
      <c r="L1028" s="16"/>
      <c r="M1028" s="16"/>
      <c r="N1028" s="16"/>
      <c r="O1028" s="16"/>
    </row>
    <row r="1029" spans="1:15" ht="22.5" customHeight="1" thickTop="1" thickBot="1" x14ac:dyDescent="0.25">
      <c r="A1029" s="16" t="e">
        <f>#REF!</f>
        <v>#REF!</v>
      </c>
      <c r="B1029" s="16" t="e">
        <f>#REF!</f>
        <v>#REF!</v>
      </c>
      <c r="C1029" s="16" t="e">
        <f>#REF!</f>
        <v>#REF!</v>
      </c>
      <c r="D1029" s="16" t="e">
        <f>#REF!</f>
        <v>#REF!</v>
      </c>
      <c r="E1029" s="16" t="e">
        <f>#REF!</f>
        <v>#REF!</v>
      </c>
      <c r="F1029" s="16" t="e">
        <f>#REF!</f>
        <v>#REF!</v>
      </c>
      <c r="G1029" s="16" t="e">
        <f>#REF!</f>
        <v>#REF!</v>
      </c>
      <c r="H1029" s="16" t="e">
        <f>#REF!</f>
        <v>#REF!</v>
      </c>
      <c r="I1029" s="16" t="e">
        <f>#REF!</f>
        <v>#REF!</v>
      </c>
      <c r="J1029" s="16" t="e">
        <f>#REF!</f>
        <v>#REF!</v>
      </c>
      <c r="K1029" s="16" t="s">
        <v>744</v>
      </c>
      <c r="L1029" s="16"/>
      <c r="M1029" s="16"/>
      <c r="N1029" s="16"/>
      <c r="O1029" s="16"/>
    </row>
    <row r="1030" spans="1:15" ht="22.5" customHeight="1" thickTop="1" thickBot="1" x14ac:dyDescent="0.25">
      <c r="A1030" s="16" t="e">
        <f>#REF!</f>
        <v>#REF!</v>
      </c>
      <c r="B1030" s="16" t="e">
        <f>#REF!</f>
        <v>#REF!</v>
      </c>
      <c r="C1030" s="16" t="e">
        <f>#REF!</f>
        <v>#REF!</v>
      </c>
      <c r="D1030" s="16" t="e">
        <f>#REF!</f>
        <v>#REF!</v>
      </c>
      <c r="E1030" s="16" t="e">
        <f>#REF!</f>
        <v>#REF!</v>
      </c>
      <c r="F1030" s="16" t="e">
        <f>#REF!</f>
        <v>#REF!</v>
      </c>
      <c r="G1030" s="16" t="e">
        <f>#REF!</f>
        <v>#REF!</v>
      </c>
      <c r="H1030" s="16" t="e">
        <f>#REF!</f>
        <v>#REF!</v>
      </c>
      <c r="I1030" s="16" t="e">
        <f>#REF!</f>
        <v>#REF!</v>
      </c>
      <c r="J1030" s="16" t="e">
        <f>#REF!</f>
        <v>#REF!</v>
      </c>
      <c r="K1030" s="16" t="s">
        <v>744</v>
      </c>
      <c r="L1030" s="16"/>
      <c r="M1030" s="16"/>
      <c r="N1030" s="16"/>
      <c r="O1030" s="16"/>
    </row>
    <row r="1031" spans="1:15" ht="22.5" customHeight="1" thickTop="1" thickBot="1" x14ac:dyDescent="0.25">
      <c r="A1031" s="16" t="e">
        <f>#REF!</f>
        <v>#REF!</v>
      </c>
      <c r="B1031" s="16" t="e">
        <f>#REF!</f>
        <v>#REF!</v>
      </c>
      <c r="C1031" s="16" t="e">
        <f>#REF!</f>
        <v>#REF!</v>
      </c>
      <c r="D1031" s="16" t="e">
        <f>#REF!</f>
        <v>#REF!</v>
      </c>
      <c r="E1031" s="16" t="e">
        <f>#REF!</f>
        <v>#REF!</v>
      </c>
      <c r="F1031" s="16" t="e">
        <f>#REF!</f>
        <v>#REF!</v>
      </c>
      <c r="G1031" s="16" t="e">
        <f>#REF!</f>
        <v>#REF!</v>
      </c>
      <c r="H1031" s="16" t="e">
        <f>#REF!</f>
        <v>#REF!</v>
      </c>
      <c r="I1031" s="16" t="e">
        <f>#REF!</f>
        <v>#REF!</v>
      </c>
      <c r="J1031" s="16" t="e">
        <f>#REF!</f>
        <v>#REF!</v>
      </c>
      <c r="K1031" s="16" t="s">
        <v>744</v>
      </c>
      <c r="L1031" s="16"/>
      <c r="M1031" s="16"/>
      <c r="N1031" s="16"/>
      <c r="O1031" s="16"/>
    </row>
    <row r="1032" spans="1:15" ht="22.5" customHeight="1" thickTop="1" thickBot="1" x14ac:dyDescent="0.25">
      <c r="A1032" s="16" t="e">
        <f>#REF!</f>
        <v>#REF!</v>
      </c>
      <c r="B1032" s="16" t="e">
        <f>#REF!</f>
        <v>#REF!</v>
      </c>
      <c r="C1032" s="16" t="e">
        <f>#REF!</f>
        <v>#REF!</v>
      </c>
      <c r="D1032" s="16" t="e">
        <f>#REF!</f>
        <v>#REF!</v>
      </c>
      <c r="E1032" s="16" t="e">
        <f>#REF!</f>
        <v>#REF!</v>
      </c>
      <c r="F1032" s="16" t="e">
        <f>#REF!</f>
        <v>#REF!</v>
      </c>
      <c r="G1032" s="16" t="e">
        <f>#REF!</f>
        <v>#REF!</v>
      </c>
      <c r="H1032" s="16" t="e">
        <f>#REF!</f>
        <v>#REF!</v>
      </c>
      <c r="I1032" s="16" t="e">
        <f>#REF!</f>
        <v>#REF!</v>
      </c>
      <c r="J1032" s="16" t="e">
        <f>#REF!</f>
        <v>#REF!</v>
      </c>
      <c r="K1032" s="16" t="s">
        <v>744</v>
      </c>
      <c r="L1032" s="16"/>
      <c r="M1032" s="16"/>
      <c r="N1032" s="16"/>
      <c r="O1032" s="16"/>
    </row>
    <row r="1033" spans="1:15" ht="22.5" customHeight="1" thickTop="1" thickBot="1" x14ac:dyDescent="0.25">
      <c r="A1033" s="16" t="e">
        <f>#REF!</f>
        <v>#REF!</v>
      </c>
      <c r="B1033" s="16" t="e">
        <f>#REF!</f>
        <v>#REF!</v>
      </c>
      <c r="C1033" s="16" t="e">
        <f>#REF!</f>
        <v>#REF!</v>
      </c>
      <c r="D1033" s="16" t="e">
        <f>#REF!</f>
        <v>#REF!</v>
      </c>
      <c r="E1033" s="16" t="e">
        <f>#REF!</f>
        <v>#REF!</v>
      </c>
      <c r="F1033" s="16" t="e">
        <f>#REF!</f>
        <v>#REF!</v>
      </c>
      <c r="G1033" s="16" t="e">
        <f>#REF!</f>
        <v>#REF!</v>
      </c>
      <c r="H1033" s="16" t="e">
        <f>#REF!</f>
        <v>#REF!</v>
      </c>
      <c r="I1033" s="16" t="e">
        <f>#REF!</f>
        <v>#REF!</v>
      </c>
      <c r="J1033" s="16" t="e">
        <f>#REF!</f>
        <v>#REF!</v>
      </c>
      <c r="K1033" s="16" t="s">
        <v>744</v>
      </c>
      <c r="L1033" s="16"/>
      <c r="M1033" s="16"/>
      <c r="N1033" s="16"/>
      <c r="O1033" s="16"/>
    </row>
    <row r="1034" spans="1:15" ht="22.5" customHeight="1" thickTop="1" thickBot="1" x14ac:dyDescent="0.25">
      <c r="A1034" s="16" t="e">
        <f>#REF!</f>
        <v>#REF!</v>
      </c>
      <c r="B1034" s="16" t="e">
        <f>#REF!</f>
        <v>#REF!</v>
      </c>
      <c r="C1034" s="16" t="e">
        <f>#REF!</f>
        <v>#REF!</v>
      </c>
      <c r="D1034" s="16" t="e">
        <f>#REF!</f>
        <v>#REF!</v>
      </c>
      <c r="E1034" s="16" t="e">
        <f>#REF!</f>
        <v>#REF!</v>
      </c>
      <c r="F1034" s="16" t="e">
        <f>#REF!</f>
        <v>#REF!</v>
      </c>
      <c r="G1034" s="16" t="e">
        <f>#REF!</f>
        <v>#REF!</v>
      </c>
      <c r="H1034" s="16" t="e">
        <f>#REF!</f>
        <v>#REF!</v>
      </c>
      <c r="I1034" s="16" t="e">
        <f>#REF!</f>
        <v>#REF!</v>
      </c>
      <c r="J1034" s="16" t="e">
        <f>#REF!</f>
        <v>#REF!</v>
      </c>
      <c r="K1034" s="16" t="s">
        <v>744</v>
      </c>
      <c r="L1034" s="16"/>
      <c r="M1034" s="16"/>
      <c r="N1034" s="16"/>
      <c r="O1034" s="16"/>
    </row>
    <row r="1035" spans="1:15" ht="22.5" customHeight="1" thickTop="1" thickBot="1" x14ac:dyDescent="0.25">
      <c r="A1035" s="16" t="e">
        <f>#REF!</f>
        <v>#REF!</v>
      </c>
      <c r="B1035" s="16" t="e">
        <f>#REF!</f>
        <v>#REF!</v>
      </c>
      <c r="C1035" s="16" t="e">
        <f>#REF!</f>
        <v>#REF!</v>
      </c>
      <c r="D1035" s="16" t="e">
        <f>#REF!</f>
        <v>#REF!</v>
      </c>
      <c r="E1035" s="16" t="e">
        <f>#REF!</f>
        <v>#REF!</v>
      </c>
      <c r="F1035" s="16" t="e">
        <f>#REF!</f>
        <v>#REF!</v>
      </c>
      <c r="G1035" s="16" t="e">
        <f>#REF!</f>
        <v>#REF!</v>
      </c>
      <c r="H1035" s="16" t="e">
        <f>#REF!</f>
        <v>#REF!</v>
      </c>
      <c r="I1035" s="16" t="e">
        <f>#REF!</f>
        <v>#REF!</v>
      </c>
      <c r="J1035" s="16" t="e">
        <f>#REF!</f>
        <v>#REF!</v>
      </c>
      <c r="K1035" s="16" t="s">
        <v>744</v>
      </c>
      <c r="L1035" s="16"/>
      <c r="M1035" s="16"/>
      <c r="N1035" s="16"/>
      <c r="O1035" s="16"/>
    </row>
    <row r="1036" spans="1:15" ht="22.5" customHeight="1" thickTop="1" thickBot="1" x14ac:dyDescent="0.25">
      <c r="A1036" s="16" t="e">
        <f>#REF!</f>
        <v>#REF!</v>
      </c>
      <c r="B1036" s="16" t="e">
        <f>#REF!</f>
        <v>#REF!</v>
      </c>
      <c r="C1036" s="16" t="e">
        <f>#REF!</f>
        <v>#REF!</v>
      </c>
      <c r="D1036" s="16" t="e">
        <f>#REF!</f>
        <v>#REF!</v>
      </c>
      <c r="E1036" s="16" t="e">
        <f>#REF!</f>
        <v>#REF!</v>
      </c>
      <c r="F1036" s="16" t="e">
        <f>#REF!</f>
        <v>#REF!</v>
      </c>
      <c r="G1036" s="16" t="e">
        <f>#REF!</f>
        <v>#REF!</v>
      </c>
      <c r="H1036" s="16" t="e">
        <f>#REF!</f>
        <v>#REF!</v>
      </c>
      <c r="I1036" s="16" t="e">
        <f>#REF!</f>
        <v>#REF!</v>
      </c>
      <c r="J1036" s="16" t="e">
        <f>#REF!</f>
        <v>#REF!</v>
      </c>
      <c r="K1036" s="16" t="s">
        <v>744</v>
      </c>
      <c r="L1036" s="16"/>
      <c r="M1036" s="16"/>
      <c r="N1036" s="16"/>
      <c r="O1036" s="16"/>
    </row>
    <row r="1037" spans="1:15" ht="22.5" customHeight="1" thickTop="1" thickBot="1" x14ac:dyDescent="0.25">
      <c r="A1037" s="16" t="e">
        <f>#REF!</f>
        <v>#REF!</v>
      </c>
      <c r="B1037" s="16" t="e">
        <f>#REF!</f>
        <v>#REF!</v>
      </c>
      <c r="C1037" s="16" t="e">
        <f>#REF!</f>
        <v>#REF!</v>
      </c>
      <c r="D1037" s="16" t="e">
        <f>#REF!</f>
        <v>#REF!</v>
      </c>
      <c r="E1037" s="16" t="e">
        <f>#REF!</f>
        <v>#REF!</v>
      </c>
      <c r="F1037" s="16" t="e">
        <f>#REF!</f>
        <v>#REF!</v>
      </c>
      <c r="G1037" s="16" t="e">
        <f>#REF!</f>
        <v>#REF!</v>
      </c>
      <c r="H1037" s="16" t="e">
        <f>#REF!</f>
        <v>#REF!</v>
      </c>
      <c r="I1037" s="16" t="e">
        <f>#REF!</f>
        <v>#REF!</v>
      </c>
      <c r="J1037" s="16" t="e">
        <f>#REF!</f>
        <v>#REF!</v>
      </c>
      <c r="K1037" s="16" t="s">
        <v>744</v>
      </c>
      <c r="L1037" s="16"/>
      <c r="M1037" s="16"/>
      <c r="N1037" s="16"/>
      <c r="O1037" s="16"/>
    </row>
    <row r="1038" spans="1:15" ht="22.5" customHeight="1" thickTop="1" thickBot="1" x14ac:dyDescent="0.25">
      <c r="A1038" s="16" t="e">
        <f>#REF!</f>
        <v>#REF!</v>
      </c>
      <c r="B1038" s="16" t="e">
        <f>#REF!</f>
        <v>#REF!</v>
      </c>
      <c r="C1038" s="16" t="e">
        <f>#REF!</f>
        <v>#REF!</v>
      </c>
      <c r="D1038" s="16" t="e">
        <f>#REF!</f>
        <v>#REF!</v>
      </c>
      <c r="E1038" s="16" t="e">
        <f>#REF!</f>
        <v>#REF!</v>
      </c>
      <c r="F1038" s="16" t="e">
        <f>#REF!</f>
        <v>#REF!</v>
      </c>
      <c r="G1038" s="16" t="e">
        <f>#REF!</f>
        <v>#REF!</v>
      </c>
      <c r="H1038" s="16" t="e">
        <f>#REF!</f>
        <v>#REF!</v>
      </c>
      <c r="I1038" s="16" t="e">
        <f>#REF!</f>
        <v>#REF!</v>
      </c>
      <c r="J1038" s="16" t="e">
        <f>#REF!</f>
        <v>#REF!</v>
      </c>
      <c r="K1038" s="16" t="s">
        <v>744</v>
      </c>
      <c r="L1038" s="16"/>
      <c r="M1038" s="16"/>
      <c r="N1038" s="16"/>
      <c r="O1038" s="16"/>
    </row>
    <row r="1039" spans="1:15" ht="22.5" customHeight="1" thickTop="1" thickBot="1" x14ac:dyDescent="0.25">
      <c r="A1039" s="16" t="e">
        <f>#REF!</f>
        <v>#REF!</v>
      </c>
      <c r="B1039" s="16" t="e">
        <f>#REF!</f>
        <v>#REF!</v>
      </c>
      <c r="C1039" s="16" t="e">
        <f>#REF!</f>
        <v>#REF!</v>
      </c>
      <c r="D1039" s="16" t="e">
        <f>#REF!</f>
        <v>#REF!</v>
      </c>
      <c r="E1039" s="16" t="e">
        <f>#REF!</f>
        <v>#REF!</v>
      </c>
      <c r="F1039" s="16" t="e">
        <f>#REF!</f>
        <v>#REF!</v>
      </c>
      <c r="G1039" s="16" t="e">
        <f>#REF!</f>
        <v>#REF!</v>
      </c>
      <c r="H1039" s="16" t="e">
        <f>#REF!</f>
        <v>#REF!</v>
      </c>
      <c r="I1039" s="16" t="e">
        <f>#REF!</f>
        <v>#REF!</v>
      </c>
      <c r="J1039" s="16" t="e">
        <f>#REF!</f>
        <v>#REF!</v>
      </c>
      <c r="K1039" s="16" t="s">
        <v>744</v>
      </c>
      <c r="L1039" s="16"/>
      <c r="M1039" s="16"/>
      <c r="N1039" s="16"/>
      <c r="O1039" s="16"/>
    </row>
    <row r="1040" spans="1:15" ht="22.5" customHeight="1" thickTop="1" thickBot="1" x14ac:dyDescent="0.25">
      <c r="A1040" s="16" t="e">
        <f>#REF!</f>
        <v>#REF!</v>
      </c>
      <c r="B1040" s="16" t="e">
        <f>#REF!</f>
        <v>#REF!</v>
      </c>
      <c r="C1040" s="16" t="e">
        <f>#REF!</f>
        <v>#REF!</v>
      </c>
      <c r="D1040" s="16" t="e">
        <f>#REF!</f>
        <v>#REF!</v>
      </c>
      <c r="E1040" s="16" t="e">
        <f>#REF!</f>
        <v>#REF!</v>
      </c>
      <c r="F1040" s="16" t="e">
        <f>#REF!</f>
        <v>#REF!</v>
      </c>
      <c r="G1040" s="16" t="e">
        <f>#REF!</f>
        <v>#REF!</v>
      </c>
      <c r="H1040" s="16" t="e">
        <f>#REF!</f>
        <v>#REF!</v>
      </c>
      <c r="I1040" s="16" t="e">
        <f>#REF!</f>
        <v>#REF!</v>
      </c>
      <c r="J1040" s="16" t="e">
        <f>#REF!</f>
        <v>#REF!</v>
      </c>
      <c r="K1040" s="16" t="s">
        <v>744</v>
      </c>
      <c r="L1040" s="16"/>
      <c r="M1040" s="16"/>
      <c r="N1040" s="16"/>
      <c r="O1040" s="16"/>
    </row>
    <row r="1041" spans="1:15" ht="22.5" customHeight="1" thickTop="1" thickBot="1" x14ac:dyDescent="0.25">
      <c r="A1041" s="16" t="e">
        <f>#REF!</f>
        <v>#REF!</v>
      </c>
      <c r="B1041" s="16" t="e">
        <f>#REF!</f>
        <v>#REF!</v>
      </c>
      <c r="C1041" s="16" t="e">
        <f>#REF!</f>
        <v>#REF!</v>
      </c>
      <c r="D1041" s="16" t="e">
        <f>#REF!</f>
        <v>#REF!</v>
      </c>
      <c r="E1041" s="16" t="e">
        <f>#REF!</f>
        <v>#REF!</v>
      </c>
      <c r="F1041" s="16" t="e">
        <f>#REF!</f>
        <v>#REF!</v>
      </c>
      <c r="G1041" s="16" t="e">
        <f>#REF!</f>
        <v>#REF!</v>
      </c>
      <c r="H1041" s="16" t="e">
        <f>#REF!</f>
        <v>#REF!</v>
      </c>
      <c r="I1041" s="16" t="e">
        <f>#REF!</f>
        <v>#REF!</v>
      </c>
      <c r="J1041" s="16" t="e">
        <f>#REF!</f>
        <v>#REF!</v>
      </c>
      <c r="K1041" s="16" t="s">
        <v>744</v>
      </c>
      <c r="L1041" s="16"/>
      <c r="M1041" s="16"/>
      <c r="N1041" s="16"/>
      <c r="O1041" s="16"/>
    </row>
    <row r="1042" spans="1:15" ht="22.5" customHeight="1" thickTop="1" thickBot="1" x14ac:dyDescent="0.25">
      <c r="A1042" s="16" t="e">
        <f>#REF!</f>
        <v>#REF!</v>
      </c>
      <c r="B1042" s="16" t="e">
        <f>#REF!</f>
        <v>#REF!</v>
      </c>
      <c r="C1042" s="16" t="e">
        <f>#REF!</f>
        <v>#REF!</v>
      </c>
      <c r="D1042" s="16" t="e">
        <f>#REF!</f>
        <v>#REF!</v>
      </c>
      <c r="E1042" s="16" t="e">
        <f>#REF!</f>
        <v>#REF!</v>
      </c>
      <c r="F1042" s="16" t="e">
        <f>#REF!</f>
        <v>#REF!</v>
      </c>
      <c r="G1042" s="16" t="e">
        <f>#REF!</f>
        <v>#REF!</v>
      </c>
      <c r="H1042" s="16" t="e">
        <f>#REF!</f>
        <v>#REF!</v>
      </c>
      <c r="I1042" s="16" t="e">
        <f>#REF!</f>
        <v>#REF!</v>
      </c>
      <c r="J1042" s="16" t="e">
        <f>#REF!</f>
        <v>#REF!</v>
      </c>
      <c r="K1042" s="16" t="s">
        <v>744</v>
      </c>
      <c r="L1042" s="16"/>
      <c r="M1042" s="16"/>
      <c r="N1042" s="16"/>
      <c r="O1042" s="16"/>
    </row>
    <row r="1043" spans="1:15" ht="22.5" customHeight="1" thickTop="1" thickBot="1" x14ac:dyDescent="0.25">
      <c r="A1043" s="16" t="e">
        <f>#REF!</f>
        <v>#REF!</v>
      </c>
      <c r="B1043" s="16" t="e">
        <f>#REF!</f>
        <v>#REF!</v>
      </c>
      <c r="C1043" s="16" t="e">
        <f>#REF!</f>
        <v>#REF!</v>
      </c>
      <c r="D1043" s="16" t="e">
        <f>#REF!</f>
        <v>#REF!</v>
      </c>
      <c r="E1043" s="16" t="e">
        <f>#REF!</f>
        <v>#REF!</v>
      </c>
      <c r="F1043" s="16" t="e">
        <f>#REF!</f>
        <v>#REF!</v>
      </c>
      <c r="G1043" s="16" t="e">
        <f>#REF!</f>
        <v>#REF!</v>
      </c>
      <c r="H1043" s="16" t="e">
        <f>#REF!</f>
        <v>#REF!</v>
      </c>
      <c r="I1043" s="16" t="e">
        <f>#REF!</f>
        <v>#REF!</v>
      </c>
      <c r="J1043" s="16" t="e">
        <f>#REF!</f>
        <v>#REF!</v>
      </c>
      <c r="K1043" s="16"/>
      <c r="L1043" s="16"/>
      <c r="M1043" s="16"/>
      <c r="N1043" s="16"/>
      <c r="O1043" s="16"/>
    </row>
    <row r="1044" spans="1:15" ht="22.5" customHeight="1" thickTop="1" thickBot="1" x14ac:dyDescent="0.25">
      <c r="A1044" s="16" t="e">
        <f>#REF!</f>
        <v>#REF!</v>
      </c>
      <c r="B1044" s="16" t="e">
        <f>#REF!</f>
        <v>#REF!</v>
      </c>
      <c r="C1044" s="16" t="e">
        <f>#REF!</f>
        <v>#REF!</v>
      </c>
      <c r="D1044" s="16" t="e">
        <f>#REF!</f>
        <v>#REF!</v>
      </c>
      <c r="E1044" s="16" t="e">
        <f>#REF!</f>
        <v>#REF!</v>
      </c>
      <c r="F1044" s="16" t="e">
        <f>#REF!</f>
        <v>#REF!</v>
      </c>
      <c r="G1044" s="16" t="e">
        <f>#REF!</f>
        <v>#REF!</v>
      </c>
      <c r="H1044" s="16" t="e">
        <f>#REF!</f>
        <v>#REF!</v>
      </c>
      <c r="I1044" s="16" t="e">
        <f>#REF!</f>
        <v>#REF!</v>
      </c>
      <c r="J1044" s="16" t="e">
        <f>#REF!</f>
        <v>#REF!</v>
      </c>
      <c r="K1044" s="16" t="s">
        <v>744</v>
      </c>
      <c r="L1044" s="16"/>
      <c r="M1044" s="16"/>
      <c r="N1044" s="16"/>
      <c r="O1044" s="16"/>
    </row>
    <row r="1045" spans="1:15" ht="22.5" customHeight="1" thickTop="1" thickBot="1" x14ac:dyDescent="0.25">
      <c r="A1045" s="16" t="e">
        <f>#REF!</f>
        <v>#REF!</v>
      </c>
      <c r="B1045" s="16" t="e">
        <f>#REF!</f>
        <v>#REF!</v>
      </c>
      <c r="C1045" s="16" t="e">
        <f>#REF!</f>
        <v>#REF!</v>
      </c>
      <c r="D1045" s="16" t="e">
        <f>#REF!</f>
        <v>#REF!</v>
      </c>
      <c r="E1045" s="16" t="e">
        <f>#REF!</f>
        <v>#REF!</v>
      </c>
      <c r="F1045" s="16" t="e">
        <f>#REF!</f>
        <v>#REF!</v>
      </c>
      <c r="G1045" s="16" t="e">
        <f>#REF!</f>
        <v>#REF!</v>
      </c>
      <c r="H1045" s="16" t="e">
        <f>#REF!</f>
        <v>#REF!</v>
      </c>
      <c r="I1045" s="16" t="e">
        <f>#REF!</f>
        <v>#REF!</v>
      </c>
      <c r="J1045" s="16" t="e">
        <f>#REF!</f>
        <v>#REF!</v>
      </c>
      <c r="K1045" s="16"/>
      <c r="L1045" s="16"/>
      <c r="M1045" s="16"/>
      <c r="N1045" s="16"/>
      <c r="O1045" s="16"/>
    </row>
    <row r="1046" spans="1:15" ht="22.5" customHeight="1" thickTop="1" thickBot="1" x14ac:dyDescent="0.25">
      <c r="A1046" s="16" t="e">
        <f>#REF!</f>
        <v>#REF!</v>
      </c>
      <c r="B1046" s="16" t="e">
        <f>#REF!</f>
        <v>#REF!</v>
      </c>
      <c r="C1046" s="16" t="e">
        <f>#REF!</f>
        <v>#REF!</v>
      </c>
      <c r="D1046" s="16" t="e">
        <f>#REF!</f>
        <v>#REF!</v>
      </c>
      <c r="E1046" s="16" t="e">
        <f>#REF!</f>
        <v>#REF!</v>
      </c>
      <c r="F1046" s="16" t="e">
        <f>#REF!</f>
        <v>#REF!</v>
      </c>
      <c r="G1046" s="16" t="e">
        <f>#REF!</f>
        <v>#REF!</v>
      </c>
      <c r="H1046" s="16" t="e">
        <f>#REF!</f>
        <v>#REF!</v>
      </c>
      <c r="I1046" s="16" t="e">
        <f>#REF!</f>
        <v>#REF!</v>
      </c>
      <c r="J1046" s="16" t="e">
        <f>#REF!</f>
        <v>#REF!</v>
      </c>
      <c r="K1046" s="16" t="s">
        <v>744</v>
      </c>
      <c r="L1046" s="16"/>
      <c r="M1046" s="16"/>
      <c r="N1046" s="16"/>
      <c r="O1046" s="16"/>
    </row>
    <row r="1047" spans="1:15" ht="22.5" customHeight="1" thickTop="1" thickBot="1" x14ac:dyDescent="0.25">
      <c r="A1047" s="16" t="e">
        <f>#REF!</f>
        <v>#REF!</v>
      </c>
      <c r="B1047" s="16" t="e">
        <f>#REF!</f>
        <v>#REF!</v>
      </c>
      <c r="C1047" s="16" t="e">
        <f>#REF!</f>
        <v>#REF!</v>
      </c>
      <c r="D1047" s="16" t="e">
        <f>#REF!</f>
        <v>#REF!</v>
      </c>
      <c r="E1047" s="16" t="e">
        <f>#REF!</f>
        <v>#REF!</v>
      </c>
      <c r="F1047" s="16" t="e">
        <f>#REF!</f>
        <v>#REF!</v>
      </c>
      <c r="G1047" s="16" t="e">
        <f>#REF!</f>
        <v>#REF!</v>
      </c>
      <c r="H1047" s="16" t="e">
        <f>#REF!</f>
        <v>#REF!</v>
      </c>
      <c r="I1047" s="16" t="e">
        <f>#REF!</f>
        <v>#REF!</v>
      </c>
      <c r="J1047" s="16" t="e">
        <f>#REF!</f>
        <v>#REF!</v>
      </c>
      <c r="K1047" s="16" t="s">
        <v>744</v>
      </c>
      <c r="L1047" s="16"/>
      <c r="M1047" s="16"/>
      <c r="N1047" s="16"/>
      <c r="O1047" s="16"/>
    </row>
    <row r="1048" spans="1:15" ht="22.5" customHeight="1" thickTop="1" thickBot="1" x14ac:dyDescent="0.25">
      <c r="A1048" s="16" t="e">
        <f>#REF!</f>
        <v>#REF!</v>
      </c>
      <c r="B1048" s="16" t="e">
        <f>#REF!</f>
        <v>#REF!</v>
      </c>
      <c r="C1048" s="16" t="e">
        <f>#REF!</f>
        <v>#REF!</v>
      </c>
      <c r="D1048" s="16" t="e">
        <f>#REF!</f>
        <v>#REF!</v>
      </c>
      <c r="E1048" s="16" t="e">
        <f>#REF!</f>
        <v>#REF!</v>
      </c>
      <c r="F1048" s="16" t="e">
        <f>#REF!</f>
        <v>#REF!</v>
      </c>
      <c r="G1048" s="16" t="e">
        <f>#REF!</f>
        <v>#REF!</v>
      </c>
      <c r="H1048" s="16" t="e">
        <f>#REF!</f>
        <v>#REF!</v>
      </c>
      <c r="I1048" s="16" t="e">
        <f>#REF!</f>
        <v>#REF!</v>
      </c>
      <c r="J1048" s="16" t="e">
        <f>#REF!</f>
        <v>#REF!</v>
      </c>
      <c r="K1048" s="16"/>
      <c r="L1048" s="16"/>
      <c r="M1048" s="16"/>
      <c r="N1048" s="16"/>
      <c r="O1048" s="16"/>
    </row>
    <row r="1049" spans="1:15" ht="22.5" customHeight="1" thickTop="1" thickBot="1" x14ac:dyDescent="0.25">
      <c r="A1049" s="16" t="e">
        <f>#REF!</f>
        <v>#REF!</v>
      </c>
      <c r="B1049" s="16" t="e">
        <f>#REF!</f>
        <v>#REF!</v>
      </c>
      <c r="C1049" s="16" t="e">
        <f>#REF!</f>
        <v>#REF!</v>
      </c>
      <c r="D1049" s="16" t="e">
        <f>#REF!</f>
        <v>#REF!</v>
      </c>
      <c r="E1049" s="16" t="e">
        <f>#REF!</f>
        <v>#REF!</v>
      </c>
      <c r="F1049" s="16" t="e">
        <f>#REF!</f>
        <v>#REF!</v>
      </c>
      <c r="G1049" s="16" t="e">
        <f>#REF!</f>
        <v>#REF!</v>
      </c>
      <c r="H1049" s="16" t="e">
        <f>#REF!</f>
        <v>#REF!</v>
      </c>
      <c r="I1049" s="16" t="e">
        <f>#REF!</f>
        <v>#REF!</v>
      </c>
      <c r="J1049" s="16" t="e">
        <f>#REF!</f>
        <v>#REF!</v>
      </c>
      <c r="K1049" s="16" t="s">
        <v>744</v>
      </c>
      <c r="L1049" s="16"/>
      <c r="M1049" s="16"/>
      <c r="N1049" s="16"/>
      <c r="O1049" s="16"/>
    </row>
    <row r="1050" spans="1:15" ht="22.5" customHeight="1" thickTop="1" thickBot="1" x14ac:dyDescent="0.25">
      <c r="A1050" s="16" t="e">
        <f>#REF!</f>
        <v>#REF!</v>
      </c>
      <c r="B1050" s="16" t="e">
        <f>#REF!</f>
        <v>#REF!</v>
      </c>
      <c r="C1050" s="16" t="e">
        <f>#REF!</f>
        <v>#REF!</v>
      </c>
      <c r="D1050" s="16" t="e">
        <f>#REF!</f>
        <v>#REF!</v>
      </c>
      <c r="E1050" s="16" t="e">
        <f>#REF!</f>
        <v>#REF!</v>
      </c>
      <c r="F1050" s="16" t="e">
        <f>#REF!</f>
        <v>#REF!</v>
      </c>
      <c r="G1050" s="16" t="e">
        <f>#REF!</f>
        <v>#REF!</v>
      </c>
      <c r="H1050" s="16" t="e">
        <f>#REF!</f>
        <v>#REF!</v>
      </c>
      <c r="I1050" s="16" t="e">
        <f>#REF!</f>
        <v>#REF!</v>
      </c>
      <c r="J1050" s="16" t="e">
        <f>#REF!</f>
        <v>#REF!</v>
      </c>
      <c r="K1050" s="16" t="s">
        <v>744</v>
      </c>
      <c r="L1050" s="16"/>
      <c r="M1050" s="16"/>
      <c r="N1050" s="16"/>
      <c r="O1050" s="16"/>
    </row>
    <row r="1051" spans="1:15" ht="22.5" customHeight="1" thickTop="1" thickBot="1" x14ac:dyDescent="0.25">
      <c r="A1051" s="16" t="e">
        <f>#REF!</f>
        <v>#REF!</v>
      </c>
      <c r="B1051" s="16" t="e">
        <f>#REF!</f>
        <v>#REF!</v>
      </c>
      <c r="C1051" s="16" t="e">
        <f>#REF!</f>
        <v>#REF!</v>
      </c>
      <c r="D1051" s="16" t="e">
        <f>#REF!</f>
        <v>#REF!</v>
      </c>
      <c r="E1051" s="16" t="e">
        <f>#REF!</f>
        <v>#REF!</v>
      </c>
      <c r="F1051" s="16" t="e">
        <f>#REF!</f>
        <v>#REF!</v>
      </c>
      <c r="G1051" s="16" t="e">
        <f>#REF!</f>
        <v>#REF!</v>
      </c>
      <c r="H1051" s="16" t="e">
        <f>#REF!</f>
        <v>#REF!</v>
      </c>
      <c r="I1051" s="16" t="e">
        <f>#REF!</f>
        <v>#REF!</v>
      </c>
      <c r="J1051" s="16" t="e">
        <f>#REF!</f>
        <v>#REF!</v>
      </c>
      <c r="K1051" s="16" t="s">
        <v>744</v>
      </c>
      <c r="L1051" s="16"/>
      <c r="M1051" s="16"/>
      <c r="N1051" s="16"/>
      <c r="O1051" s="16"/>
    </row>
    <row r="1052" spans="1:15" ht="22.5" customHeight="1" thickTop="1" thickBot="1" x14ac:dyDescent="0.25">
      <c r="A1052" s="16" t="e">
        <f>#REF!</f>
        <v>#REF!</v>
      </c>
      <c r="B1052" s="16" t="e">
        <f>#REF!</f>
        <v>#REF!</v>
      </c>
      <c r="C1052" s="16" t="e">
        <f>#REF!</f>
        <v>#REF!</v>
      </c>
      <c r="D1052" s="16" t="e">
        <f>#REF!</f>
        <v>#REF!</v>
      </c>
      <c r="E1052" s="16" t="e">
        <f>#REF!</f>
        <v>#REF!</v>
      </c>
      <c r="F1052" s="16" t="e">
        <f>#REF!</f>
        <v>#REF!</v>
      </c>
      <c r="G1052" s="16" t="e">
        <f>#REF!</f>
        <v>#REF!</v>
      </c>
      <c r="H1052" s="16" t="e">
        <f>#REF!</f>
        <v>#REF!</v>
      </c>
      <c r="I1052" s="16" t="e">
        <f>#REF!</f>
        <v>#REF!</v>
      </c>
      <c r="J1052" s="16" t="e">
        <f>#REF!</f>
        <v>#REF!</v>
      </c>
      <c r="K1052" s="16" t="s">
        <v>744</v>
      </c>
      <c r="L1052" s="16"/>
      <c r="M1052" s="16"/>
      <c r="N1052" s="16"/>
      <c r="O1052" s="16"/>
    </row>
    <row r="1053" spans="1:15" ht="22.5" customHeight="1" thickTop="1" thickBot="1" x14ac:dyDescent="0.25">
      <c r="A1053" s="16" t="e">
        <f>#REF!</f>
        <v>#REF!</v>
      </c>
      <c r="B1053" s="16" t="e">
        <f>#REF!</f>
        <v>#REF!</v>
      </c>
      <c r="C1053" s="16" t="e">
        <f>#REF!</f>
        <v>#REF!</v>
      </c>
      <c r="D1053" s="16" t="e">
        <f>#REF!</f>
        <v>#REF!</v>
      </c>
      <c r="E1053" s="16" t="e">
        <f>#REF!</f>
        <v>#REF!</v>
      </c>
      <c r="F1053" s="16" t="e">
        <f>#REF!</f>
        <v>#REF!</v>
      </c>
      <c r="G1053" s="16" t="e">
        <f>#REF!</f>
        <v>#REF!</v>
      </c>
      <c r="H1053" s="16" t="e">
        <f>#REF!</f>
        <v>#REF!</v>
      </c>
      <c r="I1053" s="16" t="e">
        <f>#REF!</f>
        <v>#REF!</v>
      </c>
      <c r="J1053" s="16" t="e">
        <f>#REF!</f>
        <v>#REF!</v>
      </c>
      <c r="K1053" s="16" t="s">
        <v>744</v>
      </c>
      <c r="L1053" s="16"/>
      <c r="M1053" s="16"/>
      <c r="N1053" s="16"/>
      <c r="O1053" s="16"/>
    </row>
    <row r="1054" spans="1:15" ht="22.5" customHeight="1" thickTop="1" thickBot="1" x14ac:dyDescent="0.25">
      <c r="A1054" s="16" t="e">
        <f>#REF!</f>
        <v>#REF!</v>
      </c>
      <c r="B1054" s="16" t="e">
        <f>#REF!</f>
        <v>#REF!</v>
      </c>
      <c r="C1054" s="16" t="e">
        <f>#REF!</f>
        <v>#REF!</v>
      </c>
      <c r="D1054" s="16" t="e">
        <f>#REF!</f>
        <v>#REF!</v>
      </c>
      <c r="E1054" s="16" t="e">
        <f>#REF!</f>
        <v>#REF!</v>
      </c>
      <c r="F1054" s="16" t="e">
        <f>#REF!</f>
        <v>#REF!</v>
      </c>
      <c r="G1054" s="16" t="e">
        <f>#REF!</f>
        <v>#REF!</v>
      </c>
      <c r="H1054" s="16" t="e">
        <f>#REF!</f>
        <v>#REF!</v>
      </c>
      <c r="I1054" s="16" t="e">
        <f>#REF!</f>
        <v>#REF!</v>
      </c>
      <c r="J1054" s="16" t="e">
        <f>#REF!</f>
        <v>#REF!</v>
      </c>
      <c r="K1054" s="16" t="s">
        <v>744</v>
      </c>
      <c r="L1054" s="16"/>
      <c r="M1054" s="16"/>
      <c r="N1054" s="16"/>
      <c r="O1054" s="16"/>
    </row>
    <row r="1055" spans="1:15" ht="22.5" customHeight="1" thickTop="1" thickBot="1" x14ac:dyDescent="0.25">
      <c r="A1055" s="16" t="e">
        <f>#REF!</f>
        <v>#REF!</v>
      </c>
      <c r="B1055" s="16" t="e">
        <f>#REF!</f>
        <v>#REF!</v>
      </c>
      <c r="C1055" s="16" t="e">
        <f>#REF!</f>
        <v>#REF!</v>
      </c>
      <c r="D1055" s="16" t="e">
        <f>#REF!</f>
        <v>#REF!</v>
      </c>
      <c r="E1055" s="16" t="e">
        <f>#REF!</f>
        <v>#REF!</v>
      </c>
      <c r="F1055" s="16" t="e">
        <f>#REF!</f>
        <v>#REF!</v>
      </c>
      <c r="G1055" s="16" t="e">
        <f>#REF!</f>
        <v>#REF!</v>
      </c>
      <c r="H1055" s="16" t="e">
        <f>#REF!</f>
        <v>#REF!</v>
      </c>
      <c r="I1055" s="16" t="e">
        <f>#REF!</f>
        <v>#REF!</v>
      </c>
      <c r="J1055" s="16" t="e">
        <f>#REF!</f>
        <v>#REF!</v>
      </c>
      <c r="K1055" s="16" t="s">
        <v>744</v>
      </c>
      <c r="L1055" s="16"/>
      <c r="M1055" s="16"/>
      <c r="N1055" s="16"/>
      <c r="O1055" s="16"/>
    </row>
    <row r="1056" spans="1:15" ht="22.5" customHeight="1" thickTop="1" thickBot="1" x14ac:dyDescent="0.25">
      <c r="A1056" s="16" t="e">
        <f>#REF!</f>
        <v>#REF!</v>
      </c>
      <c r="B1056" s="16" t="e">
        <f>#REF!</f>
        <v>#REF!</v>
      </c>
      <c r="C1056" s="16" t="e">
        <f>#REF!</f>
        <v>#REF!</v>
      </c>
      <c r="D1056" s="16" t="e">
        <f>#REF!</f>
        <v>#REF!</v>
      </c>
      <c r="E1056" s="16" t="e">
        <f>#REF!</f>
        <v>#REF!</v>
      </c>
      <c r="F1056" s="16" t="e">
        <f>#REF!</f>
        <v>#REF!</v>
      </c>
      <c r="G1056" s="16" t="e">
        <f>#REF!</f>
        <v>#REF!</v>
      </c>
      <c r="H1056" s="16" t="e">
        <f>#REF!</f>
        <v>#REF!</v>
      </c>
      <c r="I1056" s="16" t="e">
        <f>#REF!</f>
        <v>#REF!</v>
      </c>
      <c r="J1056" s="16" t="e">
        <f>#REF!</f>
        <v>#REF!</v>
      </c>
      <c r="K1056" s="16" t="s">
        <v>744</v>
      </c>
      <c r="L1056" s="16"/>
      <c r="M1056" s="16"/>
      <c r="N1056" s="16"/>
      <c r="O1056" s="16"/>
    </row>
    <row r="1057" spans="1:15" ht="22.5" customHeight="1" thickTop="1" thickBot="1" x14ac:dyDescent="0.25">
      <c r="A1057" s="16" t="e">
        <f>#REF!</f>
        <v>#REF!</v>
      </c>
      <c r="B1057" s="16" t="e">
        <f>#REF!</f>
        <v>#REF!</v>
      </c>
      <c r="C1057" s="16" t="e">
        <f>#REF!</f>
        <v>#REF!</v>
      </c>
      <c r="D1057" s="16" t="e">
        <f>#REF!</f>
        <v>#REF!</v>
      </c>
      <c r="E1057" s="16" t="e">
        <f>#REF!</f>
        <v>#REF!</v>
      </c>
      <c r="F1057" s="16" t="e">
        <f>#REF!</f>
        <v>#REF!</v>
      </c>
      <c r="G1057" s="16" t="e">
        <f>#REF!</f>
        <v>#REF!</v>
      </c>
      <c r="H1057" s="16" t="e">
        <f>#REF!</f>
        <v>#REF!</v>
      </c>
      <c r="I1057" s="16" t="e">
        <f>#REF!</f>
        <v>#REF!</v>
      </c>
      <c r="J1057" s="16" t="e">
        <f>#REF!</f>
        <v>#REF!</v>
      </c>
      <c r="K1057" s="16" t="s">
        <v>744</v>
      </c>
      <c r="L1057" s="16"/>
      <c r="M1057" s="16"/>
      <c r="N1057" s="16"/>
      <c r="O1057" s="16"/>
    </row>
    <row r="1058" spans="1:15" ht="22.5" customHeight="1" thickTop="1" thickBot="1" x14ac:dyDescent="0.25">
      <c r="A1058" s="16" t="e">
        <f>#REF!</f>
        <v>#REF!</v>
      </c>
      <c r="B1058" s="16" t="e">
        <f>#REF!</f>
        <v>#REF!</v>
      </c>
      <c r="C1058" s="16" t="e">
        <f>#REF!</f>
        <v>#REF!</v>
      </c>
      <c r="D1058" s="16" t="e">
        <f>#REF!</f>
        <v>#REF!</v>
      </c>
      <c r="E1058" s="16" t="e">
        <f>#REF!</f>
        <v>#REF!</v>
      </c>
      <c r="F1058" s="16" t="e">
        <f>#REF!</f>
        <v>#REF!</v>
      </c>
      <c r="G1058" s="16" t="e">
        <f>#REF!</f>
        <v>#REF!</v>
      </c>
      <c r="H1058" s="16" t="e">
        <f>#REF!</f>
        <v>#REF!</v>
      </c>
      <c r="I1058" s="16" t="e">
        <f>#REF!</f>
        <v>#REF!</v>
      </c>
      <c r="J1058" s="16" t="e">
        <f>#REF!</f>
        <v>#REF!</v>
      </c>
      <c r="K1058" s="16" t="s">
        <v>744</v>
      </c>
      <c r="L1058" s="16"/>
      <c r="M1058" s="16"/>
      <c r="N1058" s="16"/>
      <c r="O1058" s="16"/>
    </row>
    <row r="1059" spans="1:15" ht="22.5" customHeight="1" thickTop="1" thickBot="1" x14ac:dyDescent="0.25">
      <c r="A1059" s="16" t="e">
        <f>#REF!</f>
        <v>#REF!</v>
      </c>
      <c r="B1059" s="16" t="e">
        <f>#REF!</f>
        <v>#REF!</v>
      </c>
      <c r="C1059" s="16" t="e">
        <f>#REF!</f>
        <v>#REF!</v>
      </c>
      <c r="D1059" s="16" t="e">
        <f>#REF!</f>
        <v>#REF!</v>
      </c>
      <c r="E1059" s="16" t="e">
        <f>#REF!</f>
        <v>#REF!</v>
      </c>
      <c r="F1059" s="16" t="e">
        <f>#REF!</f>
        <v>#REF!</v>
      </c>
      <c r="G1059" s="16" t="e">
        <f>#REF!</f>
        <v>#REF!</v>
      </c>
      <c r="H1059" s="16" t="e">
        <f>#REF!</f>
        <v>#REF!</v>
      </c>
      <c r="I1059" s="16" t="e">
        <f>#REF!</f>
        <v>#REF!</v>
      </c>
      <c r="J1059" s="16" t="e">
        <f>#REF!</f>
        <v>#REF!</v>
      </c>
      <c r="K1059" s="16" t="s">
        <v>744</v>
      </c>
      <c r="L1059" s="16"/>
      <c r="M1059" s="16"/>
      <c r="N1059" s="16"/>
      <c r="O1059" s="16"/>
    </row>
    <row r="1060" spans="1:15" ht="22.5" customHeight="1" thickTop="1" thickBot="1" x14ac:dyDescent="0.25">
      <c r="A1060" s="16" t="e">
        <f>#REF!</f>
        <v>#REF!</v>
      </c>
      <c r="B1060" s="16" t="e">
        <f>#REF!</f>
        <v>#REF!</v>
      </c>
      <c r="C1060" s="16" t="e">
        <f>#REF!</f>
        <v>#REF!</v>
      </c>
      <c r="D1060" s="16" t="e">
        <f>#REF!</f>
        <v>#REF!</v>
      </c>
      <c r="E1060" s="16" t="e">
        <f>#REF!</f>
        <v>#REF!</v>
      </c>
      <c r="F1060" s="16" t="e">
        <f>#REF!</f>
        <v>#REF!</v>
      </c>
      <c r="G1060" s="16" t="e">
        <f>#REF!</f>
        <v>#REF!</v>
      </c>
      <c r="H1060" s="16" t="e">
        <f>#REF!</f>
        <v>#REF!</v>
      </c>
      <c r="I1060" s="16" t="e">
        <f>#REF!</f>
        <v>#REF!</v>
      </c>
      <c r="J1060" s="16" t="e">
        <f>#REF!</f>
        <v>#REF!</v>
      </c>
      <c r="K1060" s="16" t="s">
        <v>744</v>
      </c>
      <c r="L1060" s="16"/>
      <c r="M1060" s="16"/>
      <c r="N1060" s="16"/>
      <c r="O1060" s="16"/>
    </row>
    <row r="1061" spans="1:15" ht="22.5" customHeight="1" thickTop="1" thickBot="1" x14ac:dyDescent="0.25">
      <c r="A1061" s="16" t="e">
        <f>#REF!</f>
        <v>#REF!</v>
      </c>
      <c r="B1061" s="16" t="e">
        <f>#REF!</f>
        <v>#REF!</v>
      </c>
      <c r="C1061" s="16" t="e">
        <f>#REF!</f>
        <v>#REF!</v>
      </c>
      <c r="D1061" s="16" t="e">
        <f>#REF!</f>
        <v>#REF!</v>
      </c>
      <c r="E1061" s="16" t="e">
        <f>#REF!</f>
        <v>#REF!</v>
      </c>
      <c r="F1061" s="16" t="e">
        <f>#REF!</f>
        <v>#REF!</v>
      </c>
      <c r="G1061" s="16" t="e">
        <f>#REF!</f>
        <v>#REF!</v>
      </c>
      <c r="H1061" s="16" t="e">
        <f>#REF!</f>
        <v>#REF!</v>
      </c>
      <c r="I1061" s="16" t="e">
        <f>#REF!</f>
        <v>#REF!</v>
      </c>
      <c r="J1061" s="16" t="e">
        <f>#REF!</f>
        <v>#REF!</v>
      </c>
      <c r="K1061" s="16" t="s">
        <v>744</v>
      </c>
      <c r="L1061" s="16"/>
      <c r="M1061" s="16"/>
      <c r="N1061" s="16"/>
      <c r="O1061" s="16"/>
    </row>
    <row r="1062" spans="1:15" ht="22.5" customHeight="1" thickTop="1" thickBot="1" x14ac:dyDescent="0.25">
      <c r="A1062" s="16" t="e">
        <f>#REF!</f>
        <v>#REF!</v>
      </c>
      <c r="B1062" s="16" t="e">
        <f>#REF!</f>
        <v>#REF!</v>
      </c>
      <c r="C1062" s="16" t="e">
        <f>#REF!</f>
        <v>#REF!</v>
      </c>
      <c r="D1062" s="16" t="e">
        <f>#REF!</f>
        <v>#REF!</v>
      </c>
      <c r="E1062" s="16" t="e">
        <f>#REF!</f>
        <v>#REF!</v>
      </c>
      <c r="F1062" s="16" t="e">
        <f>#REF!</f>
        <v>#REF!</v>
      </c>
      <c r="G1062" s="16" t="e">
        <f>#REF!</f>
        <v>#REF!</v>
      </c>
      <c r="H1062" s="16" t="e">
        <f>#REF!</f>
        <v>#REF!</v>
      </c>
      <c r="I1062" s="16" t="e">
        <f>#REF!</f>
        <v>#REF!</v>
      </c>
      <c r="J1062" s="16" t="e">
        <f>#REF!</f>
        <v>#REF!</v>
      </c>
      <c r="K1062" s="16" t="s">
        <v>744</v>
      </c>
      <c r="L1062" s="16"/>
      <c r="M1062" s="16"/>
      <c r="N1062" s="16"/>
      <c r="O1062" s="16"/>
    </row>
    <row r="1063" spans="1:15" ht="22.5" customHeight="1" thickTop="1" thickBot="1" x14ac:dyDescent="0.25">
      <c r="A1063" s="16" t="e">
        <f>#REF!</f>
        <v>#REF!</v>
      </c>
      <c r="B1063" s="16" t="e">
        <f>#REF!</f>
        <v>#REF!</v>
      </c>
      <c r="C1063" s="16" t="e">
        <f>#REF!</f>
        <v>#REF!</v>
      </c>
      <c r="D1063" s="16" t="e">
        <f>#REF!</f>
        <v>#REF!</v>
      </c>
      <c r="E1063" s="16" t="e">
        <f>#REF!</f>
        <v>#REF!</v>
      </c>
      <c r="F1063" s="16" t="e">
        <f>#REF!</f>
        <v>#REF!</v>
      </c>
      <c r="G1063" s="16" t="e">
        <f>#REF!</f>
        <v>#REF!</v>
      </c>
      <c r="H1063" s="16" t="e">
        <f>#REF!</f>
        <v>#REF!</v>
      </c>
      <c r="I1063" s="16" t="e">
        <f>#REF!</f>
        <v>#REF!</v>
      </c>
      <c r="J1063" s="16" t="e">
        <f>#REF!</f>
        <v>#REF!</v>
      </c>
      <c r="K1063" s="16" t="s">
        <v>744</v>
      </c>
      <c r="L1063" s="16"/>
      <c r="M1063" s="16"/>
      <c r="N1063" s="16"/>
      <c r="O1063" s="16"/>
    </row>
    <row r="1064" spans="1:15" ht="22.5" customHeight="1" thickTop="1" thickBot="1" x14ac:dyDescent="0.25">
      <c r="A1064" s="16" t="e">
        <f>#REF!</f>
        <v>#REF!</v>
      </c>
      <c r="B1064" s="16" t="e">
        <f>#REF!</f>
        <v>#REF!</v>
      </c>
      <c r="C1064" s="16" t="e">
        <f>#REF!</f>
        <v>#REF!</v>
      </c>
      <c r="D1064" s="16" t="e">
        <f>#REF!</f>
        <v>#REF!</v>
      </c>
      <c r="E1064" s="16" t="e">
        <f>#REF!</f>
        <v>#REF!</v>
      </c>
      <c r="F1064" s="16" t="e">
        <f>#REF!</f>
        <v>#REF!</v>
      </c>
      <c r="G1064" s="16" t="e">
        <f>#REF!</f>
        <v>#REF!</v>
      </c>
      <c r="H1064" s="16" t="e">
        <f>#REF!</f>
        <v>#REF!</v>
      </c>
      <c r="I1064" s="16" t="e">
        <f>#REF!</f>
        <v>#REF!</v>
      </c>
      <c r="J1064" s="16" t="e">
        <f>#REF!</f>
        <v>#REF!</v>
      </c>
      <c r="K1064" s="16" t="s">
        <v>744</v>
      </c>
      <c r="L1064" s="16"/>
      <c r="M1064" s="16"/>
      <c r="N1064" s="16"/>
      <c r="O1064" s="16"/>
    </row>
    <row r="1065" spans="1:15" ht="22.5" customHeight="1" thickTop="1" thickBot="1" x14ac:dyDescent="0.25">
      <c r="A1065" s="16" t="e">
        <f>#REF!</f>
        <v>#REF!</v>
      </c>
      <c r="B1065" s="16" t="e">
        <f>#REF!</f>
        <v>#REF!</v>
      </c>
      <c r="C1065" s="16" t="e">
        <f>#REF!</f>
        <v>#REF!</v>
      </c>
      <c r="D1065" s="16" t="e">
        <f>#REF!</f>
        <v>#REF!</v>
      </c>
      <c r="E1065" s="16" t="e">
        <f>#REF!</f>
        <v>#REF!</v>
      </c>
      <c r="F1065" s="16" t="e">
        <f>#REF!</f>
        <v>#REF!</v>
      </c>
      <c r="G1065" s="16" t="e">
        <f>#REF!</f>
        <v>#REF!</v>
      </c>
      <c r="H1065" s="16" t="e">
        <f>#REF!</f>
        <v>#REF!</v>
      </c>
      <c r="I1065" s="16" t="e">
        <f>#REF!</f>
        <v>#REF!</v>
      </c>
      <c r="J1065" s="16" t="e">
        <f>#REF!</f>
        <v>#REF!</v>
      </c>
      <c r="K1065" s="16" t="s">
        <v>744</v>
      </c>
      <c r="L1065" s="16"/>
      <c r="M1065" s="16"/>
      <c r="N1065" s="16"/>
      <c r="O1065" s="16"/>
    </row>
    <row r="1066" spans="1:15" ht="22.5" customHeight="1" thickTop="1" thickBot="1" x14ac:dyDescent="0.25">
      <c r="A1066" s="16" t="e">
        <f>#REF!</f>
        <v>#REF!</v>
      </c>
      <c r="B1066" s="16" t="e">
        <f>#REF!</f>
        <v>#REF!</v>
      </c>
      <c r="C1066" s="16" t="e">
        <f>#REF!</f>
        <v>#REF!</v>
      </c>
      <c r="D1066" s="16" t="e">
        <f>#REF!</f>
        <v>#REF!</v>
      </c>
      <c r="E1066" s="16" t="e">
        <f>#REF!</f>
        <v>#REF!</v>
      </c>
      <c r="F1066" s="16" t="e">
        <f>#REF!</f>
        <v>#REF!</v>
      </c>
      <c r="G1066" s="16" t="e">
        <f>#REF!</f>
        <v>#REF!</v>
      </c>
      <c r="H1066" s="16" t="e">
        <f>#REF!</f>
        <v>#REF!</v>
      </c>
      <c r="I1066" s="16" t="e">
        <f>#REF!</f>
        <v>#REF!</v>
      </c>
      <c r="J1066" s="16" t="e">
        <f>#REF!</f>
        <v>#REF!</v>
      </c>
      <c r="K1066" s="16" t="s">
        <v>744</v>
      </c>
      <c r="L1066" s="16"/>
      <c r="M1066" s="16"/>
      <c r="N1066" s="16"/>
      <c r="O1066" s="16"/>
    </row>
    <row r="1067" spans="1:15" ht="22.5" customHeight="1" thickTop="1" thickBot="1" x14ac:dyDescent="0.25">
      <c r="A1067" s="16" t="e">
        <f>#REF!</f>
        <v>#REF!</v>
      </c>
      <c r="B1067" s="16" t="e">
        <f>#REF!</f>
        <v>#REF!</v>
      </c>
      <c r="C1067" s="16" t="e">
        <f>#REF!</f>
        <v>#REF!</v>
      </c>
      <c r="D1067" s="16" t="e">
        <f>#REF!</f>
        <v>#REF!</v>
      </c>
      <c r="E1067" s="16" t="e">
        <f>#REF!</f>
        <v>#REF!</v>
      </c>
      <c r="F1067" s="16" t="e">
        <f>#REF!</f>
        <v>#REF!</v>
      </c>
      <c r="G1067" s="16" t="e">
        <f>#REF!</f>
        <v>#REF!</v>
      </c>
      <c r="H1067" s="16" t="e">
        <f>#REF!</f>
        <v>#REF!</v>
      </c>
      <c r="I1067" s="16" t="e">
        <f>#REF!</f>
        <v>#REF!</v>
      </c>
      <c r="J1067" s="16" t="e">
        <f>#REF!</f>
        <v>#REF!</v>
      </c>
      <c r="K1067" s="16" t="s">
        <v>744</v>
      </c>
      <c r="L1067" s="16"/>
      <c r="M1067" s="16"/>
      <c r="N1067" s="16"/>
      <c r="O1067" s="16"/>
    </row>
    <row r="1068" spans="1:15" ht="22.5" customHeight="1" thickTop="1" thickBot="1" x14ac:dyDescent="0.25">
      <c r="A1068" s="16" t="e">
        <f>#REF!</f>
        <v>#REF!</v>
      </c>
      <c r="B1068" s="16" t="e">
        <f>#REF!</f>
        <v>#REF!</v>
      </c>
      <c r="C1068" s="16" t="e">
        <f>#REF!</f>
        <v>#REF!</v>
      </c>
      <c r="D1068" s="16" t="e">
        <f>#REF!</f>
        <v>#REF!</v>
      </c>
      <c r="E1068" s="16" t="e">
        <f>#REF!</f>
        <v>#REF!</v>
      </c>
      <c r="F1068" s="16" t="e">
        <f>#REF!</f>
        <v>#REF!</v>
      </c>
      <c r="G1068" s="16" t="e">
        <f>#REF!</f>
        <v>#REF!</v>
      </c>
      <c r="H1068" s="16" t="e">
        <f>#REF!</f>
        <v>#REF!</v>
      </c>
      <c r="I1068" s="16" t="e">
        <f>#REF!</f>
        <v>#REF!</v>
      </c>
      <c r="J1068" s="16" t="e">
        <f>#REF!</f>
        <v>#REF!</v>
      </c>
      <c r="K1068" s="16" t="s">
        <v>744</v>
      </c>
      <c r="L1068" s="16"/>
      <c r="M1068" s="16"/>
      <c r="N1068" s="16"/>
      <c r="O1068" s="16"/>
    </row>
    <row r="1069" spans="1:15" ht="22.5" customHeight="1" thickTop="1" thickBot="1" x14ac:dyDescent="0.25">
      <c r="A1069" s="16" t="e">
        <f>#REF!</f>
        <v>#REF!</v>
      </c>
      <c r="B1069" s="16" t="e">
        <f>#REF!</f>
        <v>#REF!</v>
      </c>
      <c r="C1069" s="16" t="e">
        <f>#REF!</f>
        <v>#REF!</v>
      </c>
      <c r="D1069" s="16" t="e">
        <f>#REF!</f>
        <v>#REF!</v>
      </c>
      <c r="E1069" s="16" t="e">
        <f>#REF!</f>
        <v>#REF!</v>
      </c>
      <c r="F1069" s="16" t="e">
        <f>#REF!</f>
        <v>#REF!</v>
      </c>
      <c r="G1069" s="16" t="e">
        <f>#REF!</f>
        <v>#REF!</v>
      </c>
      <c r="H1069" s="16" t="e">
        <f>#REF!</f>
        <v>#REF!</v>
      </c>
      <c r="I1069" s="16" t="e">
        <f>#REF!</f>
        <v>#REF!</v>
      </c>
      <c r="J1069" s="16" t="e">
        <f>#REF!</f>
        <v>#REF!</v>
      </c>
      <c r="K1069" s="16" t="s">
        <v>744</v>
      </c>
      <c r="L1069" s="16"/>
      <c r="M1069" s="16"/>
      <c r="N1069" s="16"/>
      <c r="O1069" s="16"/>
    </row>
    <row r="1070" spans="1:15" ht="22.5" customHeight="1" thickTop="1" thickBot="1" x14ac:dyDescent="0.25">
      <c r="A1070" s="16" t="e">
        <f>#REF!</f>
        <v>#REF!</v>
      </c>
      <c r="B1070" s="16" t="e">
        <f>#REF!</f>
        <v>#REF!</v>
      </c>
      <c r="C1070" s="16" t="e">
        <f>#REF!</f>
        <v>#REF!</v>
      </c>
      <c r="D1070" s="16" t="e">
        <f>#REF!</f>
        <v>#REF!</v>
      </c>
      <c r="E1070" s="16" t="e">
        <f>#REF!</f>
        <v>#REF!</v>
      </c>
      <c r="F1070" s="16" t="e">
        <f>#REF!</f>
        <v>#REF!</v>
      </c>
      <c r="G1070" s="16" t="e">
        <f>#REF!</f>
        <v>#REF!</v>
      </c>
      <c r="H1070" s="16" t="e">
        <f>#REF!</f>
        <v>#REF!</v>
      </c>
      <c r="I1070" s="16" t="e">
        <f>#REF!</f>
        <v>#REF!</v>
      </c>
      <c r="J1070" s="16" t="e">
        <f>#REF!</f>
        <v>#REF!</v>
      </c>
      <c r="K1070" s="16" t="s">
        <v>744</v>
      </c>
      <c r="L1070" s="16"/>
      <c r="M1070" s="16"/>
      <c r="N1070" s="16"/>
      <c r="O1070" s="16"/>
    </row>
    <row r="1071" spans="1:15" ht="22.5" customHeight="1" thickTop="1" thickBot="1" x14ac:dyDescent="0.25">
      <c r="A1071" s="16" t="e">
        <f>#REF!</f>
        <v>#REF!</v>
      </c>
      <c r="B1071" s="16" t="e">
        <f>#REF!</f>
        <v>#REF!</v>
      </c>
      <c r="C1071" s="16" t="e">
        <f>#REF!</f>
        <v>#REF!</v>
      </c>
      <c r="D1071" s="16" t="e">
        <f>#REF!</f>
        <v>#REF!</v>
      </c>
      <c r="E1071" s="16" t="e">
        <f>#REF!</f>
        <v>#REF!</v>
      </c>
      <c r="F1071" s="16" t="e">
        <f>#REF!</f>
        <v>#REF!</v>
      </c>
      <c r="G1071" s="16" t="e">
        <f>#REF!</f>
        <v>#REF!</v>
      </c>
      <c r="H1071" s="16" t="e">
        <f>#REF!</f>
        <v>#REF!</v>
      </c>
      <c r="I1071" s="16" t="e">
        <f>#REF!</f>
        <v>#REF!</v>
      </c>
      <c r="J1071" s="16" t="e">
        <f>#REF!</f>
        <v>#REF!</v>
      </c>
      <c r="K1071" s="16" t="s">
        <v>744</v>
      </c>
      <c r="L1071" s="16"/>
      <c r="M1071" s="16"/>
      <c r="N1071" s="16"/>
      <c r="O1071" s="16"/>
    </row>
    <row r="1072" spans="1:15" ht="22.5" customHeight="1" thickTop="1" thickBot="1" x14ac:dyDescent="0.25">
      <c r="A1072" s="16" t="e">
        <f>#REF!</f>
        <v>#REF!</v>
      </c>
      <c r="B1072" s="16" t="e">
        <f>#REF!</f>
        <v>#REF!</v>
      </c>
      <c r="C1072" s="16" t="e">
        <f>#REF!</f>
        <v>#REF!</v>
      </c>
      <c r="D1072" s="16" t="e">
        <f>#REF!</f>
        <v>#REF!</v>
      </c>
      <c r="E1072" s="16" t="e">
        <f>#REF!</f>
        <v>#REF!</v>
      </c>
      <c r="F1072" s="16" t="e">
        <f>#REF!</f>
        <v>#REF!</v>
      </c>
      <c r="G1072" s="16" t="e">
        <f>#REF!</f>
        <v>#REF!</v>
      </c>
      <c r="H1072" s="16" t="e">
        <f>#REF!</f>
        <v>#REF!</v>
      </c>
      <c r="I1072" s="16" t="e">
        <f>#REF!</f>
        <v>#REF!</v>
      </c>
      <c r="J1072" s="16" t="e">
        <f>#REF!</f>
        <v>#REF!</v>
      </c>
      <c r="K1072" s="16"/>
      <c r="L1072" s="16"/>
      <c r="M1072" s="16"/>
      <c r="N1072" s="16"/>
      <c r="O1072" s="16"/>
    </row>
    <row r="1073" spans="1:15" ht="22.5" customHeight="1" thickTop="1" thickBot="1" x14ac:dyDescent="0.25">
      <c r="A1073" s="16" t="e">
        <f>#REF!</f>
        <v>#REF!</v>
      </c>
      <c r="B1073" s="16" t="e">
        <f>#REF!</f>
        <v>#REF!</v>
      </c>
      <c r="C1073" s="16" t="e">
        <f>#REF!</f>
        <v>#REF!</v>
      </c>
      <c r="D1073" s="16" t="e">
        <f>#REF!</f>
        <v>#REF!</v>
      </c>
      <c r="E1073" s="16" t="e">
        <f>#REF!</f>
        <v>#REF!</v>
      </c>
      <c r="F1073" s="16" t="e">
        <f>#REF!</f>
        <v>#REF!</v>
      </c>
      <c r="G1073" s="16" t="e">
        <f>#REF!</f>
        <v>#REF!</v>
      </c>
      <c r="H1073" s="16" t="e">
        <f>#REF!</f>
        <v>#REF!</v>
      </c>
      <c r="I1073" s="16" t="e">
        <f>#REF!</f>
        <v>#REF!</v>
      </c>
      <c r="J1073" s="16" t="e">
        <f>#REF!</f>
        <v>#REF!</v>
      </c>
      <c r="K1073" s="16"/>
      <c r="L1073" s="16"/>
      <c r="M1073" s="16"/>
      <c r="N1073" s="16"/>
      <c r="O1073" s="16"/>
    </row>
    <row r="1074" spans="1:15" ht="22.5" customHeight="1" thickTop="1" thickBot="1" x14ac:dyDescent="0.25">
      <c r="A1074" s="16" t="e">
        <f>#REF!</f>
        <v>#REF!</v>
      </c>
      <c r="B1074" s="16" t="e">
        <f>#REF!</f>
        <v>#REF!</v>
      </c>
      <c r="C1074" s="16" t="e">
        <f>#REF!</f>
        <v>#REF!</v>
      </c>
      <c r="D1074" s="16" t="e">
        <f>#REF!</f>
        <v>#REF!</v>
      </c>
      <c r="E1074" s="16" t="e">
        <f>#REF!</f>
        <v>#REF!</v>
      </c>
      <c r="F1074" s="16" t="e">
        <f>#REF!</f>
        <v>#REF!</v>
      </c>
      <c r="G1074" s="16" t="e">
        <f>#REF!</f>
        <v>#REF!</v>
      </c>
      <c r="H1074" s="16" t="e">
        <f>#REF!</f>
        <v>#REF!</v>
      </c>
      <c r="I1074" s="16" t="e">
        <f>#REF!</f>
        <v>#REF!</v>
      </c>
      <c r="J1074" s="16" t="e">
        <f>#REF!</f>
        <v>#REF!</v>
      </c>
      <c r="K1074" s="16"/>
      <c r="L1074" s="16"/>
      <c r="M1074" s="16"/>
      <c r="N1074" s="16"/>
      <c r="O1074" s="16"/>
    </row>
    <row r="1075" spans="1:15" ht="22.5" customHeight="1" thickTop="1" thickBot="1" x14ac:dyDescent="0.25">
      <c r="A1075" s="16" t="e">
        <f>#REF!</f>
        <v>#REF!</v>
      </c>
      <c r="B1075" s="16" t="e">
        <f>#REF!</f>
        <v>#REF!</v>
      </c>
      <c r="C1075" s="16" t="e">
        <f>#REF!</f>
        <v>#REF!</v>
      </c>
      <c r="D1075" s="16" t="e">
        <f>#REF!</f>
        <v>#REF!</v>
      </c>
      <c r="E1075" s="16" t="e">
        <f>#REF!</f>
        <v>#REF!</v>
      </c>
      <c r="F1075" s="16" t="e">
        <f>#REF!</f>
        <v>#REF!</v>
      </c>
      <c r="G1075" s="16" t="e">
        <f>#REF!</f>
        <v>#REF!</v>
      </c>
      <c r="H1075" s="16" t="e">
        <f>#REF!</f>
        <v>#REF!</v>
      </c>
      <c r="I1075" s="16" t="e">
        <f>#REF!</f>
        <v>#REF!</v>
      </c>
      <c r="J1075" s="16" t="e">
        <f>#REF!</f>
        <v>#REF!</v>
      </c>
      <c r="K1075" s="16"/>
      <c r="L1075" s="16"/>
      <c r="M1075" s="16"/>
      <c r="N1075" s="16"/>
      <c r="O1075" s="16"/>
    </row>
    <row r="1076" spans="1:15" ht="22.5" customHeight="1" thickTop="1" thickBot="1" x14ac:dyDescent="0.25">
      <c r="A1076" s="16" t="e">
        <f>#REF!</f>
        <v>#REF!</v>
      </c>
      <c r="B1076" s="16" t="e">
        <f>#REF!</f>
        <v>#REF!</v>
      </c>
      <c r="C1076" s="16" t="e">
        <f>#REF!</f>
        <v>#REF!</v>
      </c>
      <c r="D1076" s="16" t="e">
        <f>#REF!</f>
        <v>#REF!</v>
      </c>
      <c r="E1076" s="16" t="e">
        <f>#REF!</f>
        <v>#REF!</v>
      </c>
      <c r="F1076" s="16" t="e">
        <f>#REF!</f>
        <v>#REF!</v>
      </c>
      <c r="G1076" s="16" t="e">
        <f>#REF!</f>
        <v>#REF!</v>
      </c>
      <c r="H1076" s="16" t="e">
        <f>#REF!</f>
        <v>#REF!</v>
      </c>
      <c r="I1076" s="16" t="e">
        <f>#REF!</f>
        <v>#REF!</v>
      </c>
      <c r="J1076" s="16" t="e">
        <f>#REF!</f>
        <v>#REF!</v>
      </c>
      <c r="K1076" s="16"/>
      <c r="L1076" s="16"/>
      <c r="M1076" s="16"/>
      <c r="N1076" s="16"/>
      <c r="O1076" s="16"/>
    </row>
    <row r="1077" spans="1:15" ht="22.5" customHeight="1" thickTop="1" thickBot="1" x14ac:dyDescent="0.25">
      <c r="A1077" s="16" t="e">
        <f>#REF!</f>
        <v>#REF!</v>
      </c>
      <c r="B1077" s="16" t="e">
        <f>#REF!</f>
        <v>#REF!</v>
      </c>
      <c r="C1077" s="16" t="e">
        <f>#REF!</f>
        <v>#REF!</v>
      </c>
      <c r="D1077" s="16" t="e">
        <f>#REF!</f>
        <v>#REF!</v>
      </c>
      <c r="E1077" s="16" t="e">
        <f>#REF!</f>
        <v>#REF!</v>
      </c>
      <c r="F1077" s="16" t="e">
        <f>#REF!</f>
        <v>#REF!</v>
      </c>
      <c r="G1077" s="16" t="e">
        <f>#REF!</f>
        <v>#REF!</v>
      </c>
      <c r="H1077" s="16" t="e">
        <f>#REF!</f>
        <v>#REF!</v>
      </c>
      <c r="I1077" s="16" t="e">
        <f>#REF!</f>
        <v>#REF!</v>
      </c>
      <c r="J1077" s="16" t="e">
        <f>#REF!</f>
        <v>#REF!</v>
      </c>
      <c r="K1077" s="16"/>
      <c r="L1077" s="16"/>
      <c r="M1077" s="16"/>
      <c r="N1077" s="16"/>
      <c r="O1077" s="16"/>
    </row>
    <row r="1078" spans="1:15" ht="22.5" customHeight="1" thickTop="1" thickBot="1" x14ac:dyDescent="0.25">
      <c r="A1078" s="16" t="e">
        <f>#REF!</f>
        <v>#REF!</v>
      </c>
      <c r="B1078" s="16" t="e">
        <f>#REF!</f>
        <v>#REF!</v>
      </c>
      <c r="C1078" s="16" t="e">
        <f>#REF!</f>
        <v>#REF!</v>
      </c>
      <c r="D1078" s="16" t="e">
        <f>#REF!</f>
        <v>#REF!</v>
      </c>
      <c r="E1078" s="16" t="e">
        <f>#REF!</f>
        <v>#REF!</v>
      </c>
      <c r="F1078" s="16" t="e">
        <f>#REF!</f>
        <v>#REF!</v>
      </c>
      <c r="G1078" s="16" t="e">
        <f>#REF!</f>
        <v>#REF!</v>
      </c>
      <c r="H1078" s="16" t="e">
        <f>#REF!</f>
        <v>#REF!</v>
      </c>
      <c r="I1078" s="16" t="e">
        <f>#REF!</f>
        <v>#REF!</v>
      </c>
      <c r="J1078" s="16" t="e">
        <f>#REF!</f>
        <v>#REF!</v>
      </c>
      <c r="K1078" s="16"/>
      <c r="L1078" s="16"/>
      <c r="M1078" s="16"/>
      <c r="N1078" s="16"/>
      <c r="O1078" s="16"/>
    </row>
    <row r="1079" spans="1:15" ht="22.5" customHeight="1" thickTop="1" thickBot="1" x14ac:dyDescent="0.25">
      <c r="A1079" s="16" t="e">
        <f>#REF!</f>
        <v>#REF!</v>
      </c>
      <c r="B1079" s="16" t="e">
        <f>#REF!</f>
        <v>#REF!</v>
      </c>
      <c r="C1079" s="16" t="e">
        <f>#REF!</f>
        <v>#REF!</v>
      </c>
      <c r="D1079" s="16" t="e">
        <f>#REF!</f>
        <v>#REF!</v>
      </c>
      <c r="E1079" s="16" t="e">
        <f>#REF!</f>
        <v>#REF!</v>
      </c>
      <c r="F1079" s="16" t="e">
        <f>#REF!</f>
        <v>#REF!</v>
      </c>
      <c r="G1079" s="16" t="e">
        <f>#REF!</f>
        <v>#REF!</v>
      </c>
      <c r="H1079" s="16" t="e">
        <f>#REF!</f>
        <v>#REF!</v>
      </c>
      <c r="I1079" s="16" t="e">
        <f>#REF!</f>
        <v>#REF!</v>
      </c>
      <c r="J1079" s="16" t="e">
        <f>#REF!</f>
        <v>#REF!</v>
      </c>
      <c r="K1079" s="16"/>
      <c r="L1079" s="16"/>
      <c r="M1079" s="16"/>
      <c r="N1079" s="16"/>
      <c r="O1079" s="16"/>
    </row>
    <row r="1080" spans="1:15" ht="22.5" customHeight="1" thickTop="1" thickBot="1" x14ac:dyDescent="0.25">
      <c r="A1080" s="16" t="e">
        <f>#REF!</f>
        <v>#REF!</v>
      </c>
      <c r="B1080" s="16" t="e">
        <f>#REF!</f>
        <v>#REF!</v>
      </c>
      <c r="C1080" s="16" t="e">
        <f>#REF!</f>
        <v>#REF!</v>
      </c>
      <c r="D1080" s="16" t="e">
        <f>#REF!</f>
        <v>#REF!</v>
      </c>
      <c r="E1080" s="16" t="e">
        <f>#REF!</f>
        <v>#REF!</v>
      </c>
      <c r="F1080" s="16" t="e">
        <f>#REF!</f>
        <v>#REF!</v>
      </c>
      <c r="G1080" s="16" t="e">
        <f>#REF!</f>
        <v>#REF!</v>
      </c>
      <c r="H1080" s="16" t="e">
        <f>#REF!</f>
        <v>#REF!</v>
      </c>
      <c r="I1080" s="16" t="e">
        <f>#REF!</f>
        <v>#REF!</v>
      </c>
      <c r="J1080" s="16" t="e">
        <f>#REF!</f>
        <v>#REF!</v>
      </c>
      <c r="K1080" s="16"/>
      <c r="L1080" s="16"/>
      <c r="M1080" s="16"/>
      <c r="N1080" s="16"/>
      <c r="O1080" s="16"/>
    </row>
    <row r="1081" spans="1:15" ht="22.5" customHeight="1" thickTop="1" thickBot="1" x14ac:dyDescent="0.25">
      <c r="A1081" s="16" t="e">
        <f>#REF!</f>
        <v>#REF!</v>
      </c>
      <c r="B1081" s="16" t="e">
        <f>#REF!</f>
        <v>#REF!</v>
      </c>
      <c r="C1081" s="16" t="e">
        <f>#REF!</f>
        <v>#REF!</v>
      </c>
      <c r="D1081" s="16" t="e">
        <f>#REF!</f>
        <v>#REF!</v>
      </c>
      <c r="E1081" s="16" t="e">
        <f>#REF!</f>
        <v>#REF!</v>
      </c>
      <c r="F1081" s="16" t="e">
        <f>#REF!</f>
        <v>#REF!</v>
      </c>
      <c r="G1081" s="16" t="e">
        <f>#REF!</f>
        <v>#REF!</v>
      </c>
      <c r="H1081" s="16" t="e">
        <f>#REF!</f>
        <v>#REF!</v>
      </c>
      <c r="I1081" s="16" t="e">
        <f>#REF!</f>
        <v>#REF!</v>
      </c>
      <c r="J1081" s="16" t="e">
        <f>#REF!</f>
        <v>#REF!</v>
      </c>
      <c r="K1081" s="16"/>
      <c r="L1081" s="16"/>
      <c r="M1081" s="16"/>
      <c r="N1081" s="16"/>
      <c r="O1081" s="16"/>
    </row>
    <row r="1082" spans="1:15" ht="22.5" customHeight="1" thickTop="1" thickBot="1" x14ac:dyDescent="0.25">
      <c r="A1082" s="16" t="e">
        <f>#REF!</f>
        <v>#REF!</v>
      </c>
      <c r="B1082" s="16" t="e">
        <f>#REF!</f>
        <v>#REF!</v>
      </c>
      <c r="C1082" s="16" t="e">
        <f>#REF!</f>
        <v>#REF!</v>
      </c>
      <c r="D1082" s="16" t="e">
        <f>#REF!</f>
        <v>#REF!</v>
      </c>
      <c r="E1082" s="16" t="e">
        <f>#REF!</f>
        <v>#REF!</v>
      </c>
      <c r="F1082" s="16" t="e">
        <f>#REF!</f>
        <v>#REF!</v>
      </c>
      <c r="G1082" s="16" t="e">
        <f>#REF!</f>
        <v>#REF!</v>
      </c>
      <c r="H1082" s="16" t="e">
        <f>#REF!</f>
        <v>#REF!</v>
      </c>
      <c r="I1082" s="16" t="e">
        <f>#REF!</f>
        <v>#REF!</v>
      </c>
      <c r="J1082" s="16" t="e">
        <f>#REF!</f>
        <v>#REF!</v>
      </c>
      <c r="K1082" s="16" t="s">
        <v>744</v>
      </c>
      <c r="L1082" s="16"/>
      <c r="M1082" s="16"/>
      <c r="N1082" s="16"/>
      <c r="O1082" s="16"/>
    </row>
    <row r="1083" spans="1:15" ht="22.5" customHeight="1" thickTop="1" thickBot="1" x14ac:dyDescent="0.25">
      <c r="A1083" s="16" t="e">
        <f>#REF!</f>
        <v>#REF!</v>
      </c>
      <c r="B1083" s="16" t="e">
        <f>#REF!</f>
        <v>#REF!</v>
      </c>
      <c r="C1083" s="16" t="e">
        <f>#REF!</f>
        <v>#REF!</v>
      </c>
      <c r="D1083" s="16" t="e">
        <f>#REF!</f>
        <v>#REF!</v>
      </c>
      <c r="E1083" s="16" t="e">
        <f>#REF!</f>
        <v>#REF!</v>
      </c>
      <c r="F1083" s="16" t="e">
        <f>#REF!</f>
        <v>#REF!</v>
      </c>
      <c r="G1083" s="16" t="e">
        <f>#REF!</f>
        <v>#REF!</v>
      </c>
      <c r="H1083" s="16" t="e">
        <f>#REF!</f>
        <v>#REF!</v>
      </c>
      <c r="I1083" s="16" t="e">
        <f>#REF!</f>
        <v>#REF!</v>
      </c>
      <c r="J1083" s="16" t="e">
        <f>#REF!</f>
        <v>#REF!</v>
      </c>
      <c r="K1083" s="16"/>
      <c r="L1083" s="16"/>
      <c r="M1083" s="16"/>
      <c r="N1083" s="16"/>
      <c r="O1083" s="16"/>
    </row>
    <row r="1084" spans="1:15" ht="22.5" customHeight="1" thickTop="1" thickBot="1" x14ac:dyDescent="0.25">
      <c r="A1084" s="16" t="e">
        <f>#REF!</f>
        <v>#REF!</v>
      </c>
      <c r="B1084" s="16" t="e">
        <f>#REF!</f>
        <v>#REF!</v>
      </c>
      <c r="C1084" s="16" t="e">
        <f>#REF!</f>
        <v>#REF!</v>
      </c>
      <c r="D1084" s="16" t="e">
        <f>#REF!</f>
        <v>#REF!</v>
      </c>
      <c r="E1084" s="16" t="e">
        <f>#REF!</f>
        <v>#REF!</v>
      </c>
      <c r="F1084" s="16" t="e">
        <f>#REF!</f>
        <v>#REF!</v>
      </c>
      <c r="G1084" s="16" t="e">
        <f>#REF!</f>
        <v>#REF!</v>
      </c>
      <c r="H1084" s="16" t="e">
        <f>#REF!</f>
        <v>#REF!</v>
      </c>
      <c r="I1084" s="16" t="e">
        <f>#REF!</f>
        <v>#REF!</v>
      </c>
      <c r="J1084" s="16" t="e">
        <f>#REF!</f>
        <v>#REF!</v>
      </c>
      <c r="K1084" s="16" t="s">
        <v>744</v>
      </c>
      <c r="L1084" s="16"/>
      <c r="M1084" s="16"/>
      <c r="N1084" s="16"/>
      <c r="O1084" s="16"/>
    </row>
    <row r="1085" spans="1:15" ht="22.5" customHeight="1" thickTop="1" thickBot="1" x14ac:dyDescent="0.25">
      <c r="A1085" s="16" t="e">
        <f>#REF!</f>
        <v>#REF!</v>
      </c>
      <c r="B1085" s="16" t="e">
        <f>#REF!</f>
        <v>#REF!</v>
      </c>
      <c r="C1085" s="16" t="e">
        <f>#REF!</f>
        <v>#REF!</v>
      </c>
      <c r="D1085" s="16" t="e">
        <f>#REF!</f>
        <v>#REF!</v>
      </c>
      <c r="E1085" s="16" t="e">
        <f>#REF!</f>
        <v>#REF!</v>
      </c>
      <c r="F1085" s="16" t="e">
        <f>#REF!</f>
        <v>#REF!</v>
      </c>
      <c r="G1085" s="16" t="e">
        <f>#REF!</f>
        <v>#REF!</v>
      </c>
      <c r="H1085" s="16" t="e">
        <f>#REF!</f>
        <v>#REF!</v>
      </c>
      <c r="I1085" s="16" t="e">
        <f>#REF!</f>
        <v>#REF!</v>
      </c>
      <c r="J1085" s="16" t="e">
        <f>#REF!</f>
        <v>#REF!</v>
      </c>
      <c r="K1085" s="16"/>
      <c r="L1085" s="16"/>
      <c r="M1085" s="16"/>
      <c r="N1085" s="16"/>
      <c r="O1085" s="16"/>
    </row>
    <row r="1086" spans="1:15" ht="22.5" customHeight="1" thickTop="1" thickBot="1" x14ac:dyDescent="0.25">
      <c r="A1086" s="16" t="e">
        <f>#REF!</f>
        <v>#REF!</v>
      </c>
      <c r="B1086" s="16" t="e">
        <f>#REF!</f>
        <v>#REF!</v>
      </c>
      <c r="C1086" s="16" t="e">
        <f>#REF!</f>
        <v>#REF!</v>
      </c>
      <c r="D1086" s="16" t="e">
        <f>#REF!</f>
        <v>#REF!</v>
      </c>
      <c r="E1086" s="16" t="e">
        <f>#REF!</f>
        <v>#REF!</v>
      </c>
      <c r="F1086" s="16" t="e">
        <f>#REF!</f>
        <v>#REF!</v>
      </c>
      <c r="G1086" s="16" t="e">
        <f>#REF!</f>
        <v>#REF!</v>
      </c>
      <c r="H1086" s="16" t="e">
        <f>#REF!</f>
        <v>#REF!</v>
      </c>
      <c r="I1086" s="16" t="e">
        <f>#REF!</f>
        <v>#REF!</v>
      </c>
      <c r="J1086" s="16" t="e">
        <f>#REF!</f>
        <v>#REF!</v>
      </c>
      <c r="K1086" s="16" t="s">
        <v>744</v>
      </c>
      <c r="L1086" s="16"/>
      <c r="M1086" s="16"/>
      <c r="N1086" s="16"/>
      <c r="O1086" s="16"/>
    </row>
    <row r="1087" spans="1:15" ht="22.5" customHeight="1" thickTop="1" thickBot="1" x14ac:dyDescent="0.25">
      <c r="A1087" s="16" t="e">
        <f>#REF!</f>
        <v>#REF!</v>
      </c>
      <c r="B1087" s="16" t="e">
        <f>#REF!</f>
        <v>#REF!</v>
      </c>
      <c r="C1087" s="16" t="e">
        <f>#REF!</f>
        <v>#REF!</v>
      </c>
      <c r="D1087" s="16" t="e">
        <f>#REF!</f>
        <v>#REF!</v>
      </c>
      <c r="E1087" s="16" t="e">
        <f>#REF!</f>
        <v>#REF!</v>
      </c>
      <c r="F1087" s="16" t="e">
        <f>#REF!</f>
        <v>#REF!</v>
      </c>
      <c r="G1087" s="16" t="e">
        <f>#REF!</f>
        <v>#REF!</v>
      </c>
      <c r="H1087" s="16" t="e">
        <f>#REF!</f>
        <v>#REF!</v>
      </c>
      <c r="I1087" s="16" t="e">
        <f>#REF!</f>
        <v>#REF!</v>
      </c>
      <c r="J1087" s="16" t="e">
        <f>#REF!</f>
        <v>#REF!</v>
      </c>
      <c r="K1087" s="16" t="s">
        <v>744</v>
      </c>
      <c r="L1087" s="16"/>
      <c r="M1087" s="16"/>
      <c r="N1087" s="16"/>
      <c r="O1087" s="16"/>
    </row>
    <row r="1088" spans="1:15" ht="22.5" customHeight="1" thickTop="1" thickBot="1" x14ac:dyDescent="0.25">
      <c r="A1088" s="16" t="e">
        <f>#REF!</f>
        <v>#REF!</v>
      </c>
      <c r="B1088" s="16" t="e">
        <f>#REF!</f>
        <v>#REF!</v>
      </c>
      <c r="C1088" s="16" t="e">
        <f>#REF!</f>
        <v>#REF!</v>
      </c>
      <c r="D1088" s="16" t="e">
        <f>#REF!</f>
        <v>#REF!</v>
      </c>
      <c r="E1088" s="16" t="e">
        <f>#REF!</f>
        <v>#REF!</v>
      </c>
      <c r="F1088" s="16" t="e">
        <f>#REF!</f>
        <v>#REF!</v>
      </c>
      <c r="G1088" s="16" t="e">
        <f>#REF!</f>
        <v>#REF!</v>
      </c>
      <c r="H1088" s="16" t="e">
        <f>#REF!</f>
        <v>#REF!</v>
      </c>
      <c r="I1088" s="16" t="e">
        <f>#REF!</f>
        <v>#REF!</v>
      </c>
      <c r="J1088" s="16" t="e">
        <f>#REF!</f>
        <v>#REF!</v>
      </c>
      <c r="K1088" s="16" t="s">
        <v>744</v>
      </c>
      <c r="L1088" s="16"/>
      <c r="M1088" s="16"/>
      <c r="N1088" s="16"/>
      <c r="O1088" s="16"/>
    </row>
    <row r="1089" spans="1:15" ht="22.5" customHeight="1" thickTop="1" thickBot="1" x14ac:dyDescent="0.25">
      <c r="A1089" s="16" t="e">
        <f>#REF!</f>
        <v>#REF!</v>
      </c>
      <c r="B1089" s="16" t="e">
        <f>#REF!</f>
        <v>#REF!</v>
      </c>
      <c r="C1089" s="16" t="e">
        <f>#REF!</f>
        <v>#REF!</v>
      </c>
      <c r="D1089" s="16" t="e">
        <f>#REF!</f>
        <v>#REF!</v>
      </c>
      <c r="E1089" s="16" t="e">
        <f>#REF!</f>
        <v>#REF!</v>
      </c>
      <c r="F1089" s="16" t="e">
        <f>#REF!</f>
        <v>#REF!</v>
      </c>
      <c r="G1089" s="16" t="e">
        <f>#REF!</f>
        <v>#REF!</v>
      </c>
      <c r="H1089" s="16" t="e">
        <f>#REF!</f>
        <v>#REF!</v>
      </c>
      <c r="I1089" s="16" t="e">
        <f>#REF!</f>
        <v>#REF!</v>
      </c>
      <c r="J1089" s="16" t="e">
        <f>#REF!</f>
        <v>#REF!</v>
      </c>
      <c r="K1089" s="16" t="s">
        <v>744</v>
      </c>
      <c r="L1089" s="16"/>
      <c r="M1089" s="16"/>
      <c r="N1089" s="16"/>
      <c r="O1089" s="16"/>
    </row>
    <row r="1090" spans="1:15" ht="22.5" customHeight="1" thickTop="1" thickBot="1" x14ac:dyDescent="0.25">
      <c r="A1090" s="16" t="e">
        <f>#REF!</f>
        <v>#REF!</v>
      </c>
      <c r="B1090" s="16" t="e">
        <f>#REF!</f>
        <v>#REF!</v>
      </c>
      <c r="C1090" s="16" t="e">
        <f>#REF!</f>
        <v>#REF!</v>
      </c>
      <c r="D1090" s="16" t="e">
        <f>#REF!</f>
        <v>#REF!</v>
      </c>
      <c r="E1090" s="16" t="e">
        <f>#REF!</f>
        <v>#REF!</v>
      </c>
      <c r="F1090" s="16" t="e">
        <f>#REF!</f>
        <v>#REF!</v>
      </c>
      <c r="G1090" s="16" t="e">
        <f>#REF!</f>
        <v>#REF!</v>
      </c>
      <c r="H1090" s="16" t="e">
        <f>#REF!</f>
        <v>#REF!</v>
      </c>
      <c r="I1090" s="16" t="e">
        <f>#REF!</f>
        <v>#REF!</v>
      </c>
      <c r="J1090" s="16" t="e">
        <f>#REF!</f>
        <v>#REF!</v>
      </c>
      <c r="K1090" s="16" t="s">
        <v>744</v>
      </c>
      <c r="L1090" s="16"/>
      <c r="M1090" s="16"/>
      <c r="N1090" s="16"/>
      <c r="O1090" s="16"/>
    </row>
    <row r="1091" spans="1:15" ht="22.5" customHeight="1" thickTop="1" thickBot="1" x14ac:dyDescent="0.25">
      <c r="A1091" s="16" t="e">
        <f>#REF!</f>
        <v>#REF!</v>
      </c>
      <c r="B1091" s="16" t="e">
        <f>#REF!</f>
        <v>#REF!</v>
      </c>
      <c r="C1091" s="16" t="e">
        <f>#REF!</f>
        <v>#REF!</v>
      </c>
      <c r="D1091" s="16" t="e">
        <f>#REF!</f>
        <v>#REF!</v>
      </c>
      <c r="E1091" s="16" t="e">
        <f>#REF!</f>
        <v>#REF!</v>
      </c>
      <c r="F1091" s="16" t="e">
        <f>#REF!</f>
        <v>#REF!</v>
      </c>
      <c r="G1091" s="16" t="e">
        <f>#REF!</f>
        <v>#REF!</v>
      </c>
      <c r="H1091" s="16" t="e">
        <f>#REF!</f>
        <v>#REF!</v>
      </c>
      <c r="I1091" s="16" t="e">
        <f>#REF!</f>
        <v>#REF!</v>
      </c>
      <c r="J1091" s="16" t="e">
        <f>#REF!</f>
        <v>#REF!</v>
      </c>
      <c r="K1091" s="16" t="s">
        <v>744</v>
      </c>
      <c r="L1091" s="16"/>
      <c r="M1091" s="16"/>
      <c r="N1091" s="16"/>
      <c r="O1091" s="16"/>
    </row>
    <row r="1092" spans="1:15" ht="22.5" customHeight="1" thickTop="1" thickBot="1" x14ac:dyDescent="0.25">
      <c r="A1092" s="16" t="e">
        <f>#REF!</f>
        <v>#REF!</v>
      </c>
      <c r="B1092" s="16" t="e">
        <f>#REF!</f>
        <v>#REF!</v>
      </c>
      <c r="C1092" s="16" t="e">
        <f>#REF!</f>
        <v>#REF!</v>
      </c>
      <c r="D1092" s="16" t="e">
        <f>#REF!</f>
        <v>#REF!</v>
      </c>
      <c r="E1092" s="16" t="e">
        <f>#REF!</f>
        <v>#REF!</v>
      </c>
      <c r="F1092" s="16" t="e">
        <f>#REF!</f>
        <v>#REF!</v>
      </c>
      <c r="G1092" s="16" t="e">
        <f>#REF!</f>
        <v>#REF!</v>
      </c>
      <c r="H1092" s="16" t="e">
        <f>#REF!</f>
        <v>#REF!</v>
      </c>
      <c r="I1092" s="16" t="e">
        <f>#REF!</f>
        <v>#REF!</v>
      </c>
      <c r="J1092" s="16" t="e">
        <f>#REF!</f>
        <v>#REF!</v>
      </c>
      <c r="K1092" s="16" t="s">
        <v>744</v>
      </c>
      <c r="L1092" s="16"/>
      <c r="M1092" s="16"/>
      <c r="N1092" s="16"/>
      <c r="O1092" s="16"/>
    </row>
    <row r="1093" spans="1:15" ht="22.5" customHeight="1" thickTop="1" thickBot="1" x14ac:dyDescent="0.25">
      <c r="A1093" s="16" t="e">
        <f>#REF!</f>
        <v>#REF!</v>
      </c>
      <c r="B1093" s="16" t="e">
        <f>#REF!</f>
        <v>#REF!</v>
      </c>
      <c r="C1093" s="16" t="e">
        <f>#REF!</f>
        <v>#REF!</v>
      </c>
      <c r="D1093" s="16" t="e">
        <f>#REF!</f>
        <v>#REF!</v>
      </c>
      <c r="E1093" s="16" t="e">
        <f>#REF!</f>
        <v>#REF!</v>
      </c>
      <c r="F1093" s="16" t="e">
        <f>#REF!</f>
        <v>#REF!</v>
      </c>
      <c r="G1093" s="16" t="e">
        <f>#REF!</f>
        <v>#REF!</v>
      </c>
      <c r="H1093" s="16" t="e">
        <f>#REF!</f>
        <v>#REF!</v>
      </c>
      <c r="I1093" s="16" t="e">
        <f>#REF!</f>
        <v>#REF!</v>
      </c>
      <c r="J1093" s="16" t="e">
        <f>#REF!</f>
        <v>#REF!</v>
      </c>
      <c r="K1093" s="16" t="s">
        <v>744</v>
      </c>
      <c r="L1093" s="16"/>
      <c r="M1093" s="16"/>
      <c r="N1093" s="16"/>
      <c r="O1093" s="16"/>
    </row>
    <row r="1094" spans="1:15" ht="22.5" customHeight="1" thickTop="1" thickBot="1" x14ac:dyDescent="0.25">
      <c r="A1094" s="16" t="e">
        <f>#REF!</f>
        <v>#REF!</v>
      </c>
      <c r="B1094" s="16" t="e">
        <f>#REF!</f>
        <v>#REF!</v>
      </c>
      <c r="C1094" s="16" t="e">
        <f>#REF!</f>
        <v>#REF!</v>
      </c>
      <c r="D1094" s="16" t="e">
        <f>#REF!</f>
        <v>#REF!</v>
      </c>
      <c r="E1094" s="16" t="e">
        <f>#REF!</f>
        <v>#REF!</v>
      </c>
      <c r="F1094" s="16" t="e">
        <f>#REF!</f>
        <v>#REF!</v>
      </c>
      <c r="G1094" s="16" t="e">
        <f>#REF!</f>
        <v>#REF!</v>
      </c>
      <c r="H1094" s="16" t="e">
        <f>#REF!</f>
        <v>#REF!</v>
      </c>
      <c r="I1094" s="16" t="e">
        <f>#REF!</f>
        <v>#REF!</v>
      </c>
      <c r="J1094" s="16" t="e">
        <f>#REF!</f>
        <v>#REF!</v>
      </c>
      <c r="K1094" s="16" t="s">
        <v>744</v>
      </c>
      <c r="L1094" s="16"/>
      <c r="M1094" s="16"/>
      <c r="N1094" s="16"/>
      <c r="O1094" s="16"/>
    </row>
    <row r="1095" spans="1:15" ht="22.5" customHeight="1" thickTop="1" thickBot="1" x14ac:dyDescent="0.25">
      <c r="A1095" s="16" t="e">
        <f>#REF!</f>
        <v>#REF!</v>
      </c>
      <c r="B1095" s="16" t="e">
        <f>#REF!</f>
        <v>#REF!</v>
      </c>
      <c r="C1095" s="16" t="e">
        <f>#REF!</f>
        <v>#REF!</v>
      </c>
      <c r="D1095" s="16" t="e">
        <f>#REF!</f>
        <v>#REF!</v>
      </c>
      <c r="E1095" s="16" t="e">
        <f>#REF!</f>
        <v>#REF!</v>
      </c>
      <c r="F1095" s="16" t="e">
        <f>#REF!</f>
        <v>#REF!</v>
      </c>
      <c r="G1095" s="16" t="e">
        <f>#REF!</f>
        <v>#REF!</v>
      </c>
      <c r="H1095" s="16" t="e">
        <f>#REF!</f>
        <v>#REF!</v>
      </c>
      <c r="I1095" s="16" t="e">
        <f>#REF!</f>
        <v>#REF!</v>
      </c>
      <c r="J1095" s="16" t="e">
        <f>#REF!</f>
        <v>#REF!</v>
      </c>
      <c r="K1095" s="16" t="s">
        <v>744</v>
      </c>
      <c r="L1095" s="16"/>
      <c r="M1095" s="16"/>
      <c r="N1095" s="16"/>
      <c r="O1095" s="16"/>
    </row>
    <row r="1096" spans="1:15" ht="22.5" customHeight="1" thickTop="1" thickBot="1" x14ac:dyDescent="0.25">
      <c r="A1096" s="16" t="e">
        <f>#REF!</f>
        <v>#REF!</v>
      </c>
      <c r="B1096" s="16" t="e">
        <f>#REF!</f>
        <v>#REF!</v>
      </c>
      <c r="C1096" s="16" t="e">
        <f>#REF!</f>
        <v>#REF!</v>
      </c>
      <c r="D1096" s="16" t="e">
        <f>#REF!</f>
        <v>#REF!</v>
      </c>
      <c r="E1096" s="16" t="e">
        <f>#REF!</f>
        <v>#REF!</v>
      </c>
      <c r="F1096" s="16" t="e">
        <f>#REF!</f>
        <v>#REF!</v>
      </c>
      <c r="G1096" s="16" t="e">
        <f>#REF!</f>
        <v>#REF!</v>
      </c>
      <c r="H1096" s="16" t="e">
        <f>#REF!</f>
        <v>#REF!</v>
      </c>
      <c r="I1096" s="16" t="e">
        <f>#REF!</f>
        <v>#REF!</v>
      </c>
      <c r="J1096" s="16" t="e">
        <f>#REF!</f>
        <v>#REF!</v>
      </c>
      <c r="K1096" s="16" t="s">
        <v>744</v>
      </c>
      <c r="L1096" s="16"/>
      <c r="M1096" s="16"/>
      <c r="N1096" s="16"/>
      <c r="O1096" s="16"/>
    </row>
    <row r="1097" spans="1:15" ht="22.5" customHeight="1" thickTop="1" thickBot="1" x14ac:dyDescent="0.25">
      <c r="A1097" s="16" t="e">
        <f>#REF!</f>
        <v>#REF!</v>
      </c>
      <c r="B1097" s="16" t="e">
        <f>#REF!</f>
        <v>#REF!</v>
      </c>
      <c r="C1097" s="16" t="e">
        <f>#REF!</f>
        <v>#REF!</v>
      </c>
      <c r="D1097" s="16" t="e">
        <f>#REF!</f>
        <v>#REF!</v>
      </c>
      <c r="E1097" s="16" t="e">
        <f>#REF!</f>
        <v>#REF!</v>
      </c>
      <c r="F1097" s="16" t="e">
        <f>#REF!</f>
        <v>#REF!</v>
      </c>
      <c r="G1097" s="16" t="e">
        <f>#REF!</f>
        <v>#REF!</v>
      </c>
      <c r="H1097" s="16" t="e">
        <f>#REF!</f>
        <v>#REF!</v>
      </c>
      <c r="I1097" s="16" t="e">
        <f>#REF!</f>
        <v>#REF!</v>
      </c>
      <c r="J1097" s="16" t="e">
        <f>#REF!</f>
        <v>#REF!</v>
      </c>
      <c r="K1097" s="16" t="s">
        <v>744</v>
      </c>
      <c r="L1097" s="16"/>
      <c r="M1097" s="16"/>
      <c r="N1097" s="16"/>
      <c r="O1097" s="16"/>
    </row>
    <row r="1098" spans="1:15" ht="22.5" customHeight="1" thickTop="1" thickBot="1" x14ac:dyDescent="0.25">
      <c r="A1098" s="16" t="e">
        <f>#REF!</f>
        <v>#REF!</v>
      </c>
      <c r="B1098" s="16" t="e">
        <f>#REF!</f>
        <v>#REF!</v>
      </c>
      <c r="C1098" s="16" t="e">
        <f>#REF!</f>
        <v>#REF!</v>
      </c>
      <c r="D1098" s="16" t="e">
        <f>#REF!</f>
        <v>#REF!</v>
      </c>
      <c r="E1098" s="16" t="e">
        <f>#REF!</f>
        <v>#REF!</v>
      </c>
      <c r="F1098" s="16" t="e">
        <f>#REF!</f>
        <v>#REF!</v>
      </c>
      <c r="G1098" s="16" t="e">
        <f>#REF!</f>
        <v>#REF!</v>
      </c>
      <c r="H1098" s="16" t="e">
        <f>#REF!</f>
        <v>#REF!</v>
      </c>
      <c r="I1098" s="16" t="e">
        <f>#REF!</f>
        <v>#REF!</v>
      </c>
      <c r="J1098" s="16" t="e">
        <f>#REF!</f>
        <v>#REF!</v>
      </c>
      <c r="K1098" s="16" t="s">
        <v>744</v>
      </c>
      <c r="L1098" s="16"/>
      <c r="M1098" s="16"/>
      <c r="N1098" s="16"/>
      <c r="O1098" s="16"/>
    </row>
    <row r="1099" spans="1:15" ht="22.5" customHeight="1" thickTop="1" thickBot="1" x14ac:dyDescent="0.25">
      <c r="A1099" s="16" t="e">
        <f>#REF!</f>
        <v>#REF!</v>
      </c>
      <c r="B1099" s="16" t="e">
        <f>#REF!</f>
        <v>#REF!</v>
      </c>
      <c r="C1099" s="16" t="e">
        <f>#REF!</f>
        <v>#REF!</v>
      </c>
      <c r="D1099" s="16" t="e">
        <f>#REF!</f>
        <v>#REF!</v>
      </c>
      <c r="E1099" s="16" t="e">
        <f>#REF!</f>
        <v>#REF!</v>
      </c>
      <c r="F1099" s="16" t="e">
        <f>#REF!</f>
        <v>#REF!</v>
      </c>
      <c r="G1099" s="16" t="e">
        <f>#REF!</f>
        <v>#REF!</v>
      </c>
      <c r="H1099" s="16" t="e">
        <f>#REF!</f>
        <v>#REF!</v>
      </c>
      <c r="I1099" s="16" t="e">
        <f>#REF!</f>
        <v>#REF!</v>
      </c>
      <c r="J1099" s="16" t="e">
        <f>#REF!</f>
        <v>#REF!</v>
      </c>
      <c r="K1099" s="16" t="s">
        <v>744</v>
      </c>
      <c r="L1099" s="16"/>
      <c r="M1099" s="16"/>
      <c r="N1099" s="16"/>
      <c r="O1099" s="16"/>
    </row>
    <row r="1100" spans="1:15" ht="22.5" customHeight="1" thickTop="1" thickBot="1" x14ac:dyDescent="0.25">
      <c r="A1100" s="16" t="e">
        <f>#REF!</f>
        <v>#REF!</v>
      </c>
      <c r="B1100" s="16" t="e">
        <f>#REF!</f>
        <v>#REF!</v>
      </c>
      <c r="C1100" s="16" t="e">
        <f>#REF!</f>
        <v>#REF!</v>
      </c>
      <c r="D1100" s="16" t="e">
        <f>#REF!</f>
        <v>#REF!</v>
      </c>
      <c r="E1100" s="16" t="e">
        <f>#REF!</f>
        <v>#REF!</v>
      </c>
      <c r="F1100" s="16" t="e">
        <f>#REF!</f>
        <v>#REF!</v>
      </c>
      <c r="G1100" s="16" t="e">
        <f>#REF!</f>
        <v>#REF!</v>
      </c>
      <c r="H1100" s="16" t="e">
        <f>#REF!</f>
        <v>#REF!</v>
      </c>
      <c r="I1100" s="16" t="e">
        <f>#REF!</f>
        <v>#REF!</v>
      </c>
      <c r="J1100" s="16" t="e">
        <f>#REF!</f>
        <v>#REF!</v>
      </c>
      <c r="K1100" s="16" t="s">
        <v>744</v>
      </c>
      <c r="L1100" s="16"/>
      <c r="M1100" s="16"/>
      <c r="N1100" s="16"/>
      <c r="O1100" s="16"/>
    </row>
    <row r="1101" spans="1:15" ht="22.5" customHeight="1" thickTop="1" thickBot="1" x14ac:dyDescent="0.25">
      <c r="A1101" s="16" t="e">
        <f>#REF!</f>
        <v>#REF!</v>
      </c>
      <c r="B1101" s="16" t="e">
        <f>#REF!</f>
        <v>#REF!</v>
      </c>
      <c r="C1101" s="16" t="e">
        <f>#REF!</f>
        <v>#REF!</v>
      </c>
      <c r="D1101" s="16" t="e">
        <f>#REF!</f>
        <v>#REF!</v>
      </c>
      <c r="E1101" s="16" t="e">
        <f>#REF!</f>
        <v>#REF!</v>
      </c>
      <c r="F1101" s="16" t="e">
        <f>#REF!</f>
        <v>#REF!</v>
      </c>
      <c r="G1101" s="16" t="e">
        <f>#REF!</f>
        <v>#REF!</v>
      </c>
      <c r="H1101" s="16" t="e">
        <f>#REF!</f>
        <v>#REF!</v>
      </c>
      <c r="I1101" s="16" t="e">
        <f>#REF!</f>
        <v>#REF!</v>
      </c>
      <c r="J1101" s="16" t="e">
        <f>#REF!</f>
        <v>#REF!</v>
      </c>
      <c r="K1101" s="16"/>
      <c r="L1101" s="16"/>
      <c r="M1101" s="16"/>
      <c r="N1101" s="16"/>
      <c r="O1101" s="16"/>
    </row>
    <row r="1102" spans="1:15" ht="22.5" customHeight="1" thickTop="1" thickBot="1" x14ac:dyDescent="0.25">
      <c r="A1102" s="16" t="e">
        <f>#REF!</f>
        <v>#REF!</v>
      </c>
      <c r="B1102" s="16" t="e">
        <f>#REF!</f>
        <v>#REF!</v>
      </c>
      <c r="C1102" s="16" t="e">
        <f>#REF!</f>
        <v>#REF!</v>
      </c>
      <c r="D1102" s="16" t="e">
        <f>#REF!</f>
        <v>#REF!</v>
      </c>
      <c r="E1102" s="16" t="e">
        <f>#REF!</f>
        <v>#REF!</v>
      </c>
      <c r="F1102" s="16" t="e">
        <f>#REF!</f>
        <v>#REF!</v>
      </c>
      <c r="G1102" s="16" t="e">
        <f>#REF!</f>
        <v>#REF!</v>
      </c>
      <c r="H1102" s="16" t="e">
        <f>#REF!</f>
        <v>#REF!</v>
      </c>
      <c r="I1102" s="16" t="e">
        <f>#REF!</f>
        <v>#REF!</v>
      </c>
      <c r="J1102" s="16" t="e">
        <f>#REF!</f>
        <v>#REF!</v>
      </c>
      <c r="K1102" s="16"/>
      <c r="L1102" s="16"/>
      <c r="M1102" s="16"/>
      <c r="N1102" s="16"/>
      <c r="O1102" s="16"/>
    </row>
    <row r="1103" spans="1:15" ht="22.5" customHeight="1" thickTop="1" thickBot="1" x14ac:dyDescent="0.25">
      <c r="A1103" s="16" t="e">
        <f>#REF!</f>
        <v>#REF!</v>
      </c>
      <c r="B1103" s="16" t="e">
        <f>#REF!</f>
        <v>#REF!</v>
      </c>
      <c r="C1103" s="16" t="e">
        <f>#REF!</f>
        <v>#REF!</v>
      </c>
      <c r="D1103" s="16" t="e">
        <f>#REF!</f>
        <v>#REF!</v>
      </c>
      <c r="E1103" s="16" t="e">
        <f>#REF!</f>
        <v>#REF!</v>
      </c>
      <c r="F1103" s="16" t="e">
        <f>#REF!</f>
        <v>#REF!</v>
      </c>
      <c r="G1103" s="16" t="e">
        <f>#REF!</f>
        <v>#REF!</v>
      </c>
      <c r="H1103" s="16" t="e">
        <f>#REF!</f>
        <v>#REF!</v>
      </c>
      <c r="I1103" s="16" t="e">
        <f>#REF!</f>
        <v>#REF!</v>
      </c>
      <c r="J1103" s="16" t="e">
        <f>#REF!</f>
        <v>#REF!</v>
      </c>
      <c r="K1103" s="16"/>
      <c r="L1103" s="16"/>
      <c r="M1103" s="16"/>
      <c r="N1103" s="16"/>
      <c r="O1103" s="16"/>
    </row>
    <row r="1104" spans="1:15" ht="22.5" customHeight="1" thickTop="1" thickBot="1" x14ac:dyDescent="0.25">
      <c r="A1104" s="16" t="e">
        <f>#REF!</f>
        <v>#REF!</v>
      </c>
      <c r="B1104" s="16" t="e">
        <f>#REF!</f>
        <v>#REF!</v>
      </c>
      <c r="C1104" s="16" t="e">
        <f>#REF!</f>
        <v>#REF!</v>
      </c>
      <c r="D1104" s="16" t="e">
        <f>#REF!</f>
        <v>#REF!</v>
      </c>
      <c r="E1104" s="16" t="e">
        <f>#REF!</f>
        <v>#REF!</v>
      </c>
      <c r="F1104" s="16" t="e">
        <f>#REF!</f>
        <v>#REF!</v>
      </c>
      <c r="G1104" s="16" t="e">
        <f>#REF!</f>
        <v>#REF!</v>
      </c>
      <c r="H1104" s="16" t="e">
        <f>#REF!</f>
        <v>#REF!</v>
      </c>
      <c r="I1104" s="16" t="e">
        <f>#REF!</f>
        <v>#REF!</v>
      </c>
      <c r="J1104" s="16" t="e">
        <f>#REF!</f>
        <v>#REF!</v>
      </c>
      <c r="K1104" s="16"/>
      <c r="L1104" s="16"/>
      <c r="M1104" s="16"/>
      <c r="N1104" s="16"/>
      <c r="O1104" s="16"/>
    </row>
    <row r="1105" spans="1:15" ht="22.5" customHeight="1" thickTop="1" thickBot="1" x14ac:dyDescent="0.25">
      <c r="A1105" s="16" t="e">
        <f>#REF!</f>
        <v>#REF!</v>
      </c>
      <c r="B1105" s="16" t="e">
        <f>#REF!</f>
        <v>#REF!</v>
      </c>
      <c r="C1105" s="16" t="e">
        <f>#REF!</f>
        <v>#REF!</v>
      </c>
      <c r="D1105" s="16" t="e">
        <f>#REF!</f>
        <v>#REF!</v>
      </c>
      <c r="E1105" s="16" t="e">
        <f>#REF!</f>
        <v>#REF!</v>
      </c>
      <c r="F1105" s="16" t="e">
        <f>#REF!</f>
        <v>#REF!</v>
      </c>
      <c r="G1105" s="16" t="e">
        <f>#REF!</f>
        <v>#REF!</v>
      </c>
      <c r="H1105" s="16" t="e">
        <f>#REF!</f>
        <v>#REF!</v>
      </c>
      <c r="I1105" s="16" t="e">
        <f>#REF!</f>
        <v>#REF!</v>
      </c>
      <c r="J1105" s="16" t="e">
        <f>#REF!</f>
        <v>#REF!</v>
      </c>
      <c r="K1105" s="16"/>
      <c r="L1105" s="16"/>
      <c r="M1105" s="16"/>
      <c r="N1105" s="16"/>
      <c r="O1105" s="16"/>
    </row>
    <row r="1106" spans="1:15" ht="22.5" customHeight="1" thickTop="1" thickBot="1" x14ac:dyDescent="0.25">
      <c r="A1106" s="16" t="e">
        <f>#REF!</f>
        <v>#REF!</v>
      </c>
      <c r="B1106" s="16" t="e">
        <f>#REF!</f>
        <v>#REF!</v>
      </c>
      <c r="C1106" s="16" t="e">
        <f>#REF!</f>
        <v>#REF!</v>
      </c>
      <c r="D1106" s="16" t="e">
        <f>#REF!</f>
        <v>#REF!</v>
      </c>
      <c r="E1106" s="16" t="e">
        <f>#REF!</f>
        <v>#REF!</v>
      </c>
      <c r="F1106" s="16" t="e">
        <f>#REF!</f>
        <v>#REF!</v>
      </c>
      <c r="G1106" s="16" t="e">
        <f>#REF!</f>
        <v>#REF!</v>
      </c>
      <c r="H1106" s="16" t="e">
        <f>#REF!</f>
        <v>#REF!</v>
      </c>
      <c r="I1106" s="16" t="e">
        <f>#REF!</f>
        <v>#REF!</v>
      </c>
      <c r="J1106" s="16" t="e">
        <f>#REF!</f>
        <v>#REF!</v>
      </c>
      <c r="K1106" s="16"/>
      <c r="L1106" s="16"/>
      <c r="M1106" s="16"/>
      <c r="N1106" s="16"/>
      <c r="O1106" s="16"/>
    </row>
    <row r="1107" spans="1:15" ht="22.5" customHeight="1" thickTop="1" thickBot="1" x14ac:dyDescent="0.25">
      <c r="A1107" s="16" t="e">
        <f>#REF!</f>
        <v>#REF!</v>
      </c>
      <c r="B1107" s="16" t="e">
        <f>#REF!</f>
        <v>#REF!</v>
      </c>
      <c r="C1107" s="16" t="e">
        <f>#REF!</f>
        <v>#REF!</v>
      </c>
      <c r="D1107" s="16" t="e">
        <f>#REF!</f>
        <v>#REF!</v>
      </c>
      <c r="E1107" s="16" t="e">
        <f>#REF!</f>
        <v>#REF!</v>
      </c>
      <c r="F1107" s="16" t="e">
        <f>#REF!</f>
        <v>#REF!</v>
      </c>
      <c r="G1107" s="16" t="e">
        <f>#REF!</f>
        <v>#REF!</v>
      </c>
      <c r="H1107" s="16" t="e">
        <f>#REF!</f>
        <v>#REF!</v>
      </c>
      <c r="I1107" s="16" t="e">
        <f>#REF!</f>
        <v>#REF!</v>
      </c>
      <c r="J1107" s="16" t="e">
        <f>#REF!</f>
        <v>#REF!</v>
      </c>
      <c r="K1107" s="16"/>
      <c r="L1107" s="16"/>
      <c r="M1107" s="16"/>
      <c r="N1107" s="16"/>
      <c r="O1107" s="16"/>
    </row>
    <row r="1108" spans="1:15" ht="22.5" customHeight="1" thickTop="1" thickBot="1" x14ac:dyDescent="0.25">
      <c r="A1108" s="16" t="e">
        <f>#REF!</f>
        <v>#REF!</v>
      </c>
      <c r="B1108" s="16" t="e">
        <f>#REF!</f>
        <v>#REF!</v>
      </c>
      <c r="C1108" s="16" t="e">
        <f>#REF!</f>
        <v>#REF!</v>
      </c>
      <c r="D1108" s="16" t="e">
        <f>#REF!</f>
        <v>#REF!</v>
      </c>
      <c r="E1108" s="16" t="e">
        <f>#REF!</f>
        <v>#REF!</v>
      </c>
      <c r="F1108" s="16" t="e">
        <f>#REF!</f>
        <v>#REF!</v>
      </c>
      <c r="G1108" s="16" t="e">
        <f>#REF!</f>
        <v>#REF!</v>
      </c>
      <c r="H1108" s="16" t="e">
        <f>#REF!</f>
        <v>#REF!</v>
      </c>
      <c r="I1108" s="16" t="e">
        <f>#REF!</f>
        <v>#REF!</v>
      </c>
      <c r="J1108" s="16" t="e">
        <f>#REF!</f>
        <v>#REF!</v>
      </c>
      <c r="K1108" s="16"/>
      <c r="L1108" s="16"/>
      <c r="M1108" s="16"/>
      <c r="N1108" s="16"/>
      <c r="O1108" s="16"/>
    </row>
    <row r="1109" spans="1:15" ht="22.5" customHeight="1" thickTop="1" thickBot="1" x14ac:dyDescent="0.25">
      <c r="A1109" s="16" t="e">
        <f>#REF!</f>
        <v>#REF!</v>
      </c>
      <c r="B1109" s="16" t="e">
        <f>#REF!</f>
        <v>#REF!</v>
      </c>
      <c r="C1109" s="16" t="e">
        <f>#REF!</f>
        <v>#REF!</v>
      </c>
      <c r="D1109" s="16" t="e">
        <f>#REF!</f>
        <v>#REF!</v>
      </c>
      <c r="E1109" s="16" t="e">
        <f>#REF!</f>
        <v>#REF!</v>
      </c>
      <c r="F1109" s="16" t="e">
        <f>#REF!</f>
        <v>#REF!</v>
      </c>
      <c r="G1109" s="16" t="e">
        <f>#REF!</f>
        <v>#REF!</v>
      </c>
      <c r="H1109" s="16" t="e">
        <f>#REF!</f>
        <v>#REF!</v>
      </c>
      <c r="I1109" s="16" t="e">
        <f>#REF!</f>
        <v>#REF!</v>
      </c>
      <c r="J1109" s="16" t="e">
        <f>#REF!</f>
        <v>#REF!</v>
      </c>
      <c r="K1109" s="16"/>
      <c r="L1109" s="16"/>
      <c r="M1109" s="16"/>
      <c r="N1109" s="16"/>
      <c r="O1109" s="16"/>
    </row>
    <row r="1110" spans="1:15" ht="22.5" customHeight="1" thickTop="1" thickBot="1" x14ac:dyDescent="0.25">
      <c r="A1110" s="16" t="e">
        <f>#REF!</f>
        <v>#REF!</v>
      </c>
      <c r="B1110" s="16" t="e">
        <f>#REF!</f>
        <v>#REF!</v>
      </c>
      <c r="C1110" s="16" t="e">
        <f>#REF!</f>
        <v>#REF!</v>
      </c>
      <c r="D1110" s="16" t="e">
        <f>#REF!</f>
        <v>#REF!</v>
      </c>
      <c r="E1110" s="16" t="e">
        <f>#REF!</f>
        <v>#REF!</v>
      </c>
      <c r="F1110" s="16" t="e">
        <f>#REF!</f>
        <v>#REF!</v>
      </c>
      <c r="G1110" s="16" t="e">
        <f>#REF!</f>
        <v>#REF!</v>
      </c>
      <c r="H1110" s="16" t="e">
        <f>#REF!</f>
        <v>#REF!</v>
      </c>
      <c r="I1110" s="16" t="e">
        <f>#REF!</f>
        <v>#REF!</v>
      </c>
      <c r="J1110" s="16" t="e">
        <f>#REF!</f>
        <v>#REF!</v>
      </c>
      <c r="K1110" s="16"/>
      <c r="L1110" s="16"/>
      <c r="M1110" s="16"/>
      <c r="N1110" s="16"/>
      <c r="O1110" s="16"/>
    </row>
    <row r="1111" spans="1:15" ht="22.5" customHeight="1" thickTop="1" thickBot="1" x14ac:dyDescent="0.25">
      <c r="A1111" s="16" t="e">
        <f>#REF!</f>
        <v>#REF!</v>
      </c>
      <c r="B1111" s="16" t="e">
        <f>#REF!</f>
        <v>#REF!</v>
      </c>
      <c r="C1111" s="16" t="e">
        <f>#REF!</f>
        <v>#REF!</v>
      </c>
      <c r="D1111" s="16" t="e">
        <f>#REF!</f>
        <v>#REF!</v>
      </c>
      <c r="E1111" s="16" t="e">
        <f>#REF!</f>
        <v>#REF!</v>
      </c>
      <c r="F1111" s="16" t="e">
        <f>#REF!</f>
        <v>#REF!</v>
      </c>
      <c r="G1111" s="16" t="e">
        <f>#REF!</f>
        <v>#REF!</v>
      </c>
      <c r="H1111" s="16" t="e">
        <f>#REF!</f>
        <v>#REF!</v>
      </c>
      <c r="I1111" s="16" t="e">
        <f>#REF!</f>
        <v>#REF!</v>
      </c>
      <c r="J1111" s="16" t="e">
        <f>#REF!</f>
        <v>#REF!</v>
      </c>
      <c r="K1111" s="16"/>
      <c r="L1111" s="16"/>
      <c r="M1111" s="16"/>
      <c r="N1111" s="16"/>
      <c r="O1111" s="16"/>
    </row>
    <row r="1112" spans="1:15" ht="22.5" customHeight="1" thickTop="1" thickBot="1" x14ac:dyDescent="0.25">
      <c r="A1112" s="16" t="e">
        <f>#REF!</f>
        <v>#REF!</v>
      </c>
      <c r="B1112" s="16" t="e">
        <f>#REF!</f>
        <v>#REF!</v>
      </c>
      <c r="C1112" s="16" t="e">
        <f>#REF!</f>
        <v>#REF!</v>
      </c>
      <c r="D1112" s="16" t="e">
        <f>#REF!</f>
        <v>#REF!</v>
      </c>
      <c r="E1112" s="16" t="e">
        <f>#REF!</f>
        <v>#REF!</v>
      </c>
      <c r="F1112" s="16" t="e">
        <f>#REF!</f>
        <v>#REF!</v>
      </c>
      <c r="G1112" s="16" t="e">
        <f>#REF!</f>
        <v>#REF!</v>
      </c>
      <c r="H1112" s="16" t="e">
        <f>#REF!</f>
        <v>#REF!</v>
      </c>
      <c r="I1112" s="16" t="e">
        <f>#REF!</f>
        <v>#REF!</v>
      </c>
      <c r="J1112" s="16" t="e">
        <f>#REF!</f>
        <v>#REF!</v>
      </c>
      <c r="K1112" s="16"/>
      <c r="L1112" s="16"/>
      <c r="M1112" s="16"/>
      <c r="N1112" s="16"/>
      <c r="O1112" s="16"/>
    </row>
    <row r="1113" spans="1:15" ht="22.5" customHeight="1" thickTop="1" thickBot="1" x14ac:dyDescent="0.25">
      <c r="A1113" s="16" t="e">
        <f>#REF!</f>
        <v>#REF!</v>
      </c>
      <c r="B1113" s="16" t="e">
        <f>#REF!</f>
        <v>#REF!</v>
      </c>
      <c r="C1113" s="16" t="e">
        <f>#REF!</f>
        <v>#REF!</v>
      </c>
      <c r="D1113" s="16" t="e">
        <f>#REF!</f>
        <v>#REF!</v>
      </c>
      <c r="E1113" s="16" t="e">
        <f>#REF!</f>
        <v>#REF!</v>
      </c>
      <c r="F1113" s="16" t="e">
        <f>#REF!</f>
        <v>#REF!</v>
      </c>
      <c r="G1113" s="16" t="e">
        <f>#REF!</f>
        <v>#REF!</v>
      </c>
      <c r="H1113" s="16" t="e">
        <f>#REF!</f>
        <v>#REF!</v>
      </c>
      <c r="I1113" s="16" t="e">
        <f>#REF!</f>
        <v>#REF!</v>
      </c>
      <c r="J1113" s="16" t="e">
        <f>#REF!</f>
        <v>#REF!</v>
      </c>
      <c r="K1113" s="16"/>
      <c r="L1113" s="16"/>
      <c r="M1113" s="16"/>
      <c r="N1113" s="16"/>
      <c r="O1113" s="16"/>
    </row>
    <row r="1114" spans="1:15" ht="22.5" customHeight="1" thickTop="1" thickBot="1" x14ac:dyDescent="0.25">
      <c r="A1114" s="16" t="e">
        <f>#REF!</f>
        <v>#REF!</v>
      </c>
      <c r="B1114" s="16" t="e">
        <f>#REF!</f>
        <v>#REF!</v>
      </c>
      <c r="C1114" s="16" t="e">
        <f>#REF!</f>
        <v>#REF!</v>
      </c>
      <c r="D1114" s="16" t="e">
        <f>#REF!</f>
        <v>#REF!</v>
      </c>
      <c r="E1114" s="16" t="e">
        <f>#REF!</f>
        <v>#REF!</v>
      </c>
      <c r="F1114" s="16" t="e">
        <f>#REF!</f>
        <v>#REF!</v>
      </c>
      <c r="G1114" s="16" t="e">
        <f>#REF!</f>
        <v>#REF!</v>
      </c>
      <c r="H1114" s="16" t="e">
        <f>#REF!</f>
        <v>#REF!</v>
      </c>
      <c r="I1114" s="16" t="e">
        <f>#REF!</f>
        <v>#REF!</v>
      </c>
      <c r="J1114" s="16" t="e">
        <f>#REF!</f>
        <v>#REF!</v>
      </c>
      <c r="K1114" s="16"/>
      <c r="L1114" s="16"/>
      <c r="M1114" s="16"/>
      <c r="N1114" s="16"/>
      <c r="O1114" s="16"/>
    </row>
    <row r="1115" spans="1:15" ht="22.5" customHeight="1" thickTop="1" thickBot="1" x14ac:dyDescent="0.25">
      <c r="A1115" s="16" t="e">
        <f>#REF!</f>
        <v>#REF!</v>
      </c>
      <c r="B1115" s="16" t="e">
        <f>#REF!</f>
        <v>#REF!</v>
      </c>
      <c r="C1115" s="16" t="e">
        <f>#REF!</f>
        <v>#REF!</v>
      </c>
      <c r="D1115" s="16" t="e">
        <f>#REF!</f>
        <v>#REF!</v>
      </c>
      <c r="E1115" s="16" t="e">
        <f>#REF!</f>
        <v>#REF!</v>
      </c>
      <c r="F1115" s="16" t="e">
        <f>#REF!</f>
        <v>#REF!</v>
      </c>
      <c r="G1115" s="16" t="e">
        <f>#REF!</f>
        <v>#REF!</v>
      </c>
      <c r="H1115" s="16" t="e">
        <f>#REF!</f>
        <v>#REF!</v>
      </c>
      <c r="I1115" s="16" t="e">
        <f>#REF!</f>
        <v>#REF!</v>
      </c>
      <c r="J1115" s="16" t="e">
        <f>#REF!</f>
        <v>#REF!</v>
      </c>
      <c r="K1115" s="16"/>
      <c r="L1115" s="16"/>
      <c r="M1115" s="16"/>
      <c r="N1115" s="16"/>
      <c r="O1115" s="16"/>
    </row>
    <row r="1116" spans="1:15" ht="22.5" customHeight="1" thickTop="1" thickBot="1" x14ac:dyDescent="0.25">
      <c r="A1116" s="16" t="e">
        <f>#REF!</f>
        <v>#REF!</v>
      </c>
      <c r="B1116" s="16" t="e">
        <f>#REF!</f>
        <v>#REF!</v>
      </c>
      <c r="C1116" s="16" t="e">
        <f>#REF!</f>
        <v>#REF!</v>
      </c>
      <c r="D1116" s="16" t="e">
        <f>#REF!</f>
        <v>#REF!</v>
      </c>
      <c r="E1116" s="16" t="e">
        <f>#REF!</f>
        <v>#REF!</v>
      </c>
      <c r="F1116" s="16" t="e">
        <f>#REF!</f>
        <v>#REF!</v>
      </c>
      <c r="G1116" s="16" t="e">
        <f>#REF!</f>
        <v>#REF!</v>
      </c>
      <c r="H1116" s="16" t="e">
        <f>#REF!</f>
        <v>#REF!</v>
      </c>
      <c r="I1116" s="16" t="e">
        <f>#REF!</f>
        <v>#REF!</v>
      </c>
      <c r="J1116" s="16" t="e">
        <f>#REF!</f>
        <v>#REF!</v>
      </c>
      <c r="K1116" s="16"/>
      <c r="L1116" s="16"/>
      <c r="M1116" s="16"/>
      <c r="N1116" s="16"/>
      <c r="O1116" s="16"/>
    </row>
    <row r="1117" spans="1:15" ht="22.5" customHeight="1" thickTop="1" thickBot="1" x14ac:dyDescent="0.25">
      <c r="A1117" s="16" t="e">
        <f>#REF!</f>
        <v>#REF!</v>
      </c>
      <c r="B1117" s="16" t="e">
        <f>#REF!</f>
        <v>#REF!</v>
      </c>
      <c r="C1117" s="16" t="e">
        <f>#REF!</f>
        <v>#REF!</v>
      </c>
      <c r="D1117" s="16" t="e">
        <f>#REF!</f>
        <v>#REF!</v>
      </c>
      <c r="E1117" s="16" t="e">
        <f>#REF!</f>
        <v>#REF!</v>
      </c>
      <c r="F1117" s="16" t="e">
        <f>#REF!</f>
        <v>#REF!</v>
      </c>
      <c r="G1117" s="16" t="e">
        <f>#REF!</f>
        <v>#REF!</v>
      </c>
      <c r="H1117" s="16" t="e">
        <f>#REF!</f>
        <v>#REF!</v>
      </c>
      <c r="I1117" s="16" t="e">
        <f>#REF!</f>
        <v>#REF!</v>
      </c>
      <c r="J1117" s="16" t="e">
        <f>#REF!</f>
        <v>#REF!</v>
      </c>
      <c r="K1117" s="16"/>
      <c r="L1117" s="16"/>
      <c r="M1117" s="16"/>
      <c r="N1117" s="16"/>
      <c r="O1117" s="16"/>
    </row>
    <row r="1118" spans="1:15" ht="22.5" customHeight="1" thickTop="1" thickBot="1" x14ac:dyDescent="0.25">
      <c r="A1118" s="16" t="e">
        <f>#REF!</f>
        <v>#REF!</v>
      </c>
      <c r="B1118" s="16" t="e">
        <f>#REF!</f>
        <v>#REF!</v>
      </c>
      <c r="C1118" s="16" t="e">
        <f>#REF!</f>
        <v>#REF!</v>
      </c>
      <c r="D1118" s="16" t="e">
        <f>#REF!</f>
        <v>#REF!</v>
      </c>
      <c r="E1118" s="16" t="e">
        <f>#REF!</f>
        <v>#REF!</v>
      </c>
      <c r="F1118" s="16" t="e">
        <f>#REF!</f>
        <v>#REF!</v>
      </c>
      <c r="G1118" s="16" t="e">
        <f>#REF!</f>
        <v>#REF!</v>
      </c>
      <c r="H1118" s="16" t="e">
        <f>#REF!</f>
        <v>#REF!</v>
      </c>
      <c r="I1118" s="16" t="e">
        <f>#REF!</f>
        <v>#REF!</v>
      </c>
      <c r="J1118" s="16" t="e">
        <f>#REF!</f>
        <v>#REF!</v>
      </c>
      <c r="K1118" s="16"/>
      <c r="L1118" s="16"/>
      <c r="M1118" s="16"/>
      <c r="N1118" s="16"/>
      <c r="O1118" s="16"/>
    </row>
    <row r="1119" spans="1:15" ht="22.5" customHeight="1" thickTop="1" thickBot="1" x14ac:dyDescent="0.25">
      <c r="A1119" s="16" t="e">
        <f>#REF!</f>
        <v>#REF!</v>
      </c>
      <c r="B1119" s="16" t="e">
        <f>#REF!</f>
        <v>#REF!</v>
      </c>
      <c r="C1119" s="16" t="e">
        <f>#REF!</f>
        <v>#REF!</v>
      </c>
      <c r="D1119" s="16" t="e">
        <f>#REF!</f>
        <v>#REF!</v>
      </c>
      <c r="E1119" s="16" t="e">
        <f>#REF!</f>
        <v>#REF!</v>
      </c>
      <c r="F1119" s="16" t="e">
        <f>#REF!</f>
        <v>#REF!</v>
      </c>
      <c r="G1119" s="16" t="e">
        <f>#REF!</f>
        <v>#REF!</v>
      </c>
      <c r="H1119" s="16" t="e">
        <f>#REF!</f>
        <v>#REF!</v>
      </c>
      <c r="I1119" s="16" t="e">
        <f>#REF!</f>
        <v>#REF!</v>
      </c>
      <c r="J1119" s="16" t="e">
        <f>#REF!</f>
        <v>#REF!</v>
      </c>
      <c r="K1119" s="16"/>
      <c r="L1119" s="16"/>
      <c r="M1119" s="16"/>
      <c r="N1119" s="16"/>
      <c r="O1119" s="16"/>
    </row>
    <row r="1120" spans="1:15" ht="22.5" customHeight="1" thickTop="1" thickBot="1" x14ac:dyDescent="0.25">
      <c r="A1120" s="16" t="e">
        <f>#REF!</f>
        <v>#REF!</v>
      </c>
      <c r="B1120" s="16" t="e">
        <f>#REF!</f>
        <v>#REF!</v>
      </c>
      <c r="C1120" s="16" t="e">
        <f>#REF!</f>
        <v>#REF!</v>
      </c>
      <c r="D1120" s="16" t="e">
        <f>#REF!</f>
        <v>#REF!</v>
      </c>
      <c r="E1120" s="16" t="e">
        <f>#REF!</f>
        <v>#REF!</v>
      </c>
      <c r="F1120" s="16" t="e">
        <f>#REF!</f>
        <v>#REF!</v>
      </c>
      <c r="G1120" s="16" t="e">
        <f>#REF!</f>
        <v>#REF!</v>
      </c>
      <c r="H1120" s="16" t="e">
        <f>#REF!</f>
        <v>#REF!</v>
      </c>
      <c r="I1120" s="16" t="e">
        <f>#REF!</f>
        <v>#REF!</v>
      </c>
      <c r="J1120" s="16" t="e">
        <f>#REF!</f>
        <v>#REF!</v>
      </c>
      <c r="K1120" s="16"/>
      <c r="L1120" s="16"/>
      <c r="M1120" s="16"/>
      <c r="N1120" s="16"/>
      <c r="O1120" s="16"/>
    </row>
    <row r="1121" spans="1:15" ht="22.5" customHeight="1" thickTop="1" thickBot="1" x14ac:dyDescent="0.25">
      <c r="A1121" s="16" t="e">
        <f>#REF!</f>
        <v>#REF!</v>
      </c>
      <c r="B1121" s="16" t="e">
        <f>#REF!</f>
        <v>#REF!</v>
      </c>
      <c r="C1121" s="16" t="e">
        <f>#REF!</f>
        <v>#REF!</v>
      </c>
      <c r="D1121" s="16" t="e">
        <f>#REF!</f>
        <v>#REF!</v>
      </c>
      <c r="E1121" s="16" t="e">
        <f>#REF!</f>
        <v>#REF!</v>
      </c>
      <c r="F1121" s="16" t="e">
        <f>#REF!</f>
        <v>#REF!</v>
      </c>
      <c r="G1121" s="16" t="e">
        <f>#REF!</f>
        <v>#REF!</v>
      </c>
      <c r="H1121" s="16" t="e">
        <f>#REF!</f>
        <v>#REF!</v>
      </c>
      <c r="I1121" s="16" t="e">
        <f>#REF!</f>
        <v>#REF!</v>
      </c>
      <c r="J1121" s="16" t="e">
        <f>#REF!</f>
        <v>#REF!</v>
      </c>
      <c r="K1121" s="16"/>
      <c r="L1121" s="16"/>
      <c r="M1121" s="16"/>
      <c r="N1121" s="16"/>
      <c r="O1121" s="16"/>
    </row>
    <row r="1122" spans="1:15" ht="22.5" customHeight="1" thickTop="1" thickBot="1" x14ac:dyDescent="0.25">
      <c r="A1122" s="16" t="e">
        <f>#REF!</f>
        <v>#REF!</v>
      </c>
      <c r="B1122" s="16" t="e">
        <f>#REF!</f>
        <v>#REF!</v>
      </c>
      <c r="C1122" s="16" t="e">
        <f>#REF!</f>
        <v>#REF!</v>
      </c>
      <c r="D1122" s="16" t="e">
        <f>#REF!</f>
        <v>#REF!</v>
      </c>
      <c r="E1122" s="16" t="e">
        <f>#REF!</f>
        <v>#REF!</v>
      </c>
      <c r="F1122" s="16" t="e">
        <f>#REF!</f>
        <v>#REF!</v>
      </c>
      <c r="G1122" s="16" t="e">
        <f>#REF!</f>
        <v>#REF!</v>
      </c>
      <c r="H1122" s="16" t="e">
        <f>#REF!</f>
        <v>#REF!</v>
      </c>
      <c r="I1122" s="16" t="e">
        <f>#REF!</f>
        <v>#REF!</v>
      </c>
      <c r="J1122" s="16" t="e">
        <f>#REF!</f>
        <v>#REF!</v>
      </c>
      <c r="K1122" s="16"/>
      <c r="L1122" s="16"/>
      <c r="M1122" s="16"/>
      <c r="N1122" s="16"/>
      <c r="O1122" s="16"/>
    </row>
    <row r="1123" spans="1:15" ht="22.5" customHeight="1" thickTop="1" thickBot="1" x14ac:dyDescent="0.25">
      <c r="A1123" s="16" t="e">
        <f>#REF!</f>
        <v>#REF!</v>
      </c>
      <c r="B1123" s="16" t="e">
        <f>#REF!</f>
        <v>#REF!</v>
      </c>
      <c r="C1123" s="16" t="e">
        <f>#REF!</f>
        <v>#REF!</v>
      </c>
      <c r="D1123" s="16" t="e">
        <f>#REF!</f>
        <v>#REF!</v>
      </c>
      <c r="E1123" s="16" t="e">
        <f>#REF!</f>
        <v>#REF!</v>
      </c>
      <c r="F1123" s="16" t="e">
        <f>#REF!</f>
        <v>#REF!</v>
      </c>
      <c r="G1123" s="16" t="e">
        <f>#REF!</f>
        <v>#REF!</v>
      </c>
      <c r="H1123" s="16" t="e">
        <f>#REF!</f>
        <v>#REF!</v>
      </c>
      <c r="I1123" s="16" t="e">
        <f>#REF!</f>
        <v>#REF!</v>
      </c>
      <c r="J1123" s="16" t="e">
        <f>#REF!</f>
        <v>#REF!</v>
      </c>
      <c r="K1123" s="16" t="s">
        <v>744</v>
      </c>
      <c r="L1123" s="16"/>
      <c r="M1123" s="16"/>
      <c r="N1123" s="16"/>
      <c r="O1123" s="16"/>
    </row>
    <row r="1124" spans="1:15" ht="22.5" customHeight="1" thickTop="1" thickBot="1" x14ac:dyDescent="0.25">
      <c r="A1124" s="16" t="e">
        <f>#REF!</f>
        <v>#REF!</v>
      </c>
      <c r="B1124" s="16" t="e">
        <f>#REF!</f>
        <v>#REF!</v>
      </c>
      <c r="C1124" s="16" t="e">
        <f>#REF!</f>
        <v>#REF!</v>
      </c>
      <c r="D1124" s="16" t="e">
        <f>#REF!</f>
        <v>#REF!</v>
      </c>
      <c r="E1124" s="16" t="e">
        <f>#REF!</f>
        <v>#REF!</v>
      </c>
      <c r="F1124" s="16" t="e">
        <f>#REF!</f>
        <v>#REF!</v>
      </c>
      <c r="G1124" s="16" t="e">
        <f>#REF!</f>
        <v>#REF!</v>
      </c>
      <c r="H1124" s="16" t="e">
        <f>#REF!</f>
        <v>#REF!</v>
      </c>
      <c r="I1124" s="16" t="e">
        <f>#REF!</f>
        <v>#REF!</v>
      </c>
      <c r="J1124" s="16" t="e">
        <f>#REF!</f>
        <v>#REF!</v>
      </c>
      <c r="K1124" s="16" t="s">
        <v>744</v>
      </c>
      <c r="L1124" s="16"/>
      <c r="M1124" s="16"/>
      <c r="N1124" s="16"/>
      <c r="O1124" s="16"/>
    </row>
    <row r="1125" spans="1:15" ht="22.5" customHeight="1" thickTop="1" thickBot="1" x14ac:dyDescent="0.25">
      <c r="A1125" s="16" t="e">
        <f>#REF!</f>
        <v>#REF!</v>
      </c>
      <c r="B1125" s="16" t="e">
        <f>#REF!</f>
        <v>#REF!</v>
      </c>
      <c r="C1125" s="16" t="e">
        <f>#REF!</f>
        <v>#REF!</v>
      </c>
      <c r="D1125" s="16" t="e">
        <f>#REF!</f>
        <v>#REF!</v>
      </c>
      <c r="E1125" s="16" t="e">
        <f>#REF!</f>
        <v>#REF!</v>
      </c>
      <c r="F1125" s="16" t="e">
        <f>#REF!</f>
        <v>#REF!</v>
      </c>
      <c r="G1125" s="16" t="e">
        <f>#REF!</f>
        <v>#REF!</v>
      </c>
      <c r="H1125" s="16" t="e">
        <f>#REF!</f>
        <v>#REF!</v>
      </c>
      <c r="I1125" s="16" t="e">
        <f>#REF!</f>
        <v>#REF!</v>
      </c>
      <c r="J1125" s="16" t="e">
        <f>#REF!</f>
        <v>#REF!</v>
      </c>
      <c r="K1125" s="16" t="s">
        <v>744</v>
      </c>
      <c r="L1125" s="16"/>
      <c r="M1125" s="16"/>
      <c r="N1125" s="16"/>
      <c r="O1125" s="16"/>
    </row>
    <row r="1126" spans="1:15" ht="22.5" customHeight="1" thickTop="1" thickBot="1" x14ac:dyDescent="0.25">
      <c r="A1126" s="16" t="e">
        <f>#REF!</f>
        <v>#REF!</v>
      </c>
      <c r="B1126" s="16" t="e">
        <f>#REF!</f>
        <v>#REF!</v>
      </c>
      <c r="C1126" s="16" t="e">
        <f>#REF!</f>
        <v>#REF!</v>
      </c>
      <c r="D1126" s="16" t="e">
        <f>#REF!</f>
        <v>#REF!</v>
      </c>
      <c r="E1126" s="16" t="e">
        <f>#REF!</f>
        <v>#REF!</v>
      </c>
      <c r="F1126" s="16" t="e">
        <f>#REF!</f>
        <v>#REF!</v>
      </c>
      <c r="G1126" s="16" t="e">
        <f>#REF!</f>
        <v>#REF!</v>
      </c>
      <c r="H1126" s="16" t="e">
        <f>#REF!</f>
        <v>#REF!</v>
      </c>
      <c r="I1126" s="16" t="e">
        <f>#REF!</f>
        <v>#REF!</v>
      </c>
      <c r="J1126" s="16" t="e">
        <f>#REF!</f>
        <v>#REF!</v>
      </c>
      <c r="K1126" s="16" t="s">
        <v>744</v>
      </c>
      <c r="L1126" s="16"/>
      <c r="M1126" s="16"/>
      <c r="N1126" s="16"/>
      <c r="O1126" s="16"/>
    </row>
    <row r="1127" spans="1:15" ht="22.5" customHeight="1" thickTop="1" thickBot="1" x14ac:dyDescent="0.25">
      <c r="A1127" s="16" t="e">
        <f>#REF!</f>
        <v>#REF!</v>
      </c>
      <c r="B1127" s="16" t="e">
        <f>#REF!</f>
        <v>#REF!</v>
      </c>
      <c r="C1127" s="16" t="e">
        <f>#REF!</f>
        <v>#REF!</v>
      </c>
      <c r="D1127" s="16" t="e">
        <f>#REF!</f>
        <v>#REF!</v>
      </c>
      <c r="E1127" s="16" t="e">
        <f>#REF!</f>
        <v>#REF!</v>
      </c>
      <c r="F1127" s="16" t="e">
        <f>#REF!</f>
        <v>#REF!</v>
      </c>
      <c r="G1127" s="16" t="e">
        <f>#REF!</f>
        <v>#REF!</v>
      </c>
      <c r="H1127" s="16" t="e">
        <f>#REF!</f>
        <v>#REF!</v>
      </c>
      <c r="I1127" s="16" t="e">
        <f>#REF!</f>
        <v>#REF!</v>
      </c>
      <c r="J1127" s="16" t="e">
        <f>#REF!</f>
        <v>#REF!</v>
      </c>
      <c r="K1127" s="16"/>
      <c r="L1127" s="16"/>
      <c r="M1127" s="16"/>
      <c r="N1127" s="16"/>
      <c r="O1127" s="16"/>
    </row>
    <row r="1128" spans="1:15" ht="22.5" customHeight="1" thickTop="1" thickBot="1" x14ac:dyDescent="0.25">
      <c r="A1128" s="16" t="e">
        <f>#REF!</f>
        <v>#REF!</v>
      </c>
      <c r="B1128" s="16" t="e">
        <f>#REF!</f>
        <v>#REF!</v>
      </c>
      <c r="C1128" s="16" t="e">
        <f>#REF!</f>
        <v>#REF!</v>
      </c>
      <c r="D1128" s="16" t="e">
        <f>#REF!</f>
        <v>#REF!</v>
      </c>
      <c r="E1128" s="16" t="e">
        <f>#REF!</f>
        <v>#REF!</v>
      </c>
      <c r="F1128" s="16" t="e">
        <f>#REF!</f>
        <v>#REF!</v>
      </c>
      <c r="G1128" s="16" t="e">
        <f>#REF!</f>
        <v>#REF!</v>
      </c>
      <c r="H1128" s="16" t="e">
        <f>#REF!</f>
        <v>#REF!</v>
      </c>
      <c r="I1128" s="16" t="e">
        <f>#REF!</f>
        <v>#REF!</v>
      </c>
      <c r="J1128" s="16" t="e">
        <f>#REF!</f>
        <v>#REF!</v>
      </c>
      <c r="K1128" s="16" t="s">
        <v>744</v>
      </c>
      <c r="L1128" s="16"/>
      <c r="M1128" s="16"/>
      <c r="N1128" s="16"/>
      <c r="O1128" s="16"/>
    </row>
    <row r="1129" spans="1:15" ht="22.5" customHeight="1" thickTop="1" thickBot="1" x14ac:dyDescent="0.25">
      <c r="A1129" s="16" t="e">
        <f>#REF!</f>
        <v>#REF!</v>
      </c>
      <c r="B1129" s="16" t="e">
        <f>#REF!</f>
        <v>#REF!</v>
      </c>
      <c r="C1129" s="16" t="e">
        <f>#REF!</f>
        <v>#REF!</v>
      </c>
      <c r="D1129" s="16" t="e">
        <f>#REF!</f>
        <v>#REF!</v>
      </c>
      <c r="E1129" s="16" t="e">
        <f>#REF!</f>
        <v>#REF!</v>
      </c>
      <c r="F1129" s="16" t="e">
        <f>#REF!</f>
        <v>#REF!</v>
      </c>
      <c r="G1129" s="16" t="e">
        <f>#REF!</f>
        <v>#REF!</v>
      </c>
      <c r="H1129" s="16" t="e">
        <f>#REF!</f>
        <v>#REF!</v>
      </c>
      <c r="I1129" s="16" t="e">
        <f>#REF!</f>
        <v>#REF!</v>
      </c>
      <c r="J1129" s="16" t="e">
        <f>#REF!</f>
        <v>#REF!</v>
      </c>
      <c r="K1129" s="16" t="s">
        <v>744</v>
      </c>
      <c r="L1129" s="16"/>
      <c r="M1129" s="16"/>
      <c r="N1129" s="16"/>
      <c r="O1129" s="16"/>
    </row>
    <row r="1130" spans="1:15" ht="22.5" customHeight="1" thickTop="1" thickBot="1" x14ac:dyDescent="0.25">
      <c r="A1130" s="16" t="e">
        <f>#REF!</f>
        <v>#REF!</v>
      </c>
      <c r="B1130" s="16" t="e">
        <f>#REF!</f>
        <v>#REF!</v>
      </c>
      <c r="C1130" s="16" t="e">
        <f>#REF!</f>
        <v>#REF!</v>
      </c>
      <c r="D1130" s="16" t="e">
        <f>#REF!</f>
        <v>#REF!</v>
      </c>
      <c r="E1130" s="16" t="e">
        <f>#REF!</f>
        <v>#REF!</v>
      </c>
      <c r="F1130" s="16" t="e">
        <f>#REF!</f>
        <v>#REF!</v>
      </c>
      <c r="G1130" s="16" t="e">
        <f>#REF!</f>
        <v>#REF!</v>
      </c>
      <c r="H1130" s="16" t="e">
        <f>#REF!</f>
        <v>#REF!</v>
      </c>
      <c r="I1130" s="16" t="e">
        <f>#REF!</f>
        <v>#REF!</v>
      </c>
      <c r="J1130" s="16" t="e">
        <f>#REF!</f>
        <v>#REF!</v>
      </c>
      <c r="K1130" s="16"/>
      <c r="L1130" s="16"/>
      <c r="M1130" s="16"/>
      <c r="N1130" s="16"/>
      <c r="O1130" s="16"/>
    </row>
    <row r="1131" spans="1:15" ht="22.5" customHeight="1" thickTop="1" thickBot="1" x14ac:dyDescent="0.25">
      <c r="A1131" s="16" t="e">
        <f>#REF!</f>
        <v>#REF!</v>
      </c>
      <c r="B1131" s="16" t="e">
        <f>#REF!</f>
        <v>#REF!</v>
      </c>
      <c r="C1131" s="16" t="e">
        <f>#REF!</f>
        <v>#REF!</v>
      </c>
      <c r="D1131" s="16" t="e">
        <f>#REF!</f>
        <v>#REF!</v>
      </c>
      <c r="E1131" s="16" t="e">
        <f>#REF!</f>
        <v>#REF!</v>
      </c>
      <c r="F1131" s="16" t="e">
        <f>#REF!</f>
        <v>#REF!</v>
      </c>
      <c r="G1131" s="16" t="e">
        <f>#REF!</f>
        <v>#REF!</v>
      </c>
      <c r="H1131" s="16" t="e">
        <f>#REF!</f>
        <v>#REF!</v>
      </c>
      <c r="I1131" s="16" t="e">
        <f>#REF!</f>
        <v>#REF!</v>
      </c>
      <c r="J1131" s="16" t="e">
        <f>#REF!</f>
        <v>#REF!</v>
      </c>
      <c r="K1131" s="16"/>
      <c r="L1131" s="16"/>
      <c r="M1131" s="16"/>
      <c r="N1131" s="16"/>
      <c r="O1131" s="16"/>
    </row>
    <row r="1132" spans="1:15" ht="22.5" customHeight="1" thickTop="1" thickBot="1" x14ac:dyDescent="0.25">
      <c r="A1132" s="16" t="e">
        <f>#REF!</f>
        <v>#REF!</v>
      </c>
      <c r="B1132" s="16" t="e">
        <f>#REF!</f>
        <v>#REF!</v>
      </c>
      <c r="C1132" s="16" t="e">
        <f>#REF!</f>
        <v>#REF!</v>
      </c>
      <c r="D1132" s="16" t="e">
        <f>#REF!</f>
        <v>#REF!</v>
      </c>
      <c r="E1132" s="16" t="e">
        <f>#REF!</f>
        <v>#REF!</v>
      </c>
      <c r="F1132" s="16" t="e">
        <f>#REF!</f>
        <v>#REF!</v>
      </c>
      <c r="G1132" s="16" t="e">
        <f>#REF!</f>
        <v>#REF!</v>
      </c>
      <c r="H1132" s="16" t="e">
        <f>#REF!</f>
        <v>#REF!</v>
      </c>
      <c r="I1132" s="16" t="e">
        <f>#REF!</f>
        <v>#REF!</v>
      </c>
      <c r="J1132" s="16" t="e">
        <f>#REF!</f>
        <v>#REF!</v>
      </c>
      <c r="K1132" s="16" t="s">
        <v>744</v>
      </c>
      <c r="L1132" s="16"/>
      <c r="M1132" s="16"/>
      <c r="N1132" s="16"/>
      <c r="O1132" s="16"/>
    </row>
    <row r="1133" spans="1:15" ht="22.5" customHeight="1" thickTop="1" thickBot="1" x14ac:dyDescent="0.25">
      <c r="A1133" s="16" t="e">
        <f>#REF!</f>
        <v>#REF!</v>
      </c>
      <c r="B1133" s="16" t="e">
        <f>#REF!</f>
        <v>#REF!</v>
      </c>
      <c r="C1133" s="16" t="e">
        <f>#REF!</f>
        <v>#REF!</v>
      </c>
      <c r="D1133" s="16" t="e">
        <f>#REF!</f>
        <v>#REF!</v>
      </c>
      <c r="E1133" s="16" t="e">
        <f>#REF!</f>
        <v>#REF!</v>
      </c>
      <c r="F1133" s="16" t="e">
        <f>#REF!</f>
        <v>#REF!</v>
      </c>
      <c r="G1133" s="16" t="e">
        <f>#REF!</f>
        <v>#REF!</v>
      </c>
      <c r="H1133" s="16" t="e">
        <f>#REF!</f>
        <v>#REF!</v>
      </c>
      <c r="I1133" s="16" t="e">
        <f>#REF!</f>
        <v>#REF!</v>
      </c>
      <c r="J1133" s="16" t="e">
        <f>#REF!</f>
        <v>#REF!</v>
      </c>
      <c r="K1133" s="16" t="s">
        <v>744</v>
      </c>
      <c r="L1133" s="16"/>
      <c r="M1133" s="16"/>
      <c r="N1133" s="16"/>
      <c r="O1133" s="16"/>
    </row>
    <row r="1134" spans="1:15" ht="22.5" customHeight="1" thickTop="1" thickBot="1" x14ac:dyDescent="0.25">
      <c r="A1134" s="16" t="e">
        <f>#REF!</f>
        <v>#REF!</v>
      </c>
      <c r="B1134" s="16" t="e">
        <f>#REF!</f>
        <v>#REF!</v>
      </c>
      <c r="C1134" s="16" t="e">
        <f>#REF!</f>
        <v>#REF!</v>
      </c>
      <c r="D1134" s="16" t="e">
        <f>#REF!</f>
        <v>#REF!</v>
      </c>
      <c r="E1134" s="16" t="e">
        <f>#REF!</f>
        <v>#REF!</v>
      </c>
      <c r="F1134" s="16" t="e">
        <f>#REF!</f>
        <v>#REF!</v>
      </c>
      <c r="G1134" s="16" t="e">
        <f>#REF!</f>
        <v>#REF!</v>
      </c>
      <c r="H1134" s="16" t="e">
        <f>#REF!</f>
        <v>#REF!</v>
      </c>
      <c r="I1134" s="16" t="e">
        <f>#REF!</f>
        <v>#REF!</v>
      </c>
      <c r="J1134" s="16" t="e">
        <f>#REF!</f>
        <v>#REF!</v>
      </c>
      <c r="K1134" s="16" t="s">
        <v>744</v>
      </c>
      <c r="L1134" s="16"/>
      <c r="M1134" s="16"/>
      <c r="N1134" s="16"/>
      <c r="O1134" s="16"/>
    </row>
    <row r="1135" spans="1:15" ht="22.5" customHeight="1" thickTop="1" thickBot="1" x14ac:dyDescent="0.25">
      <c r="A1135" s="16" t="e">
        <f>#REF!</f>
        <v>#REF!</v>
      </c>
      <c r="B1135" s="16" t="e">
        <f>#REF!</f>
        <v>#REF!</v>
      </c>
      <c r="C1135" s="16" t="e">
        <f>#REF!</f>
        <v>#REF!</v>
      </c>
      <c r="D1135" s="16" t="e">
        <f>#REF!</f>
        <v>#REF!</v>
      </c>
      <c r="E1135" s="16" t="e">
        <f>#REF!</f>
        <v>#REF!</v>
      </c>
      <c r="F1135" s="16" t="e">
        <f>#REF!</f>
        <v>#REF!</v>
      </c>
      <c r="G1135" s="16" t="e">
        <f>#REF!</f>
        <v>#REF!</v>
      </c>
      <c r="H1135" s="16" t="e">
        <f>#REF!</f>
        <v>#REF!</v>
      </c>
      <c r="I1135" s="16" t="e">
        <f>#REF!</f>
        <v>#REF!</v>
      </c>
      <c r="J1135" s="16" t="e">
        <f>#REF!</f>
        <v>#REF!</v>
      </c>
      <c r="K1135" s="16" t="s">
        <v>744</v>
      </c>
      <c r="L1135" s="16"/>
      <c r="M1135" s="16"/>
      <c r="N1135" s="16"/>
      <c r="O1135" s="16"/>
    </row>
    <row r="1136" spans="1:15" ht="22.5" customHeight="1" thickTop="1" thickBot="1" x14ac:dyDescent="0.25">
      <c r="A1136" s="16" t="e">
        <f>#REF!</f>
        <v>#REF!</v>
      </c>
      <c r="B1136" s="16" t="e">
        <f>#REF!</f>
        <v>#REF!</v>
      </c>
      <c r="C1136" s="16" t="e">
        <f>#REF!</f>
        <v>#REF!</v>
      </c>
      <c r="D1136" s="16" t="e">
        <f>#REF!</f>
        <v>#REF!</v>
      </c>
      <c r="E1136" s="16" t="e">
        <f>#REF!</f>
        <v>#REF!</v>
      </c>
      <c r="F1136" s="16" t="e">
        <f>#REF!</f>
        <v>#REF!</v>
      </c>
      <c r="G1136" s="16" t="e">
        <f>#REF!</f>
        <v>#REF!</v>
      </c>
      <c r="H1136" s="16" t="e">
        <f>#REF!</f>
        <v>#REF!</v>
      </c>
      <c r="I1136" s="16" t="e">
        <f>#REF!</f>
        <v>#REF!</v>
      </c>
      <c r="J1136" s="16" t="e">
        <f>#REF!</f>
        <v>#REF!</v>
      </c>
      <c r="K1136" s="16" t="s">
        <v>744</v>
      </c>
      <c r="L1136" s="16"/>
      <c r="M1136" s="16"/>
      <c r="N1136" s="16"/>
      <c r="O1136" s="16"/>
    </row>
    <row r="1137" spans="1:15" ht="22.5" customHeight="1" thickTop="1" thickBot="1" x14ac:dyDescent="0.25">
      <c r="A1137" s="16" t="e">
        <f>#REF!</f>
        <v>#REF!</v>
      </c>
      <c r="B1137" s="16" t="e">
        <f>#REF!</f>
        <v>#REF!</v>
      </c>
      <c r="C1137" s="16" t="e">
        <f>#REF!</f>
        <v>#REF!</v>
      </c>
      <c r="D1137" s="16" t="e">
        <f>#REF!</f>
        <v>#REF!</v>
      </c>
      <c r="E1137" s="16" t="e">
        <f>#REF!</f>
        <v>#REF!</v>
      </c>
      <c r="F1137" s="16" t="e">
        <f>#REF!</f>
        <v>#REF!</v>
      </c>
      <c r="G1137" s="16" t="e">
        <f>#REF!</f>
        <v>#REF!</v>
      </c>
      <c r="H1137" s="16" t="e">
        <f>#REF!</f>
        <v>#REF!</v>
      </c>
      <c r="I1137" s="16" t="e">
        <f>#REF!</f>
        <v>#REF!</v>
      </c>
      <c r="J1137" s="16" t="e">
        <f>#REF!</f>
        <v>#REF!</v>
      </c>
      <c r="K1137" s="16" t="s">
        <v>744</v>
      </c>
      <c r="L1137" s="16"/>
      <c r="M1137" s="16"/>
      <c r="N1137" s="16"/>
      <c r="O1137" s="16"/>
    </row>
    <row r="1138" spans="1:15" ht="22.5" customHeight="1" thickTop="1" thickBot="1" x14ac:dyDescent="0.25">
      <c r="A1138" s="16" t="e">
        <f>#REF!</f>
        <v>#REF!</v>
      </c>
      <c r="B1138" s="16" t="e">
        <f>#REF!</f>
        <v>#REF!</v>
      </c>
      <c r="C1138" s="16" t="e">
        <f>#REF!</f>
        <v>#REF!</v>
      </c>
      <c r="D1138" s="16" t="e">
        <f>#REF!</f>
        <v>#REF!</v>
      </c>
      <c r="E1138" s="16" t="e">
        <f>#REF!</f>
        <v>#REF!</v>
      </c>
      <c r="F1138" s="16" t="e">
        <f>#REF!</f>
        <v>#REF!</v>
      </c>
      <c r="G1138" s="16" t="e">
        <f>#REF!</f>
        <v>#REF!</v>
      </c>
      <c r="H1138" s="16" t="e">
        <f>#REF!</f>
        <v>#REF!</v>
      </c>
      <c r="I1138" s="16" t="e">
        <f>#REF!</f>
        <v>#REF!</v>
      </c>
      <c r="J1138" s="16" t="e">
        <f>#REF!</f>
        <v>#REF!</v>
      </c>
      <c r="K1138" s="16" t="s">
        <v>744</v>
      </c>
      <c r="L1138" s="16"/>
      <c r="M1138" s="16"/>
      <c r="N1138" s="16"/>
      <c r="O1138" s="16"/>
    </row>
    <row r="1139" spans="1:15" ht="22.5" customHeight="1" thickTop="1" thickBot="1" x14ac:dyDescent="0.25">
      <c r="A1139" s="16" t="e">
        <f>#REF!</f>
        <v>#REF!</v>
      </c>
      <c r="B1139" s="16" t="e">
        <f>#REF!</f>
        <v>#REF!</v>
      </c>
      <c r="C1139" s="16" t="e">
        <f>#REF!</f>
        <v>#REF!</v>
      </c>
      <c r="D1139" s="16" t="e">
        <f>#REF!</f>
        <v>#REF!</v>
      </c>
      <c r="E1139" s="16" t="e">
        <f>#REF!</f>
        <v>#REF!</v>
      </c>
      <c r="F1139" s="16" t="e">
        <f>#REF!</f>
        <v>#REF!</v>
      </c>
      <c r="G1139" s="16" t="e">
        <f>#REF!</f>
        <v>#REF!</v>
      </c>
      <c r="H1139" s="16" t="e">
        <f>#REF!</f>
        <v>#REF!</v>
      </c>
      <c r="I1139" s="16" t="e">
        <f>#REF!</f>
        <v>#REF!</v>
      </c>
      <c r="J1139" s="16" t="e">
        <f>#REF!</f>
        <v>#REF!</v>
      </c>
      <c r="K1139" s="16" t="s">
        <v>744</v>
      </c>
      <c r="L1139" s="16"/>
      <c r="M1139" s="16"/>
      <c r="N1139" s="16"/>
      <c r="O1139" s="16"/>
    </row>
    <row r="1140" spans="1:15" ht="22.5" customHeight="1" thickTop="1" thickBot="1" x14ac:dyDescent="0.25">
      <c r="A1140" s="16" t="e">
        <f>#REF!</f>
        <v>#REF!</v>
      </c>
      <c r="B1140" s="16" t="e">
        <f>#REF!</f>
        <v>#REF!</v>
      </c>
      <c r="C1140" s="16" t="e">
        <f>#REF!</f>
        <v>#REF!</v>
      </c>
      <c r="D1140" s="16" t="e">
        <f>#REF!</f>
        <v>#REF!</v>
      </c>
      <c r="E1140" s="16" t="e">
        <f>#REF!</f>
        <v>#REF!</v>
      </c>
      <c r="F1140" s="16" t="e">
        <f>#REF!</f>
        <v>#REF!</v>
      </c>
      <c r="G1140" s="16" t="e">
        <f>#REF!</f>
        <v>#REF!</v>
      </c>
      <c r="H1140" s="16" t="e">
        <f>#REF!</f>
        <v>#REF!</v>
      </c>
      <c r="I1140" s="16" t="e">
        <f>#REF!</f>
        <v>#REF!</v>
      </c>
      <c r="J1140" s="16" t="e">
        <f>#REF!</f>
        <v>#REF!</v>
      </c>
      <c r="K1140" s="16" t="s">
        <v>744</v>
      </c>
      <c r="L1140" s="16"/>
      <c r="M1140" s="16"/>
      <c r="N1140" s="16"/>
      <c r="O1140" s="16"/>
    </row>
    <row r="1141" spans="1:15" ht="22.5" customHeight="1" thickTop="1" thickBot="1" x14ac:dyDescent="0.25">
      <c r="A1141" s="16" t="e">
        <f>#REF!</f>
        <v>#REF!</v>
      </c>
      <c r="B1141" s="16" t="e">
        <f>#REF!</f>
        <v>#REF!</v>
      </c>
      <c r="C1141" s="16" t="e">
        <f>#REF!</f>
        <v>#REF!</v>
      </c>
      <c r="D1141" s="16" t="e">
        <f>#REF!</f>
        <v>#REF!</v>
      </c>
      <c r="E1141" s="16" t="e">
        <f>#REF!</f>
        <v>#REF!</v>
      </c>
      <c r="F1141" s="16" t="e">
        <f>#REF!</f>
        <v>#REF!</v>
      </c>
      <c r="G1141" s="16" t="e">
        <f>#REF!</f>
        <v>#REF!</v>
      </c>
      <c r="H1141" s="16" t="e">
        <f>#REF!</f>
        <v>#REF!</v>
      </c>
      <c r="I1141" s="16" t="e">
        <f>#REF!</f>
        <v>#REF!</v>
      </c>
      <c r="J1141" s="16" t="e">
        <f>#REF!</f>
        <v>#REF!</v>
      </c>
      <c r="K1141" s="16"/>
      <c r="L1141" s="16"/>
      <c r="M1141" s="16"/>
      <c r="N1141" s="16"/>
      <c r="O1141" s="16"/>
    </row>
    <row r="1142" spans="1:15" ht="22.5" customHeight="1" thickTop="1" thickBot="1" x14ac:dyDescent="0.25">
      <c r="A1142" s="16" t="e">
        <f>#REF!</f>
        <v>#REF!</v>
      </c>
      <c r="B1142" s="16" t="e">
        <f>#REF!</f>
        <v>#REF!</v>
      </c>
      <c r="C1142" s="16" t="e">
        <f>#REF!</f>
        <v>#REF!</v>
      </c>
      <c r="D1142" s="16" t="e">
        <f>#REF!</f>
        <v>#REF!</v>
      </c>
      <c r="E1142" s="16" t="e">
        <f>#REF!</f>
        <v>#REF!</v>
      </c>
      <c r="F1142" s="16" t="e">
        <f>#REF!</f>
        <v>#REF!</v>
      </c>
      <c r="G1142" s="16" t="e">
        <f>#REF!</f>
        <v>#REF!</v>
      </c>
      <c r="H1142" s="16" t="e">
        <f>#REF!</f>
        <v>#REF!</v>
      </c>
      <c r="I1142" s="16" t="e">
        <f>#REF!</f>
        <v>#REF!</v>
      </c>
      <c r="J1142" s="16" t="e">
        <f>#REF!</f>
        <v>#REF!</v>
      </c>
      <c r="K1142" s="16" t="s">
        <v>744</v>
      </c>
      <c r="L1142" s="16"/>
      <c r="M1142" s="16"/>
      <c r="N1142" s="16"/>
      <c r="O1142" s="16"/>
    </row>
    <row r="1143" spans="1:15" ht="22.5" customHeight="1" thickTop="1" thickBot="1" x14ac:dyDescent="0.25">
      <c r="A1143" s="16" t="e">
        <f>#REF!</f>
        <v>#REF!</v>
      </c>
      <c r="B1143" s="16" t="e">
        <f>#REF!</f>
        <v>#REF!</v>
      </c>
      <c r="C1143" s="16" t="e">
        <f>#REF!</f>
        <v>#REF!</v>
      </c>
      <c r="D1143" s="16" t="e">
        <f>#REF!</f>
        <v>#REF!</v>
      </c>
      <c r="E1143" s="16" t="e">
        <f>#REF!</f>
        <v>#REF!</v>
      </c>
      <c r="F1143" s="16" t="e">
        <f>#REF!</f>
        <v>#REF!</v>
      </c>
      <c r="G1143" s="16" t="e">
        <f>#REF!</f>
        <v>#REF!</v>
      </c>
      <c r="H1143" s="16" t="e">
        <f>#REF!</f>
        <v>#REF!</v>
      </c>
      <c r="I1143" s="16" t="e">
        <f>#REF!</f>
        <v>#REF!</v>
      </c>
      <c r="J1143" s="16" t="e">
        <f>#REF!</f>
        <v>#REF!</v>
      </c>
      <c r="K1143" s="16" t="s">
        <v>744</v>
      </c>
      <c r="L1143" s="16"/>
      <c r="M1143" s="16"/>
      <c r="N1143" s="16"/>
      <c r="O1143" s="16"/>
    </row>
    <row r="1144" spans="1:15" ht="22.5" customHeight="1" thickTop="1" thickBot="1" x14ac:dyDescent="0.25">
      <c r="A1144" s="16" t="e">
        <f>#REF!</f>
        <v>#REF!</v>
      </c>
      <c r="B1144" s="16" t="e">
        <f>#REF!</f>
        <v>#REF!</v>
      </c>
      <c r="C1144" s="16" t="e">
        <f>#REF!</f>
        <v>#REF!</v>
      </c>
      <c r="D1144" s="16" t="e">
        <f>#REF!</f>
        <v>#REF!</v>
      </c>
      <c r="E1144" s="16" t="e">
        <f>#REF!</f>
        <v>#REF!</v>
      </c>
      <c r="F1144" s="16" t="e">
        <f>#REF!</f>
        <v>#REF!</v>
      </c>
      <c r="G1144" s="16" t="e">
        <f>#REF!</f>
        <v>#REF!</v>
      </c>
      <c r="H1144" s="16" t="e">
        <f>#REF!</f>
        <v>#REF!</v>
      </c>
      <c r="I1144" s="16" t="e">
        <f>#REF!</f>
        <v>#REF!</v>
      </c>
      <c r="J1144" s="16" t="e">
        <f>#REF!</f>
        <v>#REF!</v>
      </c>
      <c r="K1144" s="16"/>
      <c r="L1144" s="16"/>
      <c r="M1144" s="16"/>
      <c r="N1144" s="16"/>
      <c r="O1144" s="16"/>
    </row>
    <row r="1145" spans="1:15" ht="22.5" customHeight="1" thickTop="1" thickBot="1" x14ac:dyDescent="0.25">
      <c r="A1145" s="16" t="e">
        <f>#REF!</f>
        <v>#REF!</v>
      </c>
      <c r="B1145" s="16" t="e">
        <f>#REF!</f>
        <v>#REF!</v>
      </c>
      <c r="C1145" s="16" t="e">
        <f>#REF!</f>
        <v>#REF!</v>
      </c>
      <c r="D1145" s="16" t="e">
        <f>#REF!</f>
        <v>#REF!</v>
      </c>
      <c r="E1145" s="16" t="e">
        <f>#REF!</f>
        <v>#REF!</v>
      </c>
      <c r="F1145" s="16" t="e">
        <f>#REF!</f>
        <v>#REF!</v>
      </c>
      <c r="G1145" s="16" t="e">
        <f>#REF!</f>
        <v>#REF!</v>
      </c>
      <c r="H1145" s="16" t="e">
        <f>#REF!</f>
        <v>#REF!</v>
      </c>
      <c r="I1145" s="16" t="e">
        <f>#REF!</f>
        <v>#REF!</v>
      </c>
      <c r="J1145" s="16" t="e">
        <f>#REF!</f>
        <v>#REF!</v>
      </c>
      <c r="K1145" s="16"/>
      <c r="L1145" s="16"/>
      <c r="M1145" s="16"/>
      <c r="N1145" s="16"/>
      <c r="O1145" s="16"/>
    </row>
    <row r="1146" spans="1:15" ht="22.5" customHeight="1" thickTop="1" thickBot="1" x14ac:dyDescent="0.25">
      <c r="A1146" s="16" t="e">
        <f>#REF!</f>
        <v>#REF!</v>
      </c>
      <c r="B1146" s="16" t="e">
        <f>#REF!</f>
        <v>#REF!</v>
      </c>
      <c r="C1146" s="16" t="e">
        <f>#REF!</f>
        <v>#REF!</v>
      </c>
      <c r="D1146" s="16" t="e">
        <f>#REF!</f>
        <v>#REF!</v>
      </c>
      <c r="E1146" s="16" t="e">
        <f>#REF!</f>
        <v>#REF!</v>
      </c>
      <c r="F1146" s="16" t="e">
        <f>#REF!</f>
        <v>#REF!</v>
      </c>
      <c r="G1146" s="16" t="e">
        <f>#REF!</f>
        <v>#REF!</v>
      </c>
      <c r="H1146" s="16" t="e">
        <f>#REF!</f>
        <v>#REF!</v>
      </c>
      <c r="I1146" s="16" t="e">
        <f>#REF!</f>
        <v>#REF!</v>
      </c>
      <c r="J1146" s="16" t="e">
        <f>#REF!</f>
        <v>#REF!</v>
      </c>
      <c r="K1146" s="16"/>
      <c r="L1146" s="16"/>
      <c r="M1146" s="16"/>
      <c r="N1146" s="16"/>
      <c r="O1146" s="16"/>
    </row>
    <row r="1147" spans="1:15" ht="22.5" customHeight="1" thickTop="1" thickBot="1" x14ac:dyDescent="0.25">
      <c r="A1147" s="16" t="e">
        <f>#REF!</f>
        <v>#REF!</v>
      </c>
      <c r="B1147" s="16" t="e">
        <f>#REF!</f>
        <v>#REF!</v>
      </c>
      <c r="C1147" s="16" t="e">
        <f>#REF!</f>
        <v>#REF!</v>
      </c>
      <c r="D1147" s="16" t="e">
        <f>#REF!</f>
        <v>#REF!</v>
      </c>
      <c r="E1147" s="16" t="e">
        <f>#REF!</f>
        <v>#REF!</v>
      </c>
      <c r="F1147" s="16" t="e">
        <f>#REF!</f>
        <v>#REF!</v>
      </c>
      <c r="G1147" s="16" t="e">
        <f>#REF!</f>
        <v>#REF!</v>
      </c>
      <c r="H1147" s="16" t="e">
        <f>#REF!</f>
        <v>#REF!</v>
      </c>
      <c r="I1147" s="16" t="e">
        <f>#REF!</f>
        <v>#REF!</v>
      </c>
      <c r="J1147" s="16" t="e">
        <f>#REF!</f>
        <v>#REF!</v>
      </c>
      <c r="K1147" s="16"/>
      <c r="L1147" s="16"/>
      <c r="M1147" s="16"/>
      <c r="N1147" s="16"/>
      <c r="O1147" s="16"/>
    </row>
    <row r="1148" spans="1:15" ht="22.5" customHeight="1" thickTop="1" thickBot="1" x14ac:dyDescent="0.25">
      <c r="A1148" s="16" t="e">
        <f>#REF!</f>
        <v>#REF!</v>
      </c>
      <c r="B1148" s="16" t="e">
        <f>#REF!</f>
        <v>#REF!</v>
      </c>
      <c r="C1148" s="16" t="e">
        <f>#REF!</f>
        <v>#REF!</v>
      </c>
      <c r="D1148" s="16" t="e">
        <f>#REF!</f>
        <v>#REF!</v>
      </c>
      <c r="E1148" s="16" t="e">
        <f>#REF!</f>
        <v>#REF!</v>
      </c>
      <c r="F1148" s="16" t="e">
        <f>#REF!</f>
        <v>#REF!</v>
      </c>
      <c r="G1148" s="16" t="e">
        <f>#REF!</f>
        <v>#REF!</v>
      </c>
      <c r="H1148" s="16" t="e">
        <f>#REF!</f>
        <v>#REF!</v>
      </c>
      <c r="I1148" s="16" t="e">
        <f>#REF!</f>
        <v>#REF!</v>
      </c>
      <c r="J1148" s="16" t="e">
        <f>#REF!</f>
        <v>#REF!</v>
      </c>
      <c r="K1148" s="16"/>
      <c r="L1148" s="16"/>
      <c r="M1148" s="16"/>
      <c r="N1148" s="16"/>
      <c r="O1148" s="16"/>
    </row>
    <row r="1149" spans="1:15" ht="22.5" customHeight="1" thickTop="1" thickBot="1" x14ac:dyDescent="0.25">
      <c r="A1149" s="16" t="e">
        <f>#REF!</f>
        <v>#REF!</v>
      </c>
      <c r="B1149" s="16" t="e">
        <f>#REF!</f>
        <v>#REF!</v>
      </c>
      <c r="C1149" s="16" t="e">
        <f>#REF!</f>
        <v>#REF!</v>
      </c>
      <c r="D1149" s="16" t="e">
        <f>#REF!</f>
        <v>#REF!</v>
      </c>
      <c r="E1149" s="16" t="e">
        <f>#REF!</f>
        <v>#REF!</v>
      </c>
      <c r="F1149" s="16" t="e">
        <f>#REF!</f>
        <v>#REF!</v>
      </c>
      <c r="G1149" s="16" t="e">
        <f>#REF!</f>
        <v>#REF!</v>
      </c>
      <c r="H1149" s="16" t="e">
        <f>#REF!</f>
        <v>#REF!</v>
      </c>
      <c r="I1149" s="16" t="e">
        <f>#REF!</f>
        <v>#REF!</v>
      </c>
      <c r="J1149" s="16" t="e">
        <f>#REF!</f>
        <v>#REF!</v>
      </c>
      <c r="K1149" s="16"/>
      <c r="L1149" s="16"/>
      <c r="M1149" s="16"/>
      <c r="N1149" s="16"/>
      <c r="O1149" s="16"/>
    </row>
    <row r="1150" spans="1:15" ht="22.5" customHeight="1" thickTop="1" thickBot="1" x14ac:dyDescent="0.25">
      <c r="A1150" s="16" t="e">
        <f>#REF!</f>
        <v>#REF!</v>
      </c>
      <c r="B1150" s="16" t="e">
        <f>#REF!</f>
        <v>#REF!</v>
      </c>
      <c r="C1150" s="16" t="e">
        <f>#REF!</f>
        <v>#REF!</v>
      </c>
      <c r="D1150" s="16" t="e">
        <f>#REF!</f>
        <v>#REF!</v>
      </c>
      <c r="E1150" s="16" t="e">
        <f>#REF!</f>
        <v>#REF!</v>
      </c>
      <c r="F1150" s="16" t="e">
        <f>#REF!</f>
        <v>#REF!</v>
      </c>
      <c r="G1150" s="16" t="e">
        <f>#REF!</f>
        <v>#REF!</v>
      </c>
      <c r="H1150" s="16" t="e">
        <f>#REF!</f>
        <v>#REF!</v>
      </c>
      <c r="I1150" s="16" t="e">
        <f>#REF!</f>
        <v>#REF!</v>
      </c>
      <c r="J1150" s="16" t="e">
        <f>#REF!</f>
        <v>#REF!</v>
      </c>
      <c r="K1150" s="16"/>
      <c r="L1150" s="16"/>
      <c r="M1150" s="16"/>
      <c r="N1150" s="16"/>
      <c r="O1150" s="16"/>
    </row>
    <row r="1151" spans="1:15" ht="22.5" customHeight="1" thickTop="1" thickBot="1" x14ac:dyDescent="0.25">
      <c r="A1151" s="16" t="e">
        <f>#REF!</f>
        <v>#REF!</v>
      </c>
      <c r="B1151" s="16" t="e">
        <f>#REF!</f>
        <v>#REF!</v>
      </c>
      <c r="C1151" s="16" t="e">
        <f>#REF!</f>
        <v>#REF!</v>
      </c>
      <c r="D1151" s="16" t="e">
        <f>#REF!</f>
        <v>#REF!</v>
      </c>
      <c r="E1151" s="16" t="e">
        <f>#REF!</f>
        <v>#REF!</v>
      </c>
      <c r="F1151" s="16" t="e">
        <f>#REF!</f>
        <v>#REF!</v>
      </c>
      <c r="G1151" s="16" t="e">
        <f>#REF!</f>
        <v>#REF!</v>
      </c>
      <c r="H1151" s="16" t="e">
        <f>#REF!</f>
        <v>#REF!</v>
      </c>
      <c r="I1151" s="16" t="e">
        <f>#REF!</f>
        <v>#REF!</v>
      </c>
      <c r="J1151" s="16" t="e">
        <f>#REF!</f>
        <v>#REF!</v>
      </c>
      <c r="K1151" s="16"/>
      <c r="L1151" s="16"/>
      <c r="M1151" s="16"/>
      <c r="N1151" s="16"/>
      <c r="O1151" s="16"/>
    </row>
    <row r="1152" spans="1:15" ht="22.5" customHeight="1" thickTop="1" thickBot="1" x14ac:dyDescent="0.25">
      <c r="A1152" s="16" t="e">
        <f>#REF!</f>
        <v>#REF!</v>
      </c>
      <c r="B1152" s="16" t="e">
        <f>#REF!</f>
        <v>#REF!</v>
      </c>
      <c r="C1152" s="16" t="e">
        <f>#REF!</f>
        <v>#REF!</v>
      </c>
      <c r="D1152" s="16" t="e">
        <f>#REF!</f>
        <v>#REF!</v>
      </c>
      <c r="E1152" s="16" t="e">
        <f>#REF!</f>
        <v>#REF!</v>
      </c>
      <c r="F1152" s="16" t="e">
        <f>#REF!</f>
        <v>#REF!</v>
      </c>
      <c r="G1152" s="16" t="e">
        <f>#REF!</f>
        <v>#REF!</v>
      </c>
      <c r="H1152" s="16" t="e">
        <f>#REF!</f>
        <v>#REF!</v>
      </c>
      <c r="I1152" s="16" t="e">
        <f>#REF!</f>
        <v>#REF!</v>
      </c>
      <c r="J1152" s="16" t="e">
        <f>#REF!</f>
        <v>#REF!</v>
      </c>
      <c r="K1152" s="16"/>
      <c r="L1152" s="16"/>
      <c r="M1152" s="16"/>
      <c r="N1152" s="16"/>
      <c r="O1152" s="16"/>
    </row>
    <row r="1153" spans="1:15" ht="22.5" customHeight="1" thickTop="1" thickBot="1" x14ac:dyDescent="0.25">
      <c r="A1153" s="16" t="e">
        <f>#REF!</f>
        <v>#REF!</v>
      </c>
      <c r="B1153" s="16" t="e">
        <f>#REF!</f>
        <v>#REF!</v>
      </c>
      <c r="C1153" s="16" t="e">
        <f>#REF!</f>
        <v>#REF!</v>
      </c>
      <c r="D1153" s="16" t="e">
        <f>#REF!</f>
        <v>#REF!</v>
      </c>
      <c r="E1153" s="16" t="e">
        <f>#REF!</f>
        <v>#REF!</v>
      </c>
      <c r="F1153" s="16" t="e">
        <f>#REF!</f>
        <v>#REF!</v>
      </c>
      <c r="G1153" s="16" t="e">
        <f>#REF!</f>
        <v>#REF!</v>
      </c>
      <c r="H1153" s="16" t="e">
        <f>#REF!</f>
        <v>#REF!</v>
      </c>
      <c r="I1153" s="16" t="e">
        <f>#REF!</f>
        <v>#REF!</v>
      </c>
      <c r="J1153" s="16" t="e">
        <f>#REF!</f>
        <v>#REF!</v>
      </c>
      <c r="K1153" s="16"/>
      <c r="L1153" s="16"/>
      <c r="M1153" s="16"/>
      <c r="N1153" s="16"/>
      <c r="O1153" s="16"/>
    </row>
    <row r="1154" spans="1:15" ht="22.5" customHeight="1" thickTop="1" thickBot="1" x14ac:dyDescent="0.25">
      <c r="A1154" s="16" t="e">
        <f>#REF!</f>
        <v>#REF!</v>
      </c>
      <c r="B1154" s="16" t="e">
        <f>#REF!</f>
        <v>#REF!</v>
      </c>
      <c r="C1154" s="16" t="e">
        <f>#REF!</f>
        <v>#REF!</v>
      </c>
      <c r="D1154" s="16" t="e">
        <f>#REF!</f>
        <v>#REF!</v>
      </c>
      <c r="E1154" s="16" t="e">
        <f>#REF!</f>
        <v>#REF!</v>
      </c>
      <c r="F1154" s="16" t="e">
        <f>#REF!</f>
        <v>#REF!</v>
      </c>
      <c r="G1154" s="16" t="e">
        <f>#REF!</f>
        <v>#REF!</v>
      </c>
      <c r="H1154" s="16" t="e">
        <f>#REF!</f>
        <v>#REF!</v>
      </c>
      <c r="I1154" s="16" t="e">
        <f>#REF!</f>
        <v>#REF!</v>
      </c>
      <c r="J1154" s="16" t="e">
        <f>#REF!</f>
        <v>#REF!</v>
      </c>
      <c r="K1154" s="16"/>
      <c r="L1154" s="16"/>
      <c r="M1154" s="16"/>
      <c r="N1154" s="16"/>
      <c r="O1154" s="16"/>
    </row>
    <row r="1155" spans="1:15" ht="22.5" customHeight="1" thickTop="1" thickBot="1" x14ac:dyDescent="0.25">
      <c r="A1155" s="16" t="e">
        <f>#REF!</f>
        <v>#REF!</v>
      </c>
      <c r="B1155" s="16" t="e">
        <f>#REF!</f>
        <v>#REF!</v>
      </c>
      <c r="C1155" s="16" t="e">
        <f>#REF!</f>
        <v>#REF!</v>
      </c>
      <c r="D1155" s="16" t="e">
        <f>#REF!</f>
        <v>#REF!</v>
      </c>
      <c r="E1155" s="16" t="e">
        <f>#REF!</f>
        <v>#REF!</v>
      </c>
      <c r="F1155" s="16" t="e">
        <f>#REF!</f>
        <v>#REF!</v>
      </c>
      <c r="G1155" s="16" t="e">
        <f>#REF!</f>
        <v>#REF!</v>
      </c>
      <c r="H1155" s="16" t="e">
        <f>#REF!</f>
        <v>#REF!</v>
      </c>
      <c r="I1155" s="16" t="e">
        <f>#REF!</f>
        <v>#REF!</v>
      </c>
      <c r="J1155" s="16" t="e">
        <f>#REF!</f>
        <v>#REF!</v>
      </c>
      <c r="K1155" s="16"/>
      <c r="L1155" s="16"/>
      <c r="M1155" s="16"/>
      <c r="N1155" s="16"/>
      <c r="O1155" s="16"/>
    </row>
    <row r="1156" spans="1:15" ht="22.5" customHeight="1" thickTop="1" thickBot="1" x14ac:dyDescent="0.25">
      <c r="A1156" s="16" t="e">
        <f>#REF!</f>
        <v>#REF!</v>
      </c>
      <c r="B1156" s="16" t="e">
        <f>#REF!</f>
        <v>#REF!</v>
      </c>
      <c r="C1156" s="16" t="e">
        <f>#REF!</f>
        <v>#REF!</v>
      </c>
      <c r="D1156" s="16" t="e">
        <f>#REF!</f>
        <v>#REF!</v>
      </c>
      <c r="E1156" s="16" t="e">
        <f>#REF!</f>
        <v>#REF!</v>
      </c>
      <c r="F1156" s="16" t="e">
        <f>#REF!</f>
        <v>#REF!</v>
      </c>
      <c r="G1156" s="16" t="e">
        <f>#REF!</f>
        <v>#REF!</v>
      </c>
      <c r="H1156" s="16" t="e">
        <f>#REF!</f>
        <v>#REF!</v>
      </c>
      <c r="I1156" s="16" t="e">
        <f>#REF!</f>
        <v>#REF!</v>
      </c>
      <c r="J1156" s="16" t="e">
        <f>#REF!</f>
        <v>#REF!</v>
      </c>
      <c r="K1156" s="16"/>
      <c r="L1156" s="16"/>
      <c r="M1156" s="16"/>
      <c r="N1156" s="16"/>
      <c r="O1156" s="16"/>
    </row>
    <row r="1157" spans="1:15" ht="22.5" customHeight="1" thickTop="1" thickBot="1" x14ac:dyDescent="0.25">
      <c r="A1157" s="16" t="e">
        <f>#REF!</f>
        <v>#REF!</v>
      </c>
      <c r="B1157" s="16" t="e">
        <f>#REF!</f>
        <v>#REF!</v>
      </c>
      <c r="C1157" s="16" t="e">
        <f>#REF!</f>
        <v>#REF!</v>
      </c>
      <c r="D1157" s="16" t="e">
        <f>#REF!</f>
        <v>#REF!</v>
      </c>
      <c r="E1157" s="16" t="e">
        <f>#REF!</f>
        <v>#REF!</v>
      </c>
      <c r="F1157" s="16" t="e">
        <f>#REF!</f>
        <v>#REF!</v>
      </c>
      <c r="G1157" s="16" t="e">
        <f>#REF!</f>
        <v>#REF!</v>
      </c>
      <c r="H1157" s="16" t="e">
        <f>#REF!</f>
        <v>#REF!</v>
      </c>
      <c r="I1157" s="16" t="e">
        <f>#REF!</f>
        <v>#REF!</v>
      </c>
      <c r="J1157" s="16" t="e">
        <f>#REF!</f>
        <v>#REF!</v>
      </c>
      <c r="K1157" s="16"/>
      <c r="L1157" s="16"/>
      <c r="M1157" s="16"/>
      <c r="N1157" s="16"/>
      <c r="O1157" s="16"/>
    </row>
    <row r="1158" spans="1:15" ht="22.5" customHeight="1" thickTop="1" thickBot="1" x14ac:dyDescent="0.25">
      <c r="A1158" s="16" t="e">
        <f>#REF!</f>
        <v>#REF!</v>
      </c>
      <c r="B1158" s="16" t="e">
        <f>#REF!</f>
        <v>#REF!</v>
      </c>
      <c r="C1158" s="16" t="e">
        <f>#REF!</f>
        <v>#REF!</v>
      </c>
      <c r="D1158" s="16" t="e">
        <f>#REF!</f>
        <v>#REF!</v>
      </c>
      <c r="E1158" s="16" t="e">
        <f>#REF!</f>
        <v>#REF!</v>
      </c>
      <c r="F1158" s="16" t="e">
        <f>#REF!</f>
        <v>#REF!</v>
      </c>
      <c r="G1158" s="16" t="e">
        <f>#REF!</f>
        <v>#REF!</v>
      </c>
      <c r="H1158" s="16" t="e">
        <f>#REF!</f>
        <v>#REF!</v>
      </c>
      <c r="I1158" s="16" t="e">
        <f>#REF!</f>
        <v>#REF!</v>
      </c>
      <c r="J1158" s="16" t="e">
        <f>#REF!</f>
        <v>#REF!</v>
      </c>
      <c r="K1158" s="16"/>
      <c r="L1158" s="16"/>
      <c r="M1158" s="16"/>
      <c r="N1158" s="16"/>
      <c r="O1158" s="16"/>
    </row>
    <row r="1159" spans="1:15" ht="22.5" customHeight="1" thickTop="1" thickBot="1" x14ac:dyDescent="0.25">
      <c r="A1159" s="16" t="e">
        <f>#REF!</f>
        <v>#REF!</v>
      </c>
      <c r="B1159" s="16" t="e">
        <f>#REF!</f>
        <v>#REF!</v>
      </c>
      <c r="C1159" s="16" t="e">
        <f>#REF!</f>
        <v>#REF!</v>
      </c>
      <c r="D1159" s="16" t="e">
        <f>#REF!</f>
        <v>#REF!</v>
      </c>
      <c r="E1159" s="16" t="e">
        <f>#REF!</f>
        <v>#REF!</v>
      </c>
      <c r="F1159" s="16" t="e">
        <f>#REF!</f>
        <v>#REF!</v>
      </c>
      <c r="G1159" s="16" t="e">
        <f>#REF!</f>
        <v>#REF!</v>
      </c>
      <c r="H1159" s="16" t="e">
        <f>#REF!</f>
        <v>#REF!</v>
      </c>
      <c r="I1159" s="16" t="e">
        <f>#REF!</f>
        <v>#REF!</v>
      </c>
      <c r="J1159" s="16" t="e">
        <f>#REF!</f>
        <v>#REF!</v>
      </c>
      <c r="K1159" s="16"/>
      <c r="L1159" s="16"/>
      <c r="M1159" s="16"/>
      <c r="N1159" s="16"/>
      <c r="O1159" s="16"/>
    </row>
    <row r="1160" spans="1:15" ht="22.5" customHeight="1" thickTop="1" thickBot="1" x14ac:dyDescent="0.25">
      <c r="A1160" s="16" t="e">
        <f>#REF!</f>
        <v>#REF!</v>
      </c>
      <c r="B1160" s="16" t="e">
        <f>#REF!</f>
        <v>#REF!</v>
      </c>
      <c r="C1160" s="16" t="e">
        <f>#REF!</f>
        <v>#REF!</v>
      </c>
      <c r="D1160" s="16" t="e">
        <f>#REF!</f>
        <v>#REF!</v>
      </c>
      <c r="E1160" s="16" t="e">
        <f>#REF!</f>
        <v>#REF!</v>
      </c>
      <c r="F1160" s="16" t="e">
        <f>#REF!</f>
        <v>#REF!</v>
      </c>
      <c r="G1160" s="16" t="e">
        <f>#REF!</f>
        <v>#REF!</v>
      </c>
      <c r="H1160" s="16" t="e">
        <f>#REF!</f>
        <v>#REF!</v>
      </c>
      <c r="I1160" s="16" t="e">
        <f>#REF!</f>
        <v>#REF!</v>
      </c>
      <c r="J1160" s="16" t="e">
        <f>#REF!</f>
        <v>#REF!</v>
      </c>
      <c r="K1160" s="16"/>
      <c r="L1160" s="16"/>
      <c r="M1160" s="16"/>
      <c r="N1160" s="16"/>
      <c r="O1160" s="16"/>
    </row>
    <row r="1161" spans="1:15" ht="22.5" customHeight="1" thickTop="1" thickBot="1" x14ac:dyDescent="0.25">
      <c r="A1161" s="16" t="e">
        <f>#REF!</f>
        <v>#REF!</v>
      </c>
      <c r="B1161" s="16" t="e">
        <f>#REF!</f>
        <v>#REF!</v>
      </c>
      <c r="C1161" s="16" t="e">
        <f>#REF!</f>
        <v>#REF!</v>
      </c>
      <c r="D1161" s="16" t="e">
        <f>#REF!</f>
        <v>#REF!</v>
      </c>
      <c r="E1161" s="16" t="e">
        <f>#REF!</f>
        <v>#REF!</v>
      </c>
      <c r="F1161" s="16" t="e">
        <f>#REF!</f>
        <v>#REF!</v>
      </c>
      <c r="G1161" s="16" t="e">
        <f>#REF!</f>
        <v>#REF!</v>
      </c>
      <c r="H1161" s="16" t="e">
        <f>#REF!</f>
        <v>#REF!</v>
      </c>
      <c r="I1161" s="16" t="e">
        <f>#REF!</f>
        <v>#REF!</v>
      </c>
      <c r="J1161" s="16" t="e">
        <f>#REF!</f>
        <v>#REF!</v>
      </c>
      <c r="K1161" s="16"/>
      <c r="L1161" s="16"/>
      <c r="M1161" s="16"/>
      <c r="N1161" s="16"/>
      <c r="O1161" s="16"/>
    </row>
    <row r="1162" spans="1:15" ht="22.5" customHeight="1" thickTop="1" thickBot="1" x14ac:dyDescent="0.25">
      <c r="A1162" s="16" t="e">
        <f>#REF!</f>
        <v>#REF!</v>
      </c>
      <c r="B1162" s="16" t="e">
        <f>#REF!</f>
        <v>#REF!</v>
      </c>
      <c r="C1162" s="16" t="e">
        <f>#REF!</f>
        <v>#REF!</v>
      </c>
      <c r="D1162" s="16" t="e">
        <f>#REF!</f>
        <v>#REF!</v>
      </c>
      <c r="E1162" s="16" t="e">
        <f>#REF!</f>
        <v>#REF!</v>
      </c>
      <c r="F1162" s="16" t="e">
        <f>#REF!</f>
        <v>#REF!</v>
      </c>
      <c r="G1162" s="16" t="e">
        <f>#REF!</f>
        <v>#REF!</v>
      </c>
      <c r="H1162" s="16" t="e">
        <f>#REF!</f>
        <v>#REF!</v>
      </c>
      <c r="I1162" s="16" t="e">
        <f>#REF!</f>
        <v>#REF!</v>
      </c>
      <c r="J1162" s="16" t="e">
        <f>#REF!</f>
        <v>#REF!</v>
      </c>
      <c r="K1162" s="16"/>
      <c r="L1162" s="16"/>
      <c r="M1162" s="16"/>
      <c r="N1162" s="16"/>
      <c r="O1162" s="16"/>
    </row>
    <row r="1163" spans="1:15" ht="22.5" customHeight="1" thickTop="1" thickBot="1" x14ac:dyDescent="0.25">
      <c r="A1163" s="16" t="e">
        <f>#REF!</f>
        <v>#REF!</v>
      </c>
      <c r="B1163" s="16" t="e">
        <f>#REF!</f>
        <v>#REF!</v>
      </c>
      <c r="C1163" s="16" t="e">
        <f>#REF!</f>
        <v>#REF!</v>
      </c>
      <c r="D1163" s="16" t="e">
        <f>#REF!</f>
        <v>#REF!</v>
      </c>
      <c r="E1163" s="16" t="e">
        <f>#REF!</f>
        <v>#REF!</v>
      </c>
      <c r="F1163" s="16" t="e">
        <f>#REF!</f>
        <v>#REF!</v>
      </c>
      <c r="G1163" s="16" t="e">
        <f>#REF!</f>
        <v>#REF!</v>
      </c>
      <c r="H1163" s="16" t="e">
        <f>#REF!</f>
        <v>#REF!</v>
      </c>
      <c r="I1163" s="16" t="e">
        <f>#REF!</f>
        <v>#REF!</v>
      </c>
      <c r="J1163" s="16" t="e">
        <f>#REF!</f>
        <v>#REF!</v>
      </c>
      <c r="K1163" s="16"/>
      <c r="L1163" s="16"/>
      <c r="M1163" s="16"/>
      <c r="N1163" s="16"/>
      <c r="O1163" s="16"/>
    </row>
    <row r="1164" spans="1:15" ht="22.5" customHeight="1" thickTop="1" thickBot="1" x14ac:dyDescent="0.25">
      <c r="A1164" s="16" t="e">
        <f>#REF!</f>
        <v>#REF!</v>
      </c>
      <c r="B1164" s="16" t="e">
        <f>#REF!</f>
        <v>#REF!</v>
      </c>
      <c r="C1164" s="16" t="e">
        <f>#REF!</f>
        <v>#REF!</v>
      </c>
      <c r="D1164" s="16" t="e">
        <f>#REF!</f>
        <v>#REF!</v>
      </c>
      <c r="E1164" s="16" t="e">
        <f>#REF!</f>
        <v>#REF!</v>
      </c>
      <c r="F1164" s="16" t="e">
        <f>#REF!</f>
        <v>#REF!</v>
      </c>
      <c r="G1164" s="16" t="e">
        <f>#REF!</f>
        <v>#REF!</v>
      </c>
      <c r="H1164" s="16" t="e">
        <f>#REF!</f>
        <v>#REF!</v>
      </c>
      <c r="I1164" s="16" t="e">
        <f>#REF!</f>
        <v>#REF!</v>
      </c>
      <c r="J1164" s="16" t="e">
        <f>#REF!</f>
        <v>#REF!</v>
      </c>
      <c r="K1164" s="16"/>
      <c r="L1164" s="16"/>
      <c r="M1164" s="16"/>
      <c r="N1164" s="16"/>
      <c r="O1164" s="16"/>
    </row>
    <row r="1165" spans="1:15" ht="22.5" customHeight="1" thickTop="1" thickBot="1" x14ac:dyDescent="0.25">
      <c r="A1165" s="16" t="e">
        <f>#REF!</f>
        <v>#REF!</v>
      </c>
      <c r="B1165" s="16" t="e">
        <f>#REF!</f>
        <v>#REF!</v>
      </c>
      <c r="C1165" s="16" t="e">
        <f>#REF!</f>
        <v>#REF!</v>
      </c>
      <c r="D1165" s="16" t="e">
        <f>#REF!</f>
        <v>#REF!</v>
      </c>
      <c r="E1165" s="16" t="e">
        <f>#REF!</f>
        <v>#REF!</v>
      </c>
      <c r="F1165" s="16" t="e">
        <f>#REF!</f>
        <v>#REF!</v>
      </c>
      <c r="G1165" s="16" t="e">
        <f>#REF!</f>
        <v>#REF!</v>
      </c>
      <c r="H1165" s="16" t="e">
        <f>#REF!</f>
        <v>#REF!</v>
      </c>
      <c r="I1165" s="16" t="e">
        <f>#REF!</f>
        <v>#REF!</v>
      </c>
      <c r="J1165" s="16" t="e">
        <f>#REF!</f>
        <v>#REF!</v>
      </c>
      <c r="K1165" s="16"/>
      <c r="L1165" s="16"/>
      <c r="M1165" s="16"/>
      <c r="N1165" s="16"/>
      <c r="O1165" s="16"/>
    </row>
    <row r="1166" spans="1:15" ht="22.5" customHeight="1" thickTop="1" thickBot="1" x14ac:dyDescent="0.25">
      <c r="A1166" s="16" t="e">
        <f>#REF!</f>
        <v>#REF!</v>
      </c>
      <c r="B1166" s="16" t="e">
        <f>#REF!</f>
        <v>#REF!</v>
      </c>
      <c r="C1166" s="16" t="e">
        <f>#REF!</f>
        <v>#REF!</v>
      </c>
      <c r="D1166" s="16" t="e">
        <f>#REF!</f>
        <v>#REF!</v>
      </c>
      <c r="E1166" s="16" t="e">
        <f>#REF!</f>
        <v>#REF!</v>
      </c>
      <c r="F1166" s="16" t="e">
        <f>#REF!</f>
        <v>#REF!</v>
      </c>
      <c r="G1166" s="16" t="e">
        <f>#REF!</f>
        <v>#REF!</v>
      </c>
      <c r="H1166" s="16" t="e">
        <f>#REF!</f>
        <v>#REF!</v>
      </c>
      <c r="I1166" s="16" t="e">
        <f>#REF!</f>
        <v>#REF!</v>
      </c>
      <c r="J1166" s="16" t="e">
        <f>#REF!</f>
        <v>#REF!</v>
      </c>
      <c r="K1166" s="16" t="s">
        <v>752</v>
      </c>
      <c r="L1166" s="16"/>
      <c r="M1166" s="16"/>
      <c r="N1166" s="16"/>
      <c r="O1166" s="16"/>
    </row>
    <row r="1167" spans="1:15" ht="22.5" customHeight="1" thickTop="1" thickBot="1" x14ac:dyDescent="0.25">
      <c r="A1167" s="16" t="e">
        <f>#REF!</f>
        <v>#REF!</v>
      </c>
      <c r="B1167" s="16" t="e">
        <f>#REF!</f>
        <v>#REF!</v>
      </c>
      <c r="C1167" s="16" t="e">
        <f>#REF!</f>
        <v>#REF!</v>
      </c>
      <c r="D1167" s="16" t="e">
        <f>#REF!</f>
        <v>#REF!</v>
      </c>
      <c r="E1167" s="16" t="e">
        <f>#REF!</f>
        <v>#REF!</v>
      </c>
      <c r="F1167" s="16" t="e">
        <f>#REF!</f>
        <v>#REF!</v>
      </c>
      <c r="G1167" s="16" t="e">
        <f>#REF!</f>
        <v>#REF!</v>
      </c>
      <c r="H1167" s="16" t="e">
        <f>#REF!</f>
        <v>#REF!</v>
      </c>
      <c r="I1167" s="16" t="e">
        <f>#REF!</f>
        <v>#REF!</v>
      </c>
      <c r="J1167" s="16" t="e">
        <f>#REF!</f>
        <v>#REF!</v>
      </c>
      <c r="K1167" s="16" t="s">
        <v>752</v>
      </c>
      <c r="L1167" s="16"/>
      <c r="M1167" s="16"/>
      <c r="N1167" s="16"/>
      <c r="O1167" s="16"/>
    </row>
    <row r="1168" spans="1:15" ht="22.5" customHeight="1" thickTop="1" thickBot="1" x14ac:dyDescent="0.25">
      <c r="A1168" s="16" t="e">
        <f>#REF!</f>
        <v>#REF!</v>
      </c>
      <c r="B1168" s="16" t="e">
        <f>#REF!</f>
        <v>#REF!</v>
      </c>
      <c r="C1168" s="16" t="e">
        <f>#REF!</f>
        <v>#REF!</v>
      </c>
      <c r="D1168" s="16" t="e">
        <f>#REF!</f>
        <v>#REF!</v>
      </c>
      <c r="E1168" s="16" t="e">
        <f>#REF!</f>
        <v>#REF!</v>
      </c>
      <c r="F1168" s="16" t="e">
        <f>#REF!</f>
        <v>#REF!</v>
      </c>
      <c r="G1168" s="16" t="e">
        <f>#REF!</f>
        <v>#REF!</v>
      </c>
      <c r="H1168" s="16" t="e">
        <f>#REF!</f>
        <v>#REF!</v>
      </c>
      <c r="I1168" s="16" t="e">
        <f>#REF!</f>
        <v>#REF!</v>
      </c>
      <c r="J1168" s="16" t="e">
        <f>#REF!</f>
        <v>#REF!</v>
      </c>
      <c r="K1168" s="16" t="s">
        <v>752</v>
      </c>
      <c r="L1168" s="16"/>
      <c r="M1168" s="16"/>
      <c r="N1168" s="16"/>
      <c r="O1168" s="16"/>
    </row>
    <row r="1169" spans="1:15" ht="22.5" customHeight="1" thickTop="1" thickBot="1" x14ac:dyDescent="0.25">
      <c r="A1169" s="16" t="e">
        <f>#REF!</f>
        <v>#REF!</v>
      </c>
      <c r="B1169" s="16" t="e">
        <f>#REF!</f>
        <v>#REF!</v>
      </c>
      <c r="C1169" s="16" t="e">
        <f>#REF!</f>
        <v>#REF!</v>
      </c>
      <c r="D1169" s="16" t="e">
        <f>#REF!</f>
        <v>#REF!</v>
      </c>
      <c r="E1169" s="16" t="e">
        <f>#REF!</f>
        <v>#REF!</v>
      </c>
      <c r="F1169" s="16" t="e">
        <f>#REF!</f>
        <v>#REF!</v>
      </c>
      <c r="G1169" s="16" t="e">
        <f>#REF!</f>
        <v>#REF!</v>
      </c>
      <c r="H1169" s="16" t="e">
        <f>#REF!</f>
        <v>#REF!</v>
      </c>
      <c r="I1169" s="16" t="e">
        <f>#REF!</f>
        <v>#REF!</v>
      </c>
      <c r="J1169" s="16" t="e">
        <f>#REF!</f>
        <v>#REF!</v>
      </c>
      <c r="K1169" s="16" t="s">
        <v>752</v>
      </c>
      <c r="L1169" s="16"/>
      <c r="M1169" s="16"/>
      <c r="N1169" s="16"/>
      <c r="O1169" s="16"/>
    </row>
    <row r="1170" spans="1:15" ht="22.5" customHeight="1" thickTop="1" thickBot="1" x14ac:dyDescent="0.25">
      <c r="A1170" s="16" t="e">
        <f>#REF!</f>
        <v>#REF!</v>
      </c>
      <c r="B1170" s="16" t="e">
        <f>#REF!</f>
        <v>#REF!</v>
      </c>
      <c r="C1170" s="16" t="e">
        <f>#REF!</f>
        <v>#REF!</v>
      </c>
      <c r="D1170" s="16" t="e">
        <f>#REF!</f>
        <v>#REF!</v>
      </c>
      <c r="E1170" s="16" t="e">
        <f>#REF!</f>
        <v>#REF!</v>
      </c>
      <c r="F1170" s="16" t="e">
        <f>#REF!</f>
        <v>#REF!</v>
      </c>
      <c r="G1170" s="16" t="e">
        <f>#REF!</f>
        <v>#REF!</v>
      </c>
      <c r="H1170" s="16" t="e">
        <f>#REF!</f>
        <v>#REF!</v>
      </c>
      <c r="I1170" s="16" t="e">
        <f>#REF!</f>
        <v>#REF!</v>
      </c>
      <c r="J1170" s="16" t="e">
        <f>#REF!</f>
        <v>#REF!</v>
      </c>
      <c r="K1170" s="16"/>
      <c r="L1170" s="16"/>
      <c r="M1170" s="16"/>
      <c r="N1170" s="16"/>
      <c r="O1170" s="16"/>
    </row>
    <row r="1171" spans="1:15" ht="22.5" customHeight="1" thickTop="1" thickBot="1" x14ac:dyDescent="0.25">
      <c r="A1171" s="16" t="e">
        <f>#REF!</f>
        <v>#REF!</v>
      </c>
      <c r="B1171" s="16" t="e">
        <f>#REF!</f>
        <v>#REF!</v>
      </c>
      <c r="C1171" s="16" t="e">
        <f>#REF!</f>
        <v>#REF!</v>
      </c>
      <c r="D1171" s="16" t="e">
        <f>#REF!</f>
        <v>#REF!</v>
      </c>
      <c r="E1171" s="16" t="e">
        <f>#REF!</f>
        <v>#REF!</v>
      </c>
      <c r="F1171" s="16" t="e">
        <f>#REF!</f>
        <v>#REF!</v>
      </c>
      <c r="G1171" s="16" t="e">
        <f>#REF!</f>
        <v>#REF!</v>
      </c>
      <c r="H1171" s="16" t="e">
        <f>#REF!</f>
        <v>#REF!</v>
      </c>
      <c r="I1171" s="16" t="e">
        <f>#REF!</f>
        <v>#REF!</v>
      </c>
      <c r="J1171" s="16" t="e">
        <f>#REF!</f>
        <v>#REF!</v>
      </c>
      <c r="K1171" s="16"/>
      <c r="L1171" s="16"/>
      <c r="M1171" s="16"/>
      <c r="N1171" s="16"/>
      <c r="O1171" s="16"/>
    </row>
    <row r="1172" spans="1:15" ht="22.5" customHeight="1" thickTop="1" thickBot="1" x14ac:dyDescent="0.25">
      <c r="A1172" s="16" t="e">
        <f>#REF!</f>
        <v>#REF!</v>
      </c>
      <c r="B1172" s="16" t="e">
        <f>#REF!</f>
        <v>#REF!</v>
      </c>
      <c r="C1172" s="16" t="e">
        <f>#REF!</f>
        <v>#REF!</v>
      </c>
      <c r="D1172" s="16" t="e">
        <f>#REF!</f>
        <v>#REF!</v>
      </c>
      <c r="E1172" s="16" t="e">
        <f>#REF!</f>
        <v>#REF!</v>
      </c>
      <c r="F1172" s="16" t="e">
        <f>#REF!</f>
        <v>#REF!</v>
      </c>
      <c r="G1172" s="16" t="e">
        <f>#REF!</f>
        <v>#REF!</v>
      </c>
      <c r="H1172" s="16" t="e">
        <f>#REF!</f>
        <v>#REF!</v>
      </c>
      <c r="I1172" s="16" t="e">
        <f>#REF!</f>
        <v>#REF!</v>
      </c>
      <c r="J1172" s="16" t="e">
        <f>#REF!</f>
        <v>#REF!</v>
      </c>
      <c r="K1172" s="16"/>
      <c r="L1172" s="16"/>
      <c r="M1172" s="16"/>
      <c r="N1172" s="16"/>
      <c r="O1172" s="16"/>
    </row>
    <row r="1173" spans="1:15" ht="22.5" customHeight="1" thickTop="1" thickBot="1" x14ac:dyDescent="0.25">
      <c r="A1173" s="16" t="e">
        <f>#REF!</f>
        <v>#REF!</v>
      </c>
      <c r="B1173" s="16" t="e">
        <f>#REF!</f>
        <v>#REF!</v>
      </c>
      <c r="C1173" s="16" t="e">
        <f>#REF!</f>
        <v>#REF!</v>
      </c>
      <c r="D1173" s="16" t="e">
        <f>#REF!</f>
        <v>#REF!</v>
      </c>
      <c r="E1173" s="16" t="e">
        <f>#REF!</f>
        <v>#REF!</v>
      </c>
      <c r="F1173" s="16" t="e">
        <f>#REF!</f>
        <v>#REF!</v>
      </c>
      <c r="G1173" s="16" t="e">
        <f>#REF!</f>
        <v>#REF!</v>
      </c>
      <c r="H1173" s="16" t="e">
        <f>#REF!</f>
        <v>#REF!</v>
      </c>
      <c r="I1173" s="16" t="e">
        <f>#REF!</f>
        <v>#REF!</v>
      </c>
      <c r="J1173" s="16" t="e">
        <f>#REF!</f>
        <v>#REF!</v>
      </c>
      <c r="K1173" s="16"/>
      <c r="L1173" s="16"/>
      <c r="M1173" s="16"/>
      <c r="N1173" s="16"/>
      <c r="O1173" s="16"/>
    </row>
    <row r="1174" spans="1:15" ht="22.5" customHeight="1" thickTop="1" thickBot="1" x14ac:dyDescent="0.25">
      <c r="A1174" s="16" t="e">
        <f>#REF!</f>
        <v>#REF!</v>
      </c>
      <c r="B1174" s="16" t="e">
        <f>#REF!</f>
        <v>#REF!</v>
      </c>
      <c r="C1174" s="16" t="e">
        <f>#REF!</f>
        <v>#REF!</v>
      </c>
      <c r="D1174" s="16" t="e">
        <f>#REF!</f>
        <v>#REF!</v>
      </c>
      <c r="E1174" s="16" t="e">
        <f>#REF!</f>
        <v>#REF!</v>
      </c>
      <c r="F1174" s="16" t="e">
        <f>#REF!</f>
        <v>#REF!</v>
      </c>
      <c r="G1174" s="16" t="e">
        <f>#REF!</f>
        <v>#REF!</v>
      </c>
      <c r="H1174" s="16" t="e">
        <f>#REF!</f>
        <v>#REF!</v>
      </c>
      <c r="I1174" s="16" t="e">
        <f>#REF!</f>
        <v>#REF!</v>
      </c>
      <c r="J1174" s="16" t="e">
        <f>#REF!</f>
        <v>#REF!</v>
      </c>
      <c r="K1174" s="16"/>
      <c r="L1174" s="16"/>
      <c r="M1174" s="16"/>
      <c r="N1174" s="16"/>
      <c r="O1174" s="16"/>
    </row>
    <row r="1175" spans="1:15" ht="22.5" customHeight="1" thickTop="1" thickBot="1" x14ac:dyDescent="0.25">
      <c r="A1175" s="16" t="e">
        <f>#REF!</f>
        <v>#REF!</v>
      </c>
      <c r="B1175" s="16" t="e">
        <f>#REF!</f>
        <v>#REF!</v>
      </c>
      <c r="C1175" s="16" t="e">
        <f>#REF!</f>
        <v>#REF!</v>
      </c>
      <c r="D1175" s="16" t="e">
        <f>#REF!</f>
        <v>#REF!</v>
      </c>
      <c r="E1175" s="16" t="e">
        <f>#REF!</f>
        <v>#REF!</v>
      </c>
      <c r="F1175" s="16" t="e">
        <f>#REF!</f>
        <v>#REF!</v>
      </c>
      <c r="G1175" s="16" t="e">
        <f>#REF!</f>
        <v>#REF!</v>
      </c>
      <c r="H1175" s="16" t="e">
        <f>#REF!</f>
        <v>#REF!</v>
      </c>
      <c r="I1175" s="16" t="e">
        <f>#REF!</f>
        <v>#REF!</v>
      </c>
      <c r="J1175" s="16" t="e">
        <f>#REF!</f>
        <v>#REF!</v>
      </c>
      <c r="K1175" s="16"/>
      <c r="L1175" s="16"/>
      <c r="M1175" s="16"/>
      <c r="N1175" s="16"/>
      <c r="O1175" s="16"/>
    </row>
    <row r="1176" spans="1:15" ht="22.5" customHeight="1" thickTop="1" thickBot="1" x14ac:dyDescent="0.25">
      <c r="A1176" s="16" t="e">
        <f>#REF!</f>
        <v>#REF!</v>
      </c>
      <c r="B1176" s="16" t="e">
        <f>#REF!</f>
        <v>#REF!</v>
      </c>
      <c r="C1176" s="16" t="e">
        <f>#REF!</f>
        <v>#REF!</v>
      </c>
      <c r="D1176" s="16" t="e">
        <f>#REF!</f>
        <v>#REF!</v>
      </c>
      <c r="E1176" s="16" t="e">
        <f>#REF!</f>
        <v>#REF!</v>
      </c>
      <c r="F1176" s="16" t="e">
        <f>#REF!</f>
        <v>#REF!</v>
      </c>
      <c r="G1176" s="16" t="e">
        <f>#REF!</f>
        <v>#REF!</v>
      </c>
      <c r="H1176" s="16" t="e">
        <f>#REF!</f>
        <v>#REF!</v>
      </c>
      <c r="I1176" s="16" t="e">
        <f>#REF!</f>
        <v>#REF!</v>
      </c>
      <c r="J1176" s="16" t="e">
        <f>#REF!</f>
        <v>#REF!</v>
      </c>
      <c r="K1176" s="16" t="s">
        <v>744</v>
      </c>
      <c r="L1176" s="16"/>
      <c r="M1176" s="16"/>
      <c r="N1176" s="16"/>
      <c r="O1176" s="16"/>
    </row>
    <row r="1177" spans="1:15" ht="22.5" customHeight="1" thickTop="1" thickBot="1" x14ac:dyDescent="0.25">
      <c r="A1177" s="16" t="e">
        <f>#REF!</f>
        <v>#REF!</v>
      </c>
      <c r="B1177" s="16" t="e">
        <f>#REF!</f>
        <v>#REF!</v>
      </c>
      <c r="C1177" s="16" t="e">
        <f>#REF!</f>
        <v>#REF!</v>
      </c>
      <c r="D1177" s="16" t="e">
        <f>#REF!</f>
        <v>#REF!</v>
      </c>
      <c r="E1177" s="16" t="e">
        <f>#REF!</f>
        <v>#REF!</v>
      </c>
      <c r="F1177" s="16" t="e">
        <f>#REF!</f>
        <v>#REF!</v>
      </c>
      <c r="G1177" s="16" t="e">
        <f>#REF!</f>
        <v>#REF!</v>
      </c>
      <c r="H1177" s="16" t="e">
        <f>#REF!</f>
        <v>#REF!</v>
      </c>
      <c r="I1177" s="16" t="e">
        <f>#REF!</f>
        <v>#REF!</v>
      </c>
      <c r="J1177" s="16" t="e">
        <f>#REF!</f>
        <v>#REF!</v>
      </c>
      <c r="K1177" s="16"/>
      <c r="L1177" s="16"/>
      <c r="M1177" s="16"/>
      <c r="N1177" s="16"/>
      <c r="O1177" s="16"/>
    </row>
    <row r="1178" spans="1:15" ht="22.5" customHeight="1" thickTop="1" thickBot="1" x14ac:dyDescent="0.25">
      <c r="A1178" s="16" t="e">
        <f>#REF!</f>
        <v>#REF!</v>
      </c>
      <c r="B1178" s="16" t="e">
        <f>#REF!</f>
        <v>#REF!</v>
      </c>
      <c r="C1178" s="16" t="e">
        <f>#REF!</f>
        <v>#REF!</v>
      </c>
      <c r="D1178" s="16" t="e">
        <f>#REF!</f>
        <v>#REF!</v>
      </c>
      <c r="E1178" s="16" t="e">
        <f>#REF!</f>
        <v>#REF!</v>
      </c>
      <c r="F1178" s="16" t="e">
        <f>#REF!</f>
        <v>#REF!</v>
      </c>
      <c r="G1178" s="16" t="e">
        <f>#REF!</f>
        <v>#REF!</v>
      </c>
      <c r="H1178" s="16" t="e">
        <f>#REF!</f>
        <v>#REF!</v>
      </c>
      <c r="I1178" s="16" t="e">
        <f>#REF!</f>
        <v>#REF!</v>
      </c>
      <c r="J1178" s="16" t="e">
        <f>#REF!</f>
        <v>#REF!</v>
      </c>
      <c r="K1178" s="16" t="s">
        <v>744</v>
      </c>
      <c r="L1178" s="16"/>
      <c r="M1178" s="16"/>
      <c r="N1178" s="16"/>
      <c r="O1178" s="16"/>
    </row>
    <row r="1179" spans="1:15" ht="22.5" customHeight="1" thickTop="1" thickBot="1" x14ac:dyDescent="0.25">
      <c r="A1179" s="16" t="e">
        <f>#REF!</f>
        <v>#REF!</v>
      </c>
      <c r="B1179" s="16" t="e">
        <f>#REF!</f>
        <v>#REF!</v>
      </c>
      <c r="C1179" s="16" t="e">
        <f>#REF!</f>
        <v>#REF!</v>
      </c>
      <c r="D1179" s="16" t="e">
        <f>#REF!</f>
        <v>#REF!</v>
      </c>
      <c r="E1179" s="16" t="e">
        <f>#REF!</f>
        <v>#REF!</v>
      </c>
      <c r="F1179" s="16" t="e">
        <f>#REF!</f>
        <v>#REF!</v>
      </c>
      <c r="G1179" s="16" t="e">
        <f>#REF!</f>
        <v>#REF!</v>
      </c>
      <c r="H1179" s="16" t="e">
        <f>#REF!</f>
        <v>#REF!</v>
      </c>
      <c r="I1179" s="16" t="e">
        <f>#REF!</f>
        <v>#REF!</v>
      </c>
      <c r="J1179" s="16" t="e">
        <f>#REF!</f>
        <v>#REF!</v>
      </c>
      <c r="K1179" s="16" t="s">
        <v>744</v>
      </c>
      <c r="L1179" s="16"/>
      <c r="M1179" s="16"/>
      <c r="N1179" s="16"/>
      <c r="O1179" s="16"/>
    </row>
    <row r="1180" spans="1:15" ht="22.5" customHeight="1" thickTop="1" thickBot="1" x14ac:dyDescent="0.25">
      <c r="A1180" s="16" t="e">
        <f>#REF!</f>
        <v>#REF!</v>
      </c>
      <c r="B1180" s="16" t="e">
        <f>#REF!</f>
        <v>#REF!</v>
      </c>
      <c r="C1180" s="16" t="e">
        <f>#REF!</f>
        <v>#REF!</v>
      </c>
      <c r="D1180" s="16" t="e">
        <f>#REF!</f>
        <v>#REF!</v>
      </c>
      <c r="E1180" s="16" t="e">
        <f>#REF!</f>
        <v>#REF!</v>
      </c>
      <c r="F1180" s="16" t="e">
        <f>#REF!</f>
        <v>#REF!</v>
      </c>
      <c r="G1180" s="16" t="e">
        <f>#REF!</f>
        <v>#REF!</v>
      </c>
      <c r="H1180" s="16" t="e">
        <f>#REF!</f>
        <v>#REF!</v>
      </c>
      <c r="I1180" s="16" t="e">
        <f>#REF!</f>
        <v>#REF!</v>
      </c>
      <c r="J1180" s="16" t="e">
        <f>#REF!</f>
        <v>#REF!</v>
      </c>
      <c r="K1180" s="16" t="s">
        <v>744</v>
      </c>
      <c r="L1180" s="16"/>
      <c r="M1180" s="16"/>
      <c r="N1180" s="16"/>
      <c r="O1180" s="16"/>
    </row>
    <row r="1181" spans="1:15" ht="22.5" customHeight="1" thickTop="1" thickBot="1" x14ac:dyDescent="0.25">
      <c r="A1181" s="16" t="e">
        <f>#REF!</f>
        <v>#REF!</v>
      </c>
      <c r="B1181" s="16" t="e">
        <f>#REF!</f>
        <v>#REF!</v>
      </c>
      <c r="C1181" s="16" t="e">
        <f>#REF!</f>
        <v>#REF!</v>
      </c>
      <c r="D1181" s="16" t="e">
        <f>#REF!</f>
        <v>#REF!</v>
      </c>
      <c r="E1181" s="16" t="e">
        <f>#REF!</f>
        <v>#REF!</v>
      </c>
      <c r="F1181" s="16" t="e">
        <f>#REF!</f>
        <v>#REF!</v>
      </c>
      <c r="G1181" s="16" t="e">
        <f>#REF!</f>
        <v>#REF!</v>
      </c>
      <c r="H1181" s="16" t="e">
        <f>#REF!</f>
        <v>#REF!</v>
      </c>
      <c r="I1181" s="16" t="e">
        <f>#REF!</f>
        <v>#REF!</v>
      </c>
      <c r="J1181" s="16" t="e">
        <f>#REF!</f>
        <v>#REF!</v>
      </c>
      <c r="K1181" s="16" t="s">
        <v>744</v>
      </c>
      <c r="L1181" s="16"/>
      <c r="M1181" s="16"/>
      <c r="N1181" s="16"/>
      <c r="O1181" s="16"/>
    </row>
    <row r="1182" spans="1:15" ht="22.5" customHeight="1" thickTop="1" thickBot="1" x14ac:dyDescent="0.25">
      <c r="A1182" s="16" t="e">
        <f>#REF!</f>
        <v>#REF!</v>
      </c>
      <c r="B1182" s="16" t="e">
        <f>#REF!</f>
        <v>#REF!</v>
      </c>
      <c r="C1182" s="16" t="e">
        <f>#REF!</f>
        <v>#REF!</v>
      </c>
      <c r="D1182" s="16" t="e">
        <f>#REF!</f>
        <v>#REF!</v>
      </c>
      <c r="E1182" s="16" t="e">
        <f>#REF!</f>
        <v>#REF!</v>
      </c>
      <c r="F1182" s="16" t="e">
        <f>#REF!</f>
        <v>#REF!</v>
      </c>
      <c r="G1182" s="16" t="e">
        <f>#REF!</f>
        <v>#REF!</v>
      </c>
      <c r="H1182" s="16" t="e">
        <f>#REF!</f>
        <v>#REF!</v>
      </c>
      <c r="I1182" s="16" t="e">
        <f>#REF!</f>
        <v>#REF!</v>
      </c>
      <c r="J1182" s="16" t="e">
        <f>#REF!</f>
        <v>#REF!</v>
      </c>
      <c r="K1182" s="16" t="s">
        <v>744</v>
      </c>
      <c r="L1182" s="16"/>
      <c r="M1182" s="16"/>
      <c r="N1182" s="16"/>
      <c r="O1182" s="16"/>
    </row>
    <row r="1183" spans="1:15" ht="22.5" customHeight="1" thickTop="1" thickBot="1" x14ac:dyDescent="0.25">
      <c r="A1183" s="16" t="e">
        <f>#REF!</f>
        <v>#REF!</v>
      </c>
      <c r="B1183" s="16" t="e">
        <f>#REF!</f>
        <v>#REF!</v>
      </c>
      <c r="C1183" s="16" t="e">
        <f>#REF!</f>
        <v>#REF!</v>
      </c>
      <c r="D1183" s="16" t="e">
        <f>#REF!</f>
        <v>#REF!</v>
      </c>
      <c r="E1183" s="16" t="e">
        <f>#REF!</f>
        <v>#REF!</v>
      </c>
      <c r="F1183" s="16" t="e">
        <f>#REF!</f>
        <v>#REF!</v>
      </c>
      <c r="G1183" s="16" t="e">
        <f>#REF!</f>
        <v>#REF!</v>
      </c>
      <c r="H1183" s="16" t="e">
        <f>#REF!</f>
        <v>#REF!</v>
      </c>
      <c r="I1183" s="16" t="e">
        <f>#REF!</f>
        <v>#REF!</v>
      </c>
      <c r="J1183" s="16" t="e">
        <f>#REF!</f>
        <v>#REF!</v>
      </c>
      <c r="K1183" s="16" t="s">
        <v>744</v>
      </c>
      <c r="L1183" s="16"/>
      <c r="M1183" s="16"/>
      <c r="N1183" s="16"/>
      <c r="O1183" s="16"/>
    </row>
    <row r="1184" spans="1:15" ht="22.5" customHeight="1" thickTop="1" thickBot="1" x14ac:dyDescent="0.25">
      <c r="A1184" s="16" t="e">
        <f>#REF!</f>
        <v>#REF!</v>
      </c>
      <c r="B1184" s="16" t="e">
        <f>#REF!</f>
        <v>#REF!</v>
      </c>
      <c r="C1184" s="16" t="e">
        <f>#REF!</f>
        <v>#REF!</v>
      </c>
      <c r="D1184" s="16" t="e">
        <f>#REF!</f>
        <v>#REF!</v>
      </c>
      <c r="E1184" s="16" t="e">
        <f>#REF!</f>
        <v>#REF!</v>
      </c>
      <c r="F1184" s="16" t="e">
        <f>#REF!</f>
        <v>#REF!</v>
      </c>
      <c r="G1184" s="16" t="e">
        <f>#REF!</f>
        <v>#REF!</v>
      </c>
      <c r="H1184" s="16" t="e">
        <f>#REF!</f>
        <v>#REF!</v>
      </c>
      <c r="I1184" s="16" t="e">
        <f>#REF!</f>
        <v>#REF!</v>
      </c>
      <c r="J1184" s="16" t="e">
        <f>#REF!</f>
        <v>#REF!</v>
      </c>
      <c r="K1184" s="16" t="s">
        <v>744</v>
      </c>
      <c r="L1184" s="16"/>
      <c r="M1184" s="16"/>
      <c r="N1184" s="16"/>
      <c r="O1184" s="16"/>
    </row>
    <row r="1185" spans="1:15" ht="22.5" customHeight="1" thickTop="1" thickBot="1" x14ac:dyDescent="0.25">
      <c r="A1185" s="16" t="e">
        <f>#REF!</f>
        <v>#REF!</v>
      </c>
      <c r="B1185" s="16" t="e">
        <f>#REF!</f>
        <v>#REF!</v>
      </c>
      <c r="C1185" s="16" t="e">
        <f>#REF!</f>
        <v>#REF!</v>
      </c>
      <c r="D1185" s="16" t="e">
        <f>#REF!</f>
        <v>#REF!</v>
      </c>
      <c r="E1185" s="16" t="e">
        <f>#REF!</f>
        <v>#REF!</v>
      </c>
      <c r="F1185" s="16" t="e">
        <f>#REF!</f>
        <v>#REF!</v>
      </c>
      <c r="G1185" s="16" t="e">
        <f>#REF!</f>
        <v>#REF!</v>
      </c>
      <c r="H1185" s="16" t="e">
        <f>#REF!</f>
        <v>#REF!</v>
      </c>
      <c r="I1185" s="16" t="e">
        <f>#REF!</f>
        <v>#REF!</v>
      </c>
      <c r="J1185" s="16" t="e">
        <f>#REF!</f>
        <v>#REF!</v>
      </c>
      <c r="K1185" s="16" t="s">
        <v>744</v>
      </c>
      <c r="L1185" s="16"/>
      <c r="M1185" s="16"/>
      <c r="N1185" s="16"/>
      <c r="O1185" s="16"/>
    </row>
    <row r="1186" spans="1:15" ht="22.5" customHeight="1" thickTop="1" thickBot="1" x14ac:dyDescent="0.25">
      <c r="A1186" s="16" t="e">
        <f>#REF!</f>
        <v>#REF!</v>
      </c>
      <c r="B1186" s="16" t="e">
        <f>#REF!</f>
        <v>#REF!</v>
      </c>
      <c r="C1186" s="16" t="e">
        <f>#REF!</f>
        <v>#REF!</v>
      </c>
      <c r="D1186" s="16" t="e">
        <f>#REF!</f>
        <v>#REF!</v>
      </c>
      <c r="E1186" s="16" t="e">
        <f>#REF!</f>
        <v>#REF!</v>
      </c>
      <c r="F1186" s="16" t="e">
        <f>#REF!</f>
        <v>#REF!</v>
      </c>
      <c r="G1186" s="16" t="e">
        <f>#REF!</f>
        <v>#REF!</v>
      </c>
      <c r="H1186" s="16" t="e">
        <f>#REF!</f>
        <v>#REF!</v>
      </c>
      <c r="I1186" s="16" t="e">
        <f>#REF!</f>
        <v>#REF!</v>
      </c>
      <c r="J1186" s="16" t="e">
        <f>#REF!</f>
        <v>#REF!</v>
      </c>
      <c r="K1186" s="16" t="s">
        <v>744</v>
      </c>
      <c r="L1186" s="16"/>
      <c r="M1186" s="16"/>
      <c r="N1186" s="16"/>
      <c r="O1186" s="16"/>
    </row>
    <row r="1187" spans="1:15" ht="22.5" customHeight="1" thickTop="1" thickBot="1" x14ac:dyDescent="0.25">
      <c r="A1187" s="16" t="e">
        <f>#REF!</f>
        <v>#REF!</v>
      </c>
      <c r="B1187" s="16" t="e">
        <f>#REF!</f>
        <v>#REF!</v>
      </c>
      <c r="C1187" s="16" t="e">
        <f>#REF!</f>
        <v>#REF!</v>
      </c>
      <c r="D1187" s="16" t="e">
        <f>#REF!</f>
        <v>#REF!</v>
      </c>
      <c r="E1187" s="16" t="e">
        <f>#REF!</f>
        <v>#REF!</v>
      </c>
      <c r="F1187" s="16" t="e">
        <f>#REF!</f>
        <v>#REF!</v>
      </c>
      <c r="G1187" s="16" t="e">
        <f>#REF!</f>
        <v>#REF!</v>
      </c>
      <c r="H1187" s="16" t="e">
        <f>#REF!</f>
        <v>#REF!</v>
      </c>
      <c r="I1187" s="16" t="e">
        <f>#REF!</f>
        <v>#REF!</v>
      </c>
      <c r="J1187" s="16" t="e">
        <f>#REF!</f>
        <v>#REF!</v>
      </c>
      <c r="K1187" s="16" t="s">
        <v>744</v>
      </c>
      <c r="L1187" s="16"/>
      <c r="M1187" s="16"/>
      <c r="N1187" s="16"/>
      <c r="O1187" s="16"/>
    </row>
    <row r="1188" spans="1:15" ht="22.5" customHeight="1" thickTop="1" thickBot="1" x14ac:dyDescent="0.25">
      <c r="A1188" s="16" t="e">
        <f>#REF!</f>
        <v>#REF!</v>
      </c>
      <c r="B1188" s="16" t="e">
        <f>#REF!</f>
        <v>#REF!</v>
      </c>
      <c r="C1188" s="16" t="e">
        <f>#REF!</f>
        <v>#REF!</v>
      </c>
      <c r="D1188" s="16" t="e">
        <f>#REF!</f>
        <v>#REF!</v>
      </c>
      <c r="E1188" s="16" t="e">
        <f>#REF!</f>
        <v>#REF!</v>
      </c>
      <c r="F1188" s="16" t="e">
        <f>#REF!</f>
        <v>#REF!</v>
      </c>
      <c r="G1188" s="16" t="e">
        <f>#REF!</f>
        <v>#REF!</v>
      </c>
      <c r="H1188" s="16" t="e">
        <f>#REF!</f>
        <v>#REF!</v>
      </c>
      <c r="I1188" s="16" t="e">
        <f>#REF!</f>
        <v>#REF!</v>
      </c>
      <c r="J1188" s="16" t="e">
        <f>#REF!</f>
        <v>#REF!</v>
      </c>
      <c r="K1188" s="16" t="s">
        <v>744</v>
      </c>
      <c r="L1188" s="16"/>
      <c r="M1188" s="16"/>
      <c r="N1188" s="16"/>
      <c r="O1188" s="16"/>
    </row>
    <row r="1189" spans="1:15" ht="22.5" customHeight="1" thickTop="1" thickBot="1" x14ac:dyDescent="0.25">
      <c r="A1189" s="16" t="e">
        <f>#REF!</f>
        <v>#REF!</v>
      </c>
      <c r="B1189" s="16" t="e">
        <f>#REF!</f>
        <v>#REF!</v>
      </c>
      <c r="C1189" s="16" t="e">
        <f>#REF!</f>
        <v>#REF!</v>
      </c>
      <c r="D1189" s="16" t="e">
        <f>#REF!</f>
        <v>#REF!</v>
      </c>
      <c r="E1189" s="16" t="e">
        <f>#REF!</f>
        <v>#REF!</v>
      </c>
      <c r="F1189" s="16" t="e">
        <f>#REF!</f>
        <v>#REF!</v>
      </c>
      <c r="G1189" s="16" t="e">
        <f>#REF!</f>
        <v>#REF!</v>
      </c>
      <c r="H1189" s="16" t="e">
        <f>#REF!</f>
        <v>#REF!</v>
      </c>
      <c r="I1189" s="16" t="e">
        <f>#REF!</f>
        <v>#REF!</v>
      </c>
      <c r="J1189" s="16" t="e">
        <f>#REF!</f>
        <v>#REF!</v>
      </c>
      <c r="K1189" s="16" t="s">
        <v>744</v>
      </c>
      <c r="L1189" s="16"/>
      <c r="M1189" s="16"/>
      <c r="N1189" s="16"/>
      <c r="O1189" s="16"/>
    </row>
    <row r="1190" spans="1:15" ht="22.5" customHeight="1" thickTop="1" thickBot="1" x14ac:dyDescent="0.25">
      <c r="A1190" s="16" t="e">
        <f>#REF!</f>
        <v>#REF!</v>
      </c>
      <c r="B1190" s="16" t="e">
        <f>#REF!</f>
        <v>#REF!</v>
      </c>
      <c r="C1190" s="16" t="e">
        <f>#REF!</f>
        <v>#REF!</v>
      </c>
      <c r="D1190" s="16" t="e">
        <f>#REF!</f>
        <v>#REF!</v>
      </c>
      <c r="E1190" s="16" t="e">
        <f>#REF!</f>
        <v>#REF!</v>
      </c>
      <c r="F1190" s="16" t="e">
        <f>#REF!</f>
        <v>#REF!</v>
      </c>
      <c r="G1190" s="16" t="e">
        <f>#REF!</f>
        <v>#REF!</v>
      </c>
      <c r="H1190" s="16" t="e">
        <f>#REF!</f>
        <v>#REF!</v>
      </c>
      <c r="I1190" s="16" t="e">
        <f>#REF!</f>
        <v>#REF!</v>
      </c>
      <c r="J1190" s="16" t="e">
        <f>#REF!</f>
        <v>#REF!</v>
      </c>
      <c r="K1190" s="16"/>
      <c r="L1190" s="16"/>
      <c r="M1190" s="16"/>
      <c r="N1190" s="16"/>
      <c r="O1190" s="16"/>
    </row>
    <row r="1191" spans="1:15" ht="22.5" customHeight="1" thickTop="1" thickBot="1" x14ac:dyDescent="0.25">
      <c r="A1191" s="16" t="e">
        <f>#REF!</f>
        <v>#REF!</v>
      </c>
      <c r="B1191" s="16" t="e">
        <f>#REF!</f>
        <v>#REF!</v>
      </c>
      <c r="C1191" s="16" t="e">
        <f>#REF!</f>
        <v>#REF!</v>
      </c>
      <c r="D1191" s="16" t="e">
        <f>#REF!</f>
        <v>#REF!</v>
      </c>
      <c r="E1191" s="16" t="e">
        <f>#REF!</f>
        <v>#REF!</v>
      </c>
      <c r="F1191" s="16" t="e">
        <f>#REF!</f>
        <v>#REF!</v>
      </c>
      <c r="G1191" s="16" t="e">
        <f>#REF!</f>
        <v>#REF!</v>
      </c>
      <c r="H1191" s="16" t="e">
        <f>#REF!</f>
        <v>#REF!</v>
      </c>
      <c r="I1191" s="16" t="e">
        <f>#REF!</f>
        <v>#REF!</v>
      </c>
      <c r="J1191" s="16" t="e">
        <f>#REF!</f>
        <v>#REF!</v>
      </c>
      <c r="K1191" s="16"/>
      <c r="L1191" s="16"/>
      <c r="M1191" s="16"/>
      <c r="N1191" s="16"/>
      <c r="O1191" s="16"/>
    </row>
    <row r="1192" spans="1:15" ht="22.5" customHeight="1" thickTop="1" thickBot="1" x14ac:dyDescent="0.25">
      <c r="A1192" s="16" t="e">
        <f>#REF!</f>
        <v>#REF!</v>
      </c>
      <c r="B1192" s="16" t="e">
        <f>#REF!</f>
        <v>#REF!</v>
      </c>
      <c r="C1192" s="16" t="e">
        <f>#REF!</f>
        <v>#REF!</v>
      </c>
      <c r="D1192" s="16" t="e">
        <f>#REF!</f>
        <v>#REF!</v>
      </c>
      <c r="E1192" s="16" t="e">
        <f>#REF!</f>
        <v>#REF!</v>
      </c>
      <c r="F1192" s="16" t="e">
        <f>#REF!</f>
        <v>#REF!</v>
      </c>
      <c r="G1192" s="16" t="e">
        <f>#REF!</f>
        <v>#REF!</v>
      </c>
      <c r="H1192" s="16" t="e">
        <f>#REF!</f>
        <v>#REF!</v>
      </c>
      <c r="I1192" s="16" t="e">
        <f>#REF!</f>
        <v>#REF!</v>
      </c>
      <c r="J1192" s="16" t="e">
        <f>#REF!</f>
        <v>#REF!</v>
      </c>
      <c r="K1192" s="16" t="s">
        <v>744</v>
      </c>
      <c r="L1192" s="16"/>
      <c r="M1192" s="16"/>
      <c r="N1192" s="16"/>
      <c r="O1192" s="16"/>
    </row>
    <row r="1193" spans="1:15" ht="22.5" customHeight="1" thickTop="1" thickBot="1" x14ac:dyDescent="0.25">
      <c r="A1193" s="16" t="e">
        <f>#REF!</f>
        <v>#REF!</v>
      </c>
      <c r="B1193" s="16" t="e">
        <f>#REF!</f>
        <v>#REF!</v>
      </c>
      <c r="C1193" s="16" t="e">
        <f>#REF!</f>
        <v>#REF!</v>
      </c>
      <c r="D1193" s="16" t="e">
        <f>#REF!</f>
        <v>#REF!</v>
      </c>
      <c r="E1193" s="16" t="e">
        <f>#REF!</f>
        <v>#REF!</v>
      </c>
      <c r="F1193" s="16" t="e">
        <f>#REF!</f>
        <v>#REF!</v>
      </c>
      <c r="G1193" s="16" t="e">
        <f>#REF!</f>
        <v>#REF!</v>
      </c>
      <c r="H1193" s="16" t="e">
        <f>#REF!</f>
        <v>#REF!</v>
      </c>
      <c r="I1193" s="16" t="e">
        <f>#REF!</f>
        <v>#REF!</v>
      </c>
      <c r="J1193" s="16" t="e">
        <f>#REF!</f>
        <v>#REF!</v>
      </c>
      <c r="K1193" s="16" t="s">
        <v>744</v>
      </c>
      <c r="L1193" s="16"/>
      <c r="M1193" s="16"/>
      <c r="N1193" s="16"/>
      <c r="O1193" s="16"/>
    </row>
    <row r="1194" spans="1:15" ht="22.5" customHeight="1" thickTop="1" thickBot="1" x14ac:dyDescent="0.25">
      <c r="A1194" s="16" t="e">
        <f>#REF!</f>
        <v>#REF!</v>
      </c>
      <c r="B1194" s="16" t="e">
        <f>#REF!</f>
        <v>#REF!</v>
      </c>
      <c r="C1194" s="16" t="e">
        <f>#REF!</f>
        <v>#REF!</v>
      </c>
      <c r="D1194" s="16" t="e">
        <f>#REF!</f>
        <v>#REF!</v>
      </c>
      <c r="E1194" s="16" t="e">
        <f>#REF!</f>
        <v>#REF!</v>
      </c>
      <c r="F1194" s="16" t="e">
        <f>#REF!</f>
        <v>#REF!</v>
      </c>
      <c r="G1194" s="16" t="e">
        <f>#REF!</f>
        <v>#REF!</v>
      </c>
      <c r="H1194" s="16" t="e">
        <f>#REF!</f>
        <v>#REF!</v>
      </c>
      <c r="I1194" s="16" t="e">
        <f>#REF!</f>
        <v>#REF!</v>
      </c>
      <c r="J1194" s="16" t="e">
        <f>#REF!</f>
        <v>#REF!</v>
      </c>
      <c r="K1194" s="16" t="s">
        <v>744</v>
      </c>
      <c r="L1194" s="16"/>
      <c r="M1194" s="16"/>
      <c r="N1194" s="16"/>
      <c r="O1194" s="16"/>
    </row>
    <row r="1195" spans="1:15" ht="22.5" customHeight="1" thickTop="1" thickBot="1" x14ac:dyDescent="0.25">
      <c r="A1195" s="16" t="e">
        <f>#REF!</f>
        <v>#REF!</v>
      </c>
      <c r="B1195" s="16" t="e">
        <f>#REF!</f>
        <v>#REF!</v>
      </c>
      <c r="C1195" s="16" t="e">
        <f>#REF!</f>
        <v>#REF!</v>
      </c>
      <c r="D1195" s="16" t="e">
        <f>#REF!</f>
        <v>#REF!</v>
      </c>
      <c r="E1195" s="16" t="e">
        <f>#REF!</f>
        <v>#REF!</v>
      </c>
      <c r="F1195" s="16" t="e">
        <f>#REF!</f>
        <v>#REF!</v>
      </c>
      <c r="G1195" s="16" t="e">
        <f>#REF!</f>
        <v>#REF!</v>
      </c>
      <c r="H1195" s="16" t="e">
        <f>#REF!</f>
        <v>#REF!</v>
      </c>
      <c r="I1195" s="16" t="e">
        <f>#REF!</f>
        <v>#REF!</v>
      </c>
      <c r="J1195" s="16" t="e">
        <f>#REF!</f>
        <v>#REF!</v>
      </c>
      <c r="K1195" s="16" t="s">
        <v>744</v>
      </c>
      <c r="L1195" s="16"/>
      <c r="M1195" s="16"/>
      <c r="N1195" s="16"/>
      <c r="O1195" s="16"/>
    </row>
    <row r="1196" spans="1:15" ht="22.5" customHeight="1" thickTop="1" thickBot="1" x14ac:dyDescent="0.25">
      <c r="A1196" s="16" t="e">
        <f>#REF!</f>
        <v>#REF!</v>
      </c>
      <c r="B1196" s="16" t="e">
        <f>#REF!</f>
        <v>#REF!</v>
      </c>
      <c r="C1196" s="16" t="e">
        <f>#REF!</f>
        <v>#REF!</v>
      </c>
      <c r="D1196" s="16" t="e">
        <f>#REF!</f>
        <v>#REF!</v>
      </c>
      <c r="E1196" s="16" t="e">
        <f>#REF!</f>
        <v>#REF!</v>
      </c>
      <c r="F1196" s="16" t="e">
        <f>#REF!</f>
        <v>#REF!</v>
      </c>
      <c r="G1196" s="16" t="e">
        <f>#REF!</f>
        <v>#REF!</v>
      </c>
      <c r="H1196" s="16" t="e">
        <f>#REF!</f>
        <v>#REF!</v>
      </c>
      <c r="I1196" s="16" t="e">
        <f>#REF!</f>
        <v>#REF!</v>
      </c>
      <c r="J1196" s="16" t="e">
        <f>#REF!</f>
        <v>#REF!</v>
      </c>
      <c r="K1196" s="16" t="s">
        <v>744</v>
      </c>
      <c r="L1196" s="16"/>
      <c r="M1196" s="16"/>
      <c r="N1196" s="16"/>
      <c r="O1196" s="16"/>
    </row>
    <row r="1197" spans="1:15" ht="22.5" customHeight="1" thickTop="1" thickBot="1" x14ac:dyDescent="0.25">
      <c r="A1197" s="16" t="e">
        <f>#REF!</f>
        <v>#REF!</v>
      </c>
      <c r="B1197" s="16" t="e">
        <f>#REF!</f>
        <v>#REF!</v>
      </c>
      <c r="C1197" s="16" t="e">
        <f>#REF!</f>
        <v>#REF!</v>
      </c>
      <c r="D1197" s="16" t="e">
        <f>#REF!</f>
        <v>#REF!</v>
      </c>
      <c r="E1197" s="16" t="e">
        <f>#REF!</f>
        <v>#REF!</v>
      </c>
      <c r="F1197" s="16" t="e">
        <f>#REF!</f>
        <v>#REF!</v>
      </c>
      <c r="G1197" s="16" t="e">
        <f>#REF!</f>
        <v>#REF!</v>
      </c>
      <c r="H1197" s="16" t="e">
        <f>#REF!</f>
        <v>#REF!</v>
      </c>
      <c r="I1197" s="16" t="e">
        <f>#REF!</f>
        <v>#REF!</v>
      </c>
      <c r="J1197" s="16" t="e">
        <f>#REF!</f>
        <v>#REF!</v>
      </c>
      <c r="K1197" s="16" t="s">
        <v>744</v>
      </c>
      <c r="L1197" s="16"/>
      <c r="M1197" s="16"/>
      <c r="N1197" s="16"/>
      <c r="O1197" s="16"/>
    </row>
    <row r="1198" spans="1:15" ht="22.5" customHeight="1" thickTop="1" thickBot="1" x14ac:dyDescent="0.25">
      <c r="A1198" s="16" t="e">
        <f>#REF!</f>
        <v>#REF!</v>
      </c>
      <c r="B1198" s="16" t="e">
        <f>#REF!</f>
        <v>#REF!</v>
      </c>
      <c r="C1198" s="16" t="e">
        <f>#REF!</f>
        <v>#REF!</v>
      </c>
      <c r="D1198" s="16" t="e">
        <f>#REF!</f>
        <v>#REF!</v>
      </c>
      <c r="E1198" s="16" t="e">
        <f>#REF!</f>
        <v>#REF!</v>
      </c>
      <c r="F1198" s="16" t="e">
        <f>#REF!</f>
        <v>#REF!</v>
      </c>
      <c r="G1198" s="16" t="e">
        <f>#REF!</f>
        <v>#REF!</v>
      </c>
      <c r="H1198" s="16" t="e">
        <f>#REF!</f>
        <v>#REF!</v>
      </c>
      <c r="I1198" s="16" t="e">
        <f>#REF!</f>
        <v>#REF!</v>
      </c>
      <c r="J1198" s="16" t="e">
        <f>#REF!</f>
        <v>#REF!</v>
      </c>
      <c r="K1198" s="16" t="s">
        <v>744</v>
      </c>
      <c r="L1198" s="16"/>
      <c r="M1198" s="16"/>
      <c r="N1198" s="16"/>
      <c r="O1198" s="16"/>
    </row>
    <row r="1199" spans="1:15" ht="22.5" customHeight="1" thickTop="1" thickBot="1" x14ac:dyDescent="0.25">
      <c r="A1199" s="16" t="e">
        <f>#REF!</f>
        <v>#REF!</v>
      </c>
      <c r="B1199" s="16" t="e">
        <f>#REF!</f>
        <v>#REF!</v>
      </c>
      <c r="C1199" s="16" t="e">
        <f>#REF!</f>
        <v>#REF!</v>
      </c>
      <c r="D1199" s="16" t="e">
        <f>#REF!</f>
        <v>#REF!</v>
      </c>
      <c r="E1199" s="16" t="e">
        <f>#REF!</f>
        <v>#REF!</v>
      </c>
      <c r="F1199" s="16" t="e">
        <f>#REF!</f>
        <v>#REF!</v>
      </c>
      <c r="G1199" s="16" t="e">
        <f>#REF!</f>
        <v>#REF!</v>
      </c>
      <c r="H1199" s="16" t="e">
        <f>#REF!</f>
        <v>#REF!</v>
      </c>
      <c r="I1199" s="16" t="e">
        <f>#REF!</f>
        <v>#REF!</v>
      </c>
      <c r="J1199" s="16" t="e">
        <f>#REF!</f>
        <v>#REF!</v>
      </c>
      <c r="K1199" s="16" t="s">
        <v>744</v>
      </c>
      <c r="L1199" s="16"/>
      <c r="M1199" s="16"/>
      <c r="N1199" s="16"/>
      <c r="O1199" s="16"/>
    </row>
    <row r="1200" spans="1:15" ht="22.5" customHeight="1" thickTop="1" thickBot="1" x14ac:dyDescent="0.25">
      <c r="A1200" s="16" t="e">
        <f>#REF!</f>
        <v>#REF!</v>
      </c>
      <c r="B1200" s="16" t="e">
        <f>#REF!</f>
        <v>#REF!</v>
      </c>
      <c r="C1200" s="16" t="e">
        <f>#REF!</f>
        <v>#REF!</v>
      </c>
      <c r="D1200" s="16" t="e">
        <f>#REF!</f>
        <v>#REF!</v>
      </c>
      <c r="E1200" s="16" t="e">
        <f>#REF!</f>
        <v>#REF!</v>
      </c>
      <c r="F1200" s="16" t="e">
        <f>#REF!</f>
        <v>#REF!</v>
      </c>
      <c r="G1200" s="16" t="e">
        <f>#REF!</f>
        <v>#REF!</v>
      </c>
      <c r="H1200" s="16" t="e">
        <f>#REF!</f>
        <v>#REF!</v>
      </c>
      <c r="I1200" s="16" t="e">
        <f>#REF!</f>
        <v>#REF!</v>
      </c>
      <c r="J1200" s="16" t="e">
        <f>#REF!</f>
        <v>#REF!</v>
      </c>
      <c r="K1200" s="16"/>
      <c r="L1200" s="16"/>
      <c r="M1200" s="16"/>
      <c r="N1200" s="16"/>
      <c r="O1200" s="16"/>
    </row>
    <row r="1201" spans="1:15" ht="22.5" customHeight="1" thickTop="1" thickBot="1" x14ac:dyDescent="0.25">
      <c r="A1201" s="16" t="e">
        <f>#REF!</f>
        <v>#REF!</v>
      </c>
      <c r="B1201" s="16" t="e">
        <f>#REF!</f>
        <v>#REF!</v>
      </c>
      <c r="C1201" s="16" t="e">
        <f>#REF!</f>
        <v>#REF!</v>
      </c>
      <c r="D1201" s="16" t="e">
        <f>#REF!</f>
        <v>#REF!</v>
      </c>
      <c r="E1201" s="16" t="e">
        <f>#REF!</f>
        <v>#REF!</v>
      </c>
      <c r="F1201" s="16" t="e">
        <f>#REF!</f>
        <v>#REF!</v>
      </c>
      <c r="G1201" s="16" t="e">
        <f>#REF!</f>
        <v>#REF!</v>
      </c>
      <c r="H1201" s="16" t="e">
        <f>#REF!</f>
        <v>#REF!</v>
      </c>
      <c r="I1201" s="16" t="e">
        <f>#REF!</f>
        <v>#REF!</v>
      </c>
      <c r="J1201" s="16" t="e">
        <f>#REF!</f>
        <v>#REF!</v>
      </c>
      <c r="K1201" s="16"/>
      <c r="L1201" s="16"/>
      <c r="M1201" s="16"/>
      <c r="N1201" s="16"/>
      <c r="O1201" s="16"/>
    </row>
    <row r="1202" spans="1:15" ht="22.5" customHeight="1" thickTop="1" thickBot="1" x14ac:dyDescent="0.25">
      <c r="A1202" s="16" t="e">
        <f>#REF!</f>
        <v>#REF!</v>
      </c>
      <c r="B1202" s="16" t="e">
        <f>#REF!</f>
        <v>#REF!</v>
      </c>
      <c r="C1202" s="16" t="e">
        <f>#REF!</f>
        <v>#REF!</v>
      </c>
      <c r="D1202" s="16" t="e">
        <f>#REF!</f>
        <v>#REF!</v>
      </c>
      <c r="E1202" s="16" t="e">
        <f>#REF!</f>
        <v>#REF!</v>
      </c>
      <c r="F1202" s="16" t="e">
        <f>#REF!</f>
        <v>#REF!</v>
      </c>
      <c r="G1202" s="16" t="e">
        <f>#REF!</f>
        <v>#REF!</v>
      </c>
      <c r="H1202" s="16" t="e">
        <f>#REF!</f>
        <v>#REF!</v>
      </c>
      <c r="I1202" s="16" t="e">
        <f>#REF!</f>
        <v>#REF!</v>
      </c>
      <c r="J1202" s="16" t="e">
        <f>#REF!</f>
        <v>#REF!</v>
      </c>
      <c r="K1202" s="16"/>
      <c r="L1202" s="16"/>
      <c r="M1202" s="16"/>
      <c r="N1202" s="16"/>
      <c r="O1202" s="16"/>
    </row>
    <row r="1203" spans="1:15" ht="22.5" customHeight="1" thickTop="1" thickBot="1" x14ac:dyDescent="0.25">
      <c r="A1203" s="16" t="e">
        <f>#REF!</f>
        <v>#REF!</v>
      </c>
      <c r="B1203" s="16" t="e">
        <f>#REF!</f>
        <v>#REF!</v>
      </c>
      <c r="C1203" s="16" t="e">
        <f>#REF!</f>
        <v>#REF!</v>
      </c>
      <c r="D1203" s="16" t="e">
        <f>#REF!</f>
        <v>#REF!</v>
      </c>
      <c r="E1203" s="16" t="e">
        <f>#REF!</f>
        <v>#REF!</v>
      </c>
      <c r="F1203" s="16" t="e">
        <f>#REF!</f>
        <v>#REF!</v>
      </c>
      <c r="G1203" s="16" t="e">
        <f>#REF!</f>
        <v>#REF!</v>
      </c>
      <c r="H1203" s="16" t="e">
        <f>#REF!</f>
        <v>#REF!</v>
      </c>
      <c r="I1203" s="16" t="e">
        <f>#REF!</f>
        <v>#REF!</v>
      </c>
      <c r="J1203" s="16" t="e">
        <f>#REF!</f>
        <v>#REF!</v>
      </c>
      <c r="K1203" s="16"/>
      <c r="L1203" s="16"/>
      <c r="M1203" s="16"/>
      <c r="N1203" s="16"/>
      <c r="O1203" s="16"/>
    </row>
    <row r="1204" spans="1:15" ht="22.5" customHeight="1" thickTop="1" thickBot="1" x14ac:dyDescent="0.25">
      <c r="A1204" s="16" t="e">
        <f>#REF!</f>
        <v>#REF!</v>
      </c>
      <c r="B1204" s="16" t="e">
        <f>#REF!</f>
        <v>#REF!</v>
      </c>
      <c r="C1204" s="16" t="e">
        <f>#REF!</f>
        <v>#REF!</v>
      </c>
      <c r="D1204" s="16" t="e">
        <f>#REF!</f>
        <v>#REF!</v>
      </c>
      <c r="E1204" s="16" t="e">
        <f>#REF!</f>
        <v>#REF!</v>
      </c>
      <c r="F1204" s="16" t="e">
        <f>#REF!</f>
        <v>#REF!</v>
      </c>
      <c r="G1204" s="16" t="e">
        <f>#REF!</f>
        <v>#REF!</v>
      </c>
      <c r="H1204" s="16" t="e">
        <f>#REF!</f>
        <v>#REF!</v>
      </c>
      <c r="I1204" s="16" t="e">
        <f>#REF!</f>
        <v>#REF!</v>
      </c>
      <c r="J1204" s="16" t="e">
        <f>#REF!</f>
        <v>#REF!</v>
      </c>
      <c r="K1204" s="16" t="s">
        <v>744</v>
      </c>
      <c r="L1204" s="16"/>
      <c r="M1204" s="16"/>
      <c r="N1204" s="16"/>
      <c r="O1204" s="16"/>
    </row>
    <row r="1205" spans="1:15" ht="22.5" customHeight="1" thickTop="1" thickBot="1" x14ac:dyDescent="0.25">
      <c r="A1205" s="16" t="e">
        <f>#REF!</f>
        <v>#REF!</v>
      </c>
      <c r="B1205" s="16" t="e">
        <f>#REF!</f>
        <v>#REF!</v>
      </c>
      <c r="C1205" s="16" t="e">
        <f>#REF!</f>
        <v>#REF!</v>
      </c>
      <c r="D1205" s="16" t="e">
        <f>#REF!</f>
        <v>#REF!</v>
      </c>
      <c r="E1205" s="16" t="e">
        <f>#REF!</f>
        <v>#REF!</v>
      </c>
      <c r="F1205" s="16" t="e">
        <f>#REF!</f>
        <v>#REF!</v>
      </c>
      <c r="G1205" s="16" t="e">
        <f>#REF!</f>
        <v>#REF!</v>
      </c>
      <c r="H1205" s="16" t="e">
        <f>#REF!</f>
        <v>#REF!</v>
      </c>
      <c r="I1205" s="16" t="e">
        <f>#REF!</f>
        <v>#REF!</v>
      </c>
      <c r="J1205" s="16" t="e">
        <f>#REF!</f>
        <v>#REF!</v>
      </c>
      <c r="K1205" s="16"/>
      <c r="L1205" s="16"/>
      <c r="M1205" s="16"/>
      <c r="N1205" s="16"/>
      <c r="O1205" s="16"/>
    </row>
    <row r="1206" spans="1:15" ht="22.5" customHeight="1" thickTop="1" thickBot="1" x14ac:dyDescent="0.25">
      <c r="A1206" s="16" t="e">
        <f>#REF!</f>
        <v>#REF!</v>
      </c>
      <c r="B1206" s="16" t="e">
        <f>#REF!</f>
        <v>#REF!</v>
      </c>
      <c r="C1206" s="16" t="e">
        <f>#REF!</f>
        <v>#REF!</v>
      </c>
      <c r="D1206" s="16" t="e">
        <f>#REF!</f>
        <v>#REF!</v>
      </c>
      <c r="E1206" s="16" t="e">
        <f>#REF!</f>
        <v>#REF!</v>
      </c>
      <c r="F1206" s="16" t="e">
        <f>#REF!</f>
        <v>#REF!</v>
      </c>
      <c r="G1206" s="16" t="e">
        <f>#REF!</f>
        <v>#REF!</v>
      </c>
      <c r="H1206" s="16" t="e">
        <f>#REF!</f>
        <v>#REF!</v>
      </c>
      <c r="I1206" s="16" t="e">
        <f>#REF!</f>
        <v>#REF!</v>
      </c>
      <c r="J1206" s="16" t="e">
        <f>#REF!</f>
        <v>#REF!</v>
      </c>
      <c r="K1206" s="16"/>
      <c r="L1206" s="16"/>
      <c r="M1206" s="16"/>
      <c r="N1206" s="16"/>
      <c r="O1206" s="16"/>
    </row>
    <row r="1207" spans="1:15" ht="22.5" customHeight="1" thickTop="1" thickBot="1" x14ac:dyDescent="0.25">
      <c r="A1207" s="16" t="e">
        <f>#REF!</f>
        <v>#REF!</v>
      </c>
      <c r="B1207" s="16" t="e">
        <f>#REF!</f>
        <v>#REF!</v>
      </c>
      <c r="C1207" s="16" t="e">
        <f>#REF!</f>
        <v>#REF!</v>
      </c>
      <c r="D1207" s="16" t="e">
        <f>#REF!</f>
        <v>#REF!</v>
      </c>
      <c r="E1207" s="16" t="e">
        <f>#REF!</f>
        <v>#REF!</v>
      </c>
      <c r="F1207" s="16" t="e">
        <f>#REF!</f>
        <v>#REF!</v>
      </c>
      <c r="G1207" s="16" t="e">
        <f>#REF!</f>
        <v>#REF!</v>
      </c>
      <c r="H1207" s="16" t="e">
        <f>#REF!</f>
        <v>#REF!</v>
      </c>
      <c r="I1207" s="16" t="e">
        <f>#REF!</f>
        <v>#REF!</v>
      </c>
      <c r="J1207" s="16" t="e">
        <f>#REF!</f>
        <v>#REF!</v>
      </c>
      <c r="K1207" s="16"/>
      <c r="L1207" s="16"/>
      <c r="M1207" s="16"/>
      <c r="N1207" s="16"/>
      <c r="O1207" s="16"/>
    </row>
    <row r="1208" spans="1:15" ht="22.5" customHeight="1" thickTop="1" thickBot="1" x14ac:dyDescent="0.25">
      <c r="A1208" s="16" t="e">
        <f>#REF!</f>
        <v>#REF!</v>
      </c>
      <c r="B1208" s="16" t="e">
        <f>#REF!</f>
        <v>#REF!</v>
      </c>
      <c r="C1208" s="16" t="e">
        <f>#REF!</f>
        <v>#REF!</v>
      </c>
      <c r="D1208" s="16" t="e">
        <f>#REF!</f>
        <v>#REF!</v>
      </c>
      <c r="E1208" s="16" t="e">
        <f>#REF!</f>
        <v>#REF!</v>
      </c>
      <c r="F1208" s="16" t="e">
        <f>#REF!</f>
        <v>#REF!</v>
      </c>
      <c r="G1208" s="16" t="e">
        <f>#REF!</f>
        <v>#REF!</v>
      </c>
      <c r="H1208" s="16" t="e">
        <f>#REF!</f>
        <v>#REF!</v>
      </c>
      <c r="I1208" s="16" t="e">
        <f>#REF!</f>
        <v>#REF!</v>
      </c>
      <c r="J1208" s="16" t="e">
        <f>#REF!</f>
        <v>#REF!</v>
      </c>
      <c r="K1208" s="16"/>
      <c r="L1208" s="16"/>
      <c r="M1208" s="16"/>
      <c r="N1208" s="16"/>
      <c r="O1208" s="16"/>
    </row>
    <row r="1209" spans="1:15" ht="22.5" customHeight="1" thickTop="1" thickBot="1" x14ac:dyDescent="0.25">
      <c r="A1209" s="16" t="e">
        <f>#REF!</f>
        <v>#REF!</v>
      </c>
      <c r="B1209" s="16" t="e">
        <f>#REF!</f>
        <v>#REF!</v>
      </c>
      <c r="C1209" s="16" t="e">
        <f>#REF!</f>
        <v>#REF!</v>
      </c>
      <c r="D1209" s="16" t="e">
        <f>#REF!</f>
        <v>#REF!</v>
      </c>
      <c r="E1209" s="16" t="e">
        <f>#REF!</f>
        <v>#REF!</v>
      </c>
      <c r="F1209" s="16" t="e">
        <f>#REF!</f>
        <v>#REF!</v>
      </c>
      <c r="G1209" s="16" t="e">
        <f>#REF!</f>
        <v>#REF!</v>
      </c>
      <c r="H1209" s="16" t="e">
        <f>#REF!</f>
        <v>#REF!</v>
      </c>
      <c r="I1209" s="16" t="e">
        <f>#REF!</f>
        <v>#REF!</v>
      </c>
      <c r="J1209" s="16" t="e">
        <f>#REF!</f>
        <v>#REF!</v>
      </c>
      <c r="K1209" s="16"/>
      <c r="L1209" s="16"/>
      <c r="M1209" s="16"/>
      <c r="N1209" s="16"/>
      <c r="O1209" s="16"/>
    </row>
    <row r="1210" spans="1:15" ht="22.5" customHeight="1" thickTop="1" thickBot="1" x14ac:dyDescent="0.25">
      <c r="A1210" s="16" t="e">
        <f>#REF!</f>
        <v>#REF!</v>
      </c>
      <c r="B1210" s="16" t="e">
        <f>#REF!</f>
        <v>#REF!</v>
      </c>
      <c r="C1210" s="16" t="e">
        <f>#REF!</f>
        <v>#REF!</v>
      </c>
      <c r="D1210" s="16" t="e">
        <f>#REF!</f>
        <v>#REF!</v>
      </c>
      <c r="E1210" s="16" t="e">
        <f>#REF!</f>
        <v>#REF!</v>
      </c>
      <c r="F1210" s="16" t="e">
        <f>#REF!</f>
        <v>#REF!</v>
      </c>
      <c r="G1210" s="16" t="e">
        <f>#REF!</f>
        <v>#REF!</v>
      </c>
      <c r="H1210" s="16" t="e">
        <f>#REF!</f>
        <v>#REF!</v>
      </c>
      <c r="I1210" s="16" t="e">
        <f>#REF!</f>
        <v>#REF!</v>
      </c>
      <c r="J1210" s="16" t="e">
        <f>#REF!</f>
        <v>#REF!</v>
      </c>
      <c r="K1210" s="16" t="s">
        <v>744</v>
      </c>
      <c r="L1210" s="16"/>
      <c r="M1210" s="16"/>
      <c r="N1210" s="16"/>
      <c r="O1210" s="16"/>
    </row>
    <row r="1211" spans="1:15" ht="22.5" customHeight="1" thickTop="1" thickBot="1" x14ac:dyDescent="0.25">
      <c r="A1211" s="16" t="e">
        <f>#REF!</f>
        <v>#REF!</v>
      </c>
      <c r="B1211" s="16" t="e">
        <f>#REF!</f>
        <v>#REF!</v>
      </c>
      <c r="C1211" s="16" t="e">
        <f>#REF!</f>
        <v>#REF!</v>
      </c>
      <c r="D1211" s="16" t="e">
        <f>#REF!</f>
        <v>#REF!</v>
      </c>
      <c r="E1211" s="16" t="e">
        <f>#REF!</f>
        <v>#REF!</v>
      </c>
      <c r="F1211" s="16" t="e">
        <f>#REF!</f>
        <v>#REF!</v>
      </c>
      <c r="G1211" s="16" t="e">
        <f>#REF!</f>
        <v>#REF!</v>
      </c>
      <c r="H1211" s="16" t="e">
        <f>#REF!</f>
        <v>#REF!</v>
      </c>
      <c r="I1211" s="16" t="e">
        <f>#REF!</f>
        <v>#REF!</v>
      </c>
      <c r="J1211" s="16" t="e">
        <f>#REF!</f>
        <v>#REF!</v>
      </c>
      <c r="K1211" s="16"/>
      <c r="L1211" s="16"/>
      <c r="M1211" s="16"/>
      <c r="N1211" s="16"/>
      <c r="O1211" s="16"/>
    </row>
    <row r="1212" spans="1:15" ht="22.5" customHeight="1" thickTop="1" thickBot="1" x14ac:dyDescent="0.25">
      <c r="A1212" s="16" t="e">
        <f>#REF!</f>
        <v>#REF!</v>
      </c>
      <c r="B1212" s="16" t="e">
        <f>#REF!</f>
        <v>#REF!</v>
      </c>
      <c r="C1212" s="16" t="e">
        <f>#REF!</f>
        <v>#REF!</v>
      </c>
      <c r="D1212" s="16" t="e">
        <f>#REF!</f>
        <v>#REF!</v>
      </c>
      <c r="E1212" s="16" t="e">
        <f>#REF!</f>
        <v>#REF!</v>
      </c>
      <c r="F1212" s="16" t="e">
        <f>#REF!</f>
        <v>#REF!</v>
      </c>
      <c r="G1212" s="16" t="e">
        <f>#REF!</f>
        <v>#REF!</v>
      </c>
      <c r="H1212" s="16" t="e">
        <f>#REF!</f>
        <v>#REF!</v>
      </c>
      <c r="I1212" s="16" t="e">
        <f>#REF!</f>
        <v>#REF!</v>
      </c>
      <c r="J1212" s="16" t="e">
        <f>#REF!</f>
        <v>#REF!</v>
      </c>
      <c r="K1212" s="16"/>
      <c r="L1212" s="16"/>
      <c r="M1212" s="16"/>
      <c r="N1212" s="16"/>
      <c r="O1212" s="16"/>
    </row>
    <row r="1213" spans="1:15" ht="22.5" customHeight="1" thickTop="1" thickBot="1" x14ac:dyDescent="0.25">
      <c r="A1213" s="16" t="e">
        <f>#REF!</f>
        <v>#REF!</v>
      </c>
      <c r="B1213" s="16" t="e">
        <f>#REF!</f>
        <v>#REF!</v>
      </c>
      <c r="C1213" s="16" t="e">
        <f>#REF!</f>
        <v>#REF!</v>
      </c>
      <c r="D1213" s="16" t="e">
        <f>#REF!</f>
        <v>#REF!</v>
      </c>
      <c r="E1213" s="16" t="e">
        <f>#REF!</f>
        <v>#REF!</v>
      </c>
      <c r="F1213" s="16" t="e">
        <f>#REF!</f>
        <v>#REF!</v>
      </c>
      <c r="G1213" s="16" t="e">
        <f>#REF!</f>
        <v>#REF!</v>
      </c>
      <c r="H1213" s="16" t="e">
        <f>#REF!</f>
        <v>#REF!</v>
      </c>
      <c r="I1213" s="16" t="e">
        <f>#REF!</f>
        <v>#REF!</v>
      </c>
      <c r="J1213" s="16" t="e">
        <f>#REF!</f>
        <v>#REF!</v>
      </c>
      <c r="K1213" s="16"/>
      <c r="L1213" s="16"/>
      <c r="M1213" s="16"/>
      <c r="N1213" s="16"/>
      <c r="O1213" s="16"/>
    </row>
    <row r="1214" spans="1:15" ht="22.5" customHeight="1" thickTop="1" thickBot="1" x14ac:dyDescent="0.25">
      <c r="A1214" s="16" t="e">
        <f>#REF!</f>
        <v>#REF!</v>
      </c>
      <c r="B1214" s="16" t="e">
        <f>#REF!</f>
        <v>#REF!</v>
      </c>
      <c r="C1214" s="16" t="e">
        <f>#REF!</f>
        <v>#REF!</v>
      </c>
      <c r="D1214" s="16" t="e">
        <f>#REF!</f>
        <v>#REF!</v>
      </c>
      <c r="E1214" s="16" t="e">
        <f>#REF!</f>
        <v>#REF!</v>
      </c>
      <c r="F1214" s="16" t="e">
        <f>#REF!</f>
        <v>#REF!</v>
      </c>
      <c r="G1214" s="16" t="e">
        <f>#REF!</f>
        <v>#REF!</v>
      </c>
      <c r="H1214" s="16" t="e">
        <f>#REF!</f>
        <v>#REF!</v>
      </c>
      <c r="I1214" s="16" t="e">
        <f>#REF!</f>
        <v>#REF!</v>
      </c>
      <c r="J1214" s="16" t="e">
        <f>#REF!</f>
        <v>#REF!</v>
      </c>
      <c r="K1214" s="16"/>
      <c r="L1214" s="16"/>
      <c r="M1214" s="16"/>
      <c r="N1214" s="16"/>
      <c r="O1214" s="16"/>
    </row>
    <row r="1215" spans="1:15" ht="22.5" customHeight="1" thickTop="1" thickBot="1" x14ac:dyDescent="0.25">
      <c r="A1215" s="16" t="e">
        <f>#REF!</f>
        <v>#REF!</v>
      </c>
      <c r="B1215" s="16" t="e">
        <f>#REF!</f>
        <v>#REF!</v>
      </c>
      <c r="C1215" s="16" t="e">
        <f>#REF!</f>
        <v>#REF!</v>
      </c>
      <c r="D1215" s="16" t="e">
        <f>#REF!</f>
        <v>#REF!</v>
      </c>
      <c r="E1215" s="16" t="e">
        <f>#REF!</f>
        <v>#REF!</v>
      </c>
      <c r="F1215" s="16" t="e">
        <f>#REF!</f>
        <v>#REF!</v>
      </c>
      <c r="G1215" s="16" t="e">
        <f>#REF!</f>
        <v>#REF!</v>
      </c>
      <c r="H1215" s="16" t="e">
        <f>#REF!</f>
        <v>#REF!</v>
      </c>
      <c r="I1215" s="16" t="e">
        <f>#REF!</f>
        <v>#REF!</v>
      </c>
      <c r="J1215" s="16" t="e">
        <f>#REF!</f>
        <v>#REF!</v>
      </c>
      <c r="K1215" s="16"/>
      <c r="L1215" s="16"/>
      <c r="M1215" s="16"/>
      <c r="N1215" s="16"/>
      <c r="O1215" s="16"/>
    </row>
    <row r="1216" spans="1:15" ht="22.5" customHeight="1" thickTop="1" thickBot="1" x14ac:dyDescent="0.25">
      <c r="A1216" s="16" t="e">
        <f>#REF!</f>
        <v>#REF!</v>
      </c>
      <c r="B1216" s="16" t="e">
        <f>#REF!</f>
        <v>#REF!</v>
      </c>
      <c r="C1216" s="16" t="e">
        <f>#REF!</f>
        <v>#REF!</v>
      </c>
      <c r="D1216" s="16" t="e">
        <f>#REF!</f>
        <v>#REF!</v>
      </c>
      <c r="E1216" s="16" t="e">
        <f>#REF!</f>
        <v>#REF!</v>
      </c>
      <c r="F1216" s="16" t="e">
        <f>#REF!</f>
        <v>#REF!</v>
      </c>
      <c r="G1216" s="16" t="e">
        <f>#REF!</f>
        <v>#REF!</v>
      </c>
      <c r="H1216" s="16" t="e">
        <f>#REF!</f>
        <v>#REF!</v>
      </c>
      <c r="I1216" s="16" t="e">
        <f>#REF!</f>
        <v>#REF!</v>
      </c>
      <c r="J1216" s="16" t="e">
        <f>#REF!</f>
        <v>#REF!</v>
      </c>
      <c r="K1216" s="16" t="s">
        <v>744</v>
      </c>
      <c r="L1216" s="16"/>
      <c r="M1216" s="16"/>
      <c r="N1216" s="16"/>
      <c r="O1216" s="16"/>
    </row>
    <row r="1217" spans="1:15" ht="22.5" customHeight="1" thickTop="1" thickBot="1" x14ac:dyDescent="0.25">
      <c r="A1217" s="16" t="e">
        <f>#REF!</f>
        <v>#REF!</v>
      </c>
      <c r="B1217" s="16" t="e">
        <f>#REF!</f>
        <v>#REF!</v>
      </c>
      <c r="C1217" s="16" t="e">
        <f>#REF!</f>
        <v>#REF!</v>
      </c>
      <c r="D1217" s="16" t="e">
        <f>#REF!</f>
        <v>#REF!</v>
      </c>
      <c r="E1217" s="16" t="e">
        <f>#REF!</f>
        <v>#REF!</v>
      </c>
      <c r="F1217" s="16" t="e">
        <f>#REF!</f>
        <v>#REF!</v>
      </c>
      <c r="G1217" s="16" t="e">
        <f>#REF!</f>
        <v>#REF!</v>
      </c>
      <c r="H1217" s="16" t="e">
        <f>#REF!</f>
        <v>#REF!</v>
      </c>
      <c r="I1217" s="16" t="e">
        <f>#REF!</f>
        <v>#REF!</v>
      </c>
      <c r="J1217" s="16" t="e">
        <f>#REF!</f>
        <v>#REF!</v>
      </c>
      <c r="K1217" s="16"/>
      <c r="L1217" s="16"/>
      <c r="M1217" s="16"/>
      <c r="N1217" s="16"/>
      <c r="O1217" s="16"/>
    </row>
    <row r="1218" spans="1:15" ht="22.5" customHeight="1" thickTop="1" thickBot="1" x14ac:dyDescent="0.25">
      <c r="A1218" s="16" t="e">
        <f>#REF!</f>
        <v>#REF!</v>
      </c>
      <c r="B1218" s="16" t="e">
        <f>#REF!</f>
        <v>#REF!</v>
      </c>
      <c r="C1218" s="16" t="e">
        <f>#REF!</f>
        <v>#REF!</v>
      </c>
      <c r="D1218" s="16" t="e">
        <f>#REF!</f>
        <v>#REF!</v>
      </c>
      <c r="E1218" s="16" t="e">
        <f>#REF!</f>
        <v>#REF!</v>
      </c>
      <c r="F1218" s="16" t="e">
        <f>#REF!</f>
        <v>#REF!</v>
      </c>
      <c r="G1218" s="16" t="e">
        <f>#REF!</f>
        <v>#REF!</v>
      </c>
      <c r="H1218" s="16" t="e">
        <f>#REF!</f>
        <v>#REF!</v>
      </c>
      <c r="I1218" s="16" t="e">
        <f>#REF!</f>
        <v>#REF!</v>
      </c>
      <c r="J1218" s="16" t="e">
        <f>#REF!</f>
        <v>#REF!</v>
      </c>
      <c r="K1218" s="16" t="s">
        <v>744</v>
      </c>
      <c r="L1218" s="16"/>
      <c r="M1218" s="16"/>
      <c r="N1218" s="16"/>
      <c r="O1218" s="16"/>
    </row>
    <row r="1219" spans="1:15" ht="22.5" customHeight="1" thickTop="1" thickBot="1" x14ac:dyDescent="0.25">
      <c r="A1219" s="16" t="e">
        <f>#REF!</f>
        <v>#REF!</v>
      </c>
      <c r="B1219" s="16" t="e">
        <f>#REF!</f>
        <v>#REF!</v>
      </c>
      <c r="C1219" s="16" t="e">
        <f>#REF!</f>
        <v>#REF!</v>
      </c>
      <c r="D1219" s="16" t="e">
        <f>#REF!</f>
        <v>#REF!</v>
      </c>
      <c r="E1219" s="16" t="e">
        <f>#REF!</f>
        <v>#REF!</v>
      </c>
      <c r="F1219" s="16" t="e">
        <f>#REF!</f>
        <v>#REF!</v>
      </c>
      <c r="G1219" s="16" t="e">
        <f>#REF!</f>
        <v>#REF!</v>
      </c>
      <c r="H1219" s="16" t="e">
        <f>#REF!</f>
        <v>#REF!</v>
      </c>
      <c r="I1219" s="16" t="e">
        <f>#REF!</f>
        <v>#REF!</v>
      </c>
      <c r="J1219" s="16" t="e">
        <f>#REF!</f>
        <v>#REF!</v>
      </c>
      <c r="K1219" s="16" t="s">
        <v>744</v>
      </c>
      <c r="L1219" s="16"/>
      <c r="M1219" s="16"/>
      <c r="N1219" s="16"/>
      <c r="O1219" s="16"/>
    </row>
    <row r="1220" spans="1:15" ht="22.5" customHeight="1" thickTop="1" thickBot="1" x14ac:dyDescent="0.25">
      <c r="A1220" s="16" t="e">
        <f>#REF!</f>
        <v>#REF!</v>
      </c>
      <c r="B1220" s="16" t="e">
        <f>#REF!</f>
        <v>#REF!</v>
      </c>
      <c r="C1220" s="16" t="e">
        <f>#REF!</f>
        <v>#REF!</v>
      </c>
      <c r="D1220" s="16" t="e">
        <f>#REF!</f>
        <v>#REF!</v>
      </c>
      <c r="E1220" s="16" t="e">
        <f>#REF!</f>
        <v>#REF!</v>
      </c>
      <c r="F1220" s="16" t="e">
        <f>#REF!</f>
        <v>#REF!</v>
      </c>
      <c r="G1220" s="16" t="e">
        <f>#REF!</f>
        <v>#REF!</v>
      </c>
      <c r="H1220" s="16" t="e">
        <f>#REF!</f>
        <v>#REF!</v>
      </c>
      <c r="I1220" s="16" t="e">
        <f>#REF!</f>
        <v>#REF!</v>
      </c>
      <c r="J1220" s="16" t="e">
        <f>#REF!</f>
        <v>#REF!</v>
      </c>
      <c r="K1220" s="16" t="s">
        <v>744</v>
      </c>
      <c r="L1220" s="16"/>
      <c r="M1220" s="16"/>
      <c r="N1220" s="16"/>
      <c r="O1220" s="16"/>
    </row>
    <row r="1221" spans="1:15" ht="22.5" customHeight="1" thickTop="1" thickBot="1" x14ac:dyDescent="0.25">
      <c r="A1221" s="16" t="e">
        <f>#REF!</f>
        <v>#REF!</v>
      </c>
      <c r="B1221" s="16" t="e">
        <f>#REF!</f>
        <v>#REF!</v>
      </c>
      <c r="C1221" s="16" t="e">
        <f>#REF!</f>
        <v>#REF!</v>
      </c>
      <c r="D1221" s="16" t="e">
        <f>#REF!</f>
        <v>#REF!</v>
      </c>
      <c r="E1221" s="16" t="e">
        <f>#REF!</f>
        <v>#REF!</v>
      </c>
      <c r="F1221" s="16" t="e">
        <f>#REF!</f>
        <v>#REF!</v>
      </c>
      <c r="G1221" s="16" t="e">
        <f>#REF!</f>
        <v>#REF!</v>
      </c>
      <c r="H1221" s="16" t="e">
        <f>#REF!</f>
        <v>#REF!</v>
      </c>
      <c r="I1221" s="16" t="e">
        <f>#REF!</f>
        <v>#REF!</v>
      </c>
      <c r="J1221" s="16" t="e">
        <f>#REF!</f>
        <v>#REF!</v>
      </c>
      <c r="K1221" s="16" t="s">
        <v>744</v>
      </c>
      <c r="L1221" s="16"/>
      <c r="M1221" s="16"/>
      <c r="N1221" s="16"/>
      <c r="O1221" s="16"/>
    </row>
    <row r="1222" spans="1:15" ht="22.5" customHeight="1" thickTop="1" thickBot="1" x14ac:dyDescent="0.25">
      <c r="A1222" s="16" t="e">
        <f>#REF!</f>
        <v>#REF!</v>
      </c>
      <c r="B1222" s="16" t="e">
        <f>#REF!</f>
        <v>#REF!</v>
      </c>
      <c r="C1222" s="16" t="e">
        <f>#REF!</f>
        <v>#REF!</v>
      </c>
      <c r="D1222" s="16" t="e">
        <f>#REF!</f>
        <v>#REF!</v>
      </c>
      <c r="E1222" s="16" t="e">
        <f>#REF!</f>
        <v>#REF!</v>
      </c>
      <c r="F1222" s="16" t="e">
        <f>#REF!</f>
        <v>#REF!</v>
      </c>
      <c r="G1222" s="16" t="e">
        <f>#REF!</f>
        <v>#REF!</v>
      </c>
      <c r="H1222" s="16" t="e">
        <f>#REF!</f>
        <v>#REF!</v>
      </c>
      <c r="I1222" s="16" t="e">
        <f>#REF!</f>
        <v>#REF!</v>
      </c>
      <c r="J1222" s="16" t="e">
        <f>#REF!</f>
        <v>#REF!</v>
      </c>
      <c r="K1222" s="16" t="s">
        <v>744</v>
      </c>
      <c r="L1222" s="16"/>
      <c r="M1222" s="16"/>
      <c r="N1222" s="16"/>
      <c r="O1222" s="16"/>
    </row>
    <row r="1223" spans="1:15" ht="22.5" customHeight="1" thickTop="1" thickBot="1" x14ac:dyDescent="0.25">
      <c r="A1223" s="16" t="e">
        <f>#REF!</f>
        <v>#REF!</v>
      </c>
      <c r="B1223" s="16" t="e">
        <f>#REF!</f>
        <v>#REF!</v>
      </c>
      <c r="C1223" s="16" t="e">
        <f>#REF!</f>
        <v>#REF!</v>
      </c>
      <c r="D1223" s="16" t="e">
        <f>#REF!</f>
        <v>#REF!</v>
      </c>
      <c r="E1223" s="16" t="e">
        <f>#REF!</f>
        <v>#REF!</v>
      </c>
      <c r="F1223" s="16" t="e">
        <f>#REF!</f>
        <v>#REF!</v>
      </c>
      <c r="G1223" s="16" t="e">
        <f>#REF!</f>
        <v>#REF!</v>
      </c>
      <c r="H1223" s="16" t="e">
        <f>#REF!</f>
        <v>#REF!</v>
      </c>
      <c r="I1223" s="16" t="e">
        <f>#REF!</f>
        <v>#REF!</v>
      </c>
      <c r="J1223" s="16" t="e">
        <f>#REF!</f>
        <v>#REF!</v>
      </c>
      <c r="K1223" s="16" t="s">
        <v>744</v>
      </c>
      <c r="L1223" s="16"/>
      <c r="M1223" s="16"/>
      <c r="N1223" s="16"/>
      <c r="O1223" s="16"/>
    </row>
    <row r="1224" spans="1:15" ht="22.5" customHeight="1" thickTop="1" thickBot="1" x14ac:dyDescent="0.25">
      <c r="A1224" s="16" t="e">
        <f>#REF!</f>
        <v>#REF!</v>
      </c>
      <c r="B1224" s="16" t="e">
        <f>#REF!</f>
        <v>#REF!</v>
      </c>
      <c r="C1224" s="16" t="e">
        <f>#REF!</f>
        <v>#REF!</v>
      </c>
      <c r="D1224" s="16" t="e">
        <f>#REF!</f>
        <v>#REF!</v>
      </c>
      <c r="E1224" s="16" t="e">
        <f>#REF!</f>
        <v>#REF!</v>
      </c>
      <c r="F1224" s="16" t="e">
        <f>#REF!</f>
        <v>#REF!</v>
      </c>
      <c r="G1224" s="16" t="e">
        <f>#REF!</f>
        <v>#REF!</v>
      </c>
      <c r="H1224" s="16" t="e">
        <f>#REF!</f>
        <v>#REF!</v>
      </c>
      <c r="I1224" s="16" t="e">
        <f>#REF!</f>
        <v>#REF!</v>
      </c>
      <c r="J1224" s="16" t="e">
        <f>#REF!</f>
        <v>#REF!</v>
      </c>
      <c r="K1224" s="16"/>
      <c r="L1224" s="16"/>
      <c r="M1224" s="16"/>
      <c r="N1224" s="16"/>
      <c r="O1224" s="16"/>
    </row>
    <row r="1225" spans="1:15" ht="22.5" customHeight="1" thickTop="1" thickBot="1" x14ac:dyDescent="0.25">
      <c r="A1225" s="16" t="e">
        <f>#REF!</f>
        <v>#REF!</v>
      </c>
      <c r="B1225" s="16" t="e">
        <f>#REF!</f>
        <v>#REF!</v>
      </c>
      <c r="C1225" s="16" t="e">
        <f>#REF!</f>
        <v>#REF!</v>
      </c>
      <c r="D1225" s="16" t="e">
        <f>#REF!</f>
        <v>#REF!</v>
      </c>
      <c r="E1225" s="16" t="e">
        <f>#REF!</f>
        <v>#REF!</v>
      </c>
      <c r="F1225" s="16" t="e">
        <f>#REF!</f>
        <v>#REF!</v>
      </c>
      <c r="G1225" s="16" t="e">
        <f>#REF!</f>
        <v>#REF!</v>
      </c>
      <c r="H1225" s="16" t="e">
        <f>#REF!</f>
        <v>#REF!</v>
      </c>
      <c r="I1225" s="16" t="e">
        <f>#REF!</f>
        <v>#REF!</v>
      </c>
      <c r="J1225" s="16" t="e">
        <f>#REF!</f>
        <v>#REF!</v>
      </c>
      <c r="K1225" s="16" t="s">
        <v>744</v>
      </c>
      <c r="L1225" s="16"/>
      <c r="M1225" s="16"/>
      <c r="N1225" s="16"/>
      <c r="O1225" s="16"/>
    </row>
    <row r="1226" spans="1:15" ht="22.5" customHeight="1" thickTop="1" thickBot="1" x14ac:dyDescent="0.25">
      <c r="A1226" s="16" t="e">
        <f>#REF!</f>
        <v>#REF!</v>
      </c>
      <c r="B1226" s="16" t="e">
        <f>#REF!</f>
        <v>#REF!</v>
      </c>
      <c r="C1226" s="16" t="e">
        <f>#REF!</f>
        <v>#REF!</v>
      </c>
      <c r="D1226" s="16" t="e">
        <f>#REF!</f>
        <v>#REF!</v>
      </c>
      <c r="E1226" s="16" t="e">
        <f>#REF!</f>
        <v>#REF!</v>
      </c>
      <c r="F1226" s="16" t="e">
        <f>#REF!</f>
        <v>#REF!</v>
      </c>
      <c r="G1226" s="16" t="e">
        <f>#REF!</f>
        <v>#REF!</v>
      </c>
      <c r="H1226" s="16" t="e">
        <f>#REF!</f>
        <v>#REF!</v>
      </c>
      <c r="I1226" s="16" t="e">
        <f>#REF!</f>
        <v>#REF!</v>
      </c>
      <c r="J1226" s="16" t="e">
        <f>#REF!</f>
        <v>#REF!</v>
      </c>
      <c r="K1226" s="16"/>
      <c r="L1226" s="16"/>
      <c r="M1226" s="16"/>
      <c r="N1226" s="16"/>
      <c r="O1226" s="16"/>
    </row>
    <row r="1227" spans="1:15" ht="22.5" customHeight="1" thickTop="1" thickBot="1" x14ac:dyDescent="0.25">
      <c r="A1227" s="16" t="e">
        <f>#REF!</f>
        <v>#REF!</v>
      </c>
      <c r="B1227" s="16" t="e">
        <f>#REF!</f>
        <v>#REF!</v>
      </c>
      <c r="C1227" s="16" t="e">
        <f>#REF!</f>
        <v>#REF!</v>
      </c>
      <c r="D1227" s="16" t="e">
        <f>#REF!</f>
        <v>#REF!</v>
      </c>
      <c r="E1227" s="16" t="e">
        <f>#REF!</f>
        <v>#REF!</v>
      </c>
      <c r="F1227" s="16" t="e">
        <f>#REF!</f>
        <v>#REF!</v>
      </c>
      <c r="G1227" s="16" t="e">
        <f>#REF!</f>
        <v>#REF!</v>
      </c>
      <c r="H1227" s="16" t="e">
        <f>#REF!</f>
        <v>#REF!</v>
      </c>
      <c r="I1227" s="16" t="e">
        <f>#REF!</f>
        <v>#REF!</v>
      </c>
      <c r="J1227" s="16" t="e">
        <f>#REF!</f>
        <v>#REF!</v>
      </c>
      <c r="K1227" s="16"/>
      <c r="L1227" s="16"/>
      <c r="M1227" s="16"/>
      <c r="N1227" s="16"/>
      <c r="O1227" s="16"/>
    </row>
    <row r="1228" spans="1:15" ht="22.5" customHeight="1" thickTop="1" thickBot="1" x14ac:dyDescent="0.25">
      <c r="A1228" s="16" t="e">
        <f>#REF!</f>
        <v>#REF!</v>
      </c>
      <c r="B1228" s="16" t="e">
        <f>#REF!</f>
        <v>#REF!</v>
      </c>
      <c r="C1228" s="16" t="e">
        <f>#REF!</f>
        <v>#REF!</v>
      </c>
      <c r="D1228" s="16" t="e">
        <f>#REF!</f>
        <v>#REF!</v>
      </c>
      <c r="E1228" s="16" t="e">
        <f>#REF!</f>
        <v>#REF!</v>
      </c>
      <c r="F1228" s="16" t="e">
        <f>#REF!</f>
        <v>#REF!</v>
      </c>
      <c r="G1228" s="16" t="e">
        <f>#REF!</f>
        <v>#REF!</v>
      </c>
      <c r="H1228" s="16" t="e">
        <f>#REF!</f>
        <v>#REF!</v>
      </c>
      <c r="I1228" s="16" t="e">
        <f>#REF!</f>
        <v>#REF!</v>
      </c>
      <c r="J1228" s="16" t="e">
        <f>#REF!</f>
        <v>#REF!</v>
      </c>
      <c r="K1228" s="16"/>
      <c r="L1228" s="16"/>
      <c r="M1228" s="16"/>
      <c r="N1228" s="16"/>
      <c r="O1228" s="16"/>
    </row>
    <row r="1229" spans="1:15" ht="22.5" customHeight="1" thickTop="1" thickBot="1" x14ac:dyDescent="0.25">
      <c r="A1229" s="16" t="e">
        <f>#REF!</f>
        <v>#REF!</v>
      </c>
      <c r="B1229" s="16" t="e">
        <f>#REF!</f>
        <v>#REF!</v>
      </c>
      <c r="C1229" s="16" t="e">
        <f>#REF!</f>
        <v>#REF!</v>
      </c>
      <c r="D1229" s="16" t="e">
        <f>#REF!</f>
        <v>#REF!</v>
      </c>
      <c r="E1229" s="16" t="e">
        <f>#REF!</f>
        <v>#REF!</v>
      </c>
      <c r="F1229" s="16" t="e">
        <f>#REF!</f>
        <v>#REF!</v>
      </c>
      <c r="G1229" s="16" t="e">
        <f>#REF!</f>
        <v>#REF!</v>
      </c>
      <c r="H1229" s="16" t="e">
        <f>#REF!</f>
        <v>#REF!</v>
      </c>
      <c r="I1229" s="16" t="e">
        <f>#REF!</f>
        <v>#REF!</v>
      </c>
      <c r="J1229" s="16" t="e">
        <f>#REF!</f>
        <v>#REF!</v>
      </c>
      <c r="K1229" s="16" t="s">
        <v>744</v>
      </c>
      <c r="L1229" s="16"/>
      <c r="M1229" s="16"/>
      <c r="N1229" s="16"/>
      <c r="O1229" s="16"/>
    </row>
    <row r="1230" spans="1:15" ht="22.5" customHeight="1" thickTop="1" thickBot="1" x14ac:dyDescent="0.25">
      <c r="A1230" s="16" t="e">
        <f>#REF!</f>
        <v>#REF!</v>
      </c>
      <c r="B1230" s="16" t="e">
        <f>#REF!</f>
        <v>#REF!</v>
      </c>
      <c r="C1230" s="16" t="e">
        <f>#REF!</f>
        <v>#REF!</v>
      </c>
      <c r="D1230" s="16" t="e">
        <f>#REF!</f>
        <v>#REF!</v>
      </c>
      <c r="E1230" s="16" t="e">
        <f>#REF!</f>
        <v>#REF!</v>
      </c>
      <c r="F1230" s="16" t="e">
        <f>#REF!</f>
        <v>#REF!</v>
      </c>
      <c r="G1230" s="16" t="e">
        <f>#REF!</f>
        <v>#REF!</v>
      </c>
      <c r="H1230" s="16" t="e">
        <f>#REF!</f>
        <v>#REF!</v>
      </c>
      <c r="I1230" s="16" t="e">
        <f>#REF!</f>
        <v>#REF!</v>
      </c>
      <c r="J1230" s="16" t="e">
        <f>#REF!</f>
        <v>#REF!</v>
      </c>
      <c r="K1230" s="16"/>
      <c r="L1230" s="16"/>
      <c r="M1230" s="16"/>
      <c r="N1230" s="16"/>
      <c r="O1230" s="16"/>
    </row>
    <row r="1231" spans="1:15" ht="22.5" customHeight="1" thickTop="1" thickBot="1" x14ac:dyDescent="0.25">
      <c r="A1231" s="16" t="e">
        <f>#REF!</f>
        <v>#REF!</v>
      </c>
      <c r="B1231" s="16" t="e">
        <f>#REF!</f>
        <v>#REF!</v>
      </c>
      <c r="C1231" s="16" t="e">
        <f>#REF!</f>
        <v>#REF!</v>
      </c>
      <c r="D1231" s="16" t="e">
        <f>#REF!</f>
        <v>#REF!</v>
      </c>
      <c r="E1231" s="16" t="e">
        <f>#REF!</f>
        <v>#REF!</v>
      </c>
      <c r="F1231" s="16" t="e">
        <f>#REF!</f>
        <v>#REF!</v>
      </c>
      <c r="G1231" s="16" t="e">
        <f>#REF!</f>
        <v>#REF!</v>
      </c>
      <c r="H1231" s="16" t="e">
        <f>#REF!</f>
        <v>#REF!</v>
      </c>
      <c r="I1231" s="16" t="e">
        <f>#REF!</f>
        <v>#REF!</v>
      </c>
      <c r="J1231" s="16" t="e">
        <f>#REF!</f>
        <v>#REF!</v>
      </c>
      <c r="K1231" s="16"/>
      <c r="L1231" s="16"/>
      <c r="M1231" s="16"/>
      <c r="N1231" s="16"/>
      <c r="O1231" s="16"/>
    </row>
    <row r="1232" spans="1:15" ht="22.5" customHeight="1" thickTop="1" thickBot="1" x14ac:dyDescent="0.25">
      <c r="A1232" s="16" t="e">
        <f>#REF!</f>
        <v>#REF!</v>
      </c>
      <c r="B1232" s="16" t="e">
        <f>#REF!</f>
        <v>#REF!</v>
      </c>
      <c r="C1232" s="16" t="e">
        <f>#REF!</f>
        <v>#REF!</v>
      </c>
      <c r="D1232" s="16" t="e">
        <f>#REF!</f>
        <v>#REF!</v>
      </c>
      <c r="E1232" s="16" t="e">
        <f>#REF!</f>
        <v>#REF!</v>
      </c>
      <c r="F1232" s="16" t="e">
        <f>#REF!</f>
        <v>#REF!</v>
      </c>
      <c r="G1232" s="16" t="e">
        <f>#REF!</f>
        <v>#REF!</v>
      </c>
      <c r="H1232" s="16" t="e">
        <f>#REF!</f>
        <v>#REF!</v>
      </c>
      <c r="I1232" s="16" t="e">
        <f>#REF!</f>
        <v>#REF!</v>
      </c>
      <c r="J1232" s="16" t="e">
        <f>#REF!</f>
        <v>#REF!</v>
      </c>
      <c r="K1232" s="16"/>
      <c r="L1232" s="16"/>
      <c r="M1232" s="16"/>
      <c r="N1232" s="16"/>
      <c r="O1232" s="16"/>
    </row>
    <row r="1233" spans="1:15" ht="22.5" customHeight="1" thickTop="1" thickBot="1" x14ac:dyDescent="0.25">
      <c r="A1233" s="16" t="e">
        <f>#REF!</f>
        <v>#REF!</v>
      </c>
      <c r="B1233" s="16" t="e">
        <f>#REF!</f>
        <v>#REF!</v>
      </c>
      <c r="C1233" s="16" t="e">
        <f>#REF!</f>
        <v>#REF!</v>
      </c>
      <c r="D1233" s="16" t="e">
        <f>#REF!</f>
        <v>#REF!</v>
      </c>
      <c r="E1233" s="16" t="e">
        <f>#REF!</f>
        <v>#REF!</v>
      </c>
      <c r="F1233" s="16" t="e">
        <f>#REF!</f>
        <v>#REF!</v>
      </c>
      <c r="G1233" s="16" t="e">
        <f>#REF!</f>
        <v>#REF!</v>
      </c>
      <c r="H1233" s="16" t="e">
        <f>#REF!</f>
        <v>#REF!</v>
      </c>
      <c r="I1233" s="16" t="e">
        <f>#REF!</f>
        <v>#REF!</v>
      </c>
      <c r="J1233" s="16" t="e">
        <f>#REF!</f>
        <v>#REF!</v>
      </c>
      <c r="K1233" s="16"/>
      <c r="L1233" s="16"/>
      <c r="M1233" s="16"/>
      <c r="N1233" s="16"/>
      <c r="O1233" s="16"/>
    </row>
    <row r="1234" spans="1:15" ht="22.5" customHeight="1" thickTop="1" thickBot="1" x14ac:dyDescent="0.25">
      <c r="A1234" s="16" t="e">
        <f>#REF!</f>
        <v>#REF!</v>
      </c>
      <c r="B1234" s="16" t="e">
        <f>#REF!</f>
        <v>#REF!</v>
      </c>
      <c r="C1234" s="16" t="e">
        <f>#REF!</f>
        <v>#REF!</v>
      </c>
      <c r="D1234" s="16" t="e">
        <f>#REF!</f>
        <v>#REF!</v>
      </c>
      <c r="E1234" s="16" t="e">
        <f>#REF!</f>
        <v>#REF!</v>
      </c>
      <c r="F1234" s="16" t="e">
        <f>#REF!</f>
        <v>#REF!</v>
      </c>
      <c r="G1234" s="16" t="e">
        <f>#REF!</f>
        <v>#REF!</v>
      </c>
      <c r="H1234" s="16" t="e">
        <f>#REF!</f>
        <v>#REF!</v>
      </c>
      <c r="I1234" s="16" t="e">
        <f>#REF!</f>
        <v>#REF!</v>
      </c>
      <c r="J1234" s="16" t="e">
        <f>#REF!</f>
        <v>#REF!</v>
      </c>
      <c r="K1234" s="16"/>
      <c r="L1234" s="16"/>
      <c r="M1234" s="16"/>
      <c r="N1234" s="16"/>
      <c r="O1234" s="16"/>
    </row>
    <row r="1235" spans="1:15" ht="22.5" customHeight="1" thickTop="1" thickBot="1" x14ac:dyDescent="0.25">
      <c r="A1235" s="16" t="e">
        <f>#REF!</f>
        <v>#REF!</v>
      </c>
      <c r="B1235" s="16" t="e">
        <f>#REF!</f>
        <v>#REF!</v>
      </c>
      <c r="C1235" s="16" t="e">
        <f>#REF!</f>
        <v>#REF!</v>
      </c>
      <c r="D1235" s="16" t="e">
        <f>#REF!</f>
        <v>#REF!</v>
      </c>
      <c r="E1235" s="16" t="e">
        <f>#REF!</f>
        <v>#REF!</v>
      </c>
      <c r="F1235" s="16" t="e">
        <f>#REF!</f>
        <v>#REF!</v>
      </c>
      <c r="G1235" s="16" t="e">
        <f>#REF!</f>
        <v>#REF!</v>
      </c>
      <c r="H1235" s="16" t="e">
        <f>#REF!</f>
        <v>#REF!</v>
      </c>
      <c r="I1235" s="16" t="e">
        <f>#REF!</f>
        <v>#REF!</v>
      </c>
      <c r="J1235" s="16" t="e">
        <f>#REF!</f>
        <v>#REF!</v>
      </c>
      <c r="K1235" s="16"/>
      <c r="L1235" s="16"/>
      <c r="M1235" s="16"/>
      <c r="N1235" s="16"/>
      <c r="O1235" s="16"/>
    </row>
    <row r="1236" spans="1:15" ht="22.5" customHeight="1" thickTop="1" thickBot="1" x14ac:dyDescent="0.25">
      <c r="A1236" s="16" t="e">
        <f>#REF!</f>
        <v>#REF!</v>
      </c>
      <c r="B1236" s="16" t="e">
        <f>#REF!</f>
        <v>#REF!</v>
      </c>
      <c r="C1236" s="16" t="e">
        <f>#REF!</f>
        <v>#REF!</v>
      </c>
      <c r="D1236" s="16" t="e">
        <f>#REF!</f>
        <v>#REF!</v>
      </c>
      <c r="E1236" s="16" t="e">
        <f>#REF!</f>
        <v>#REF!</v>
      </c>
      <c r="F1236" s="16" t="e">
        <f>#REF!</f>
        <v>#REF!</v>
      </c>
      <c r="G1236" s="16" t="e">
        <f>#REF!</f>
        <v>#REF!</v>
      </c>
      <c r="H1236" s="16" t="e">
        <f>#REF!</f>
        <v>#REF!</v>
      </c>
      <c r="I1236" s="16" t="e">
        <f>#REF!</f>
        <v>#REF!</v>
      </c>
      <c r="J1236" s="16" t="e">
        <f>#REF!</f>
        <v>#REF!</v>
      </c>
      <c r="K1236" s="16"/>
      <c r="L1236" s="16"/>
      <c r="M1236" s="16"/>
      <c r="N1236" s="16"/>
      <c r="O1236" s="16"/>
    </row>
    <row r="1237" spans="1:15" ht="22.5" customHeight="1" thickTop="1" thickBot="1" x14ac:dyDescent="0.25">
      <c r="A1237" s="16" t="e">
        <f>#REF!</f>
        <v>#REF!</v>
      </c>
      <c r="B1237" s="16" t="e">
        <f>#REF!</f>
        <v>#REF!</v>
      </c>
      <c r="C1237" s="16" t="e">
        <f>#REF!</f>
        <v>#REF!</v>
      </c>
      <c r="D1237" s="16" t="e">
        <f>#REF!</f>
        <v>#REF!</v>
      </c>
      <c r="E1237" s="16" t="e">
        <f>#REF!</f>
        <v>#REF!</v>
      </c>
      <c r="F1237" s="16" t="e">
        <f>#REF!</f>
        <v>#REF!</v>
      </c>
      <c r="G1237" s="16" t="e">
        <f>#REF!</f>
        <v>#REF!</v>
      </c>
      <c r="H1237" s="16" t="e">
        <f>#REF!</f>
        <v>#REF!</v>
      </c>
      <c r="I1237" s="16" t="e">
        <f>#REF!</f>
        <v>#REF!</v>
      </c>
      <c r="J1237" s="16" t="e">
        <f>#REF!</f>
        <v>#REF!</v>
      </c>
      <c r="K1237" s="16" t="s">
        <v>752</v>
      </c>
      <c r="L1237" s="16"/>
      <c r="M1237" s="16"/>
      <c r="N1237" s="16"/>
      <c r="O1237" s="16"/>
    </row>
    <row r="1238" spans="1:15" ht="22.5" customHeight="1" thickTop="1" thickBot="1" x14ac:dyDescent="0.25">
      <c r="A1238" s="16" t="e">
        <f>#REF!</f>
        <v>#REF!</v>
      </c>
      <c r="B1238" s="16" t="e">
        <f>#REF!</f>
        <v>#REF!</v>
      </c>
      <c r="C1238" s="16" t="e">
        <f>#REF!</f>
        <v>#REF!</v>
      </c>
      <c r="D1238" s="16" t="e">
        <f>#REF!</f>
        <v>#REF!</v>
      </c>
      <c r="E1238" s="16" t="e">
        <f>#REF!</f>
        <v>#REF!</v>
      </c>
      <c r="F1238" s="16" t="e">
        <f>#REF!</f>
        <v>#REF!</v>
      </c>
      <c r="G1238" s="16" t="e">
        <f>#REF!</f>
        <v>#REF!</v>
      </c>
      <c r="H1238" s="16" t="e">
        <f>#REF!</f>
        <v>#REF!</v>
      </c>
      <c r="I1238" s="16" t="e">
        <f>#REF!</f>
        <v>#REF!</v>
      </c>
      <c r="J1238" s="16" t="e">
        <f>#REF!</f>
        <v>#REF!</v>
      </c>
      <c r="K1238" s="16" t="s">
        <v>752</v>
      </c>
      <c r="L1238" s="16"/>
      <c r="M1238" s="16"/>
      <c r="N1238" s="16"/>
      <c r="O1238" s="16"/>
    </row>
    <row r="1239" spans="1:15" ht="22.5" customHeight="1" thickTop="1" thickBot="1" x14ac:dyDescent="0.25">
      <c r="A1239" s="16" t="e">
        <f>#REF!</f>
        <v>#REF!</v>
      </c>
      <c r="B1239" s="16" t="e">
        <f>#REF!</f>
        <v>#REF!</v>
      </c>
      <c r="C1239" s="16" t="e">
        <f>#REF!</f>
        <v>#REF!</v>
      </c>
      <c r="D1239" s="16" t="e">
        <f>#REF!</f>
        <v>#REF!</v>
      </c>
      <c r="E1239" s="16" t="e">
        <f>#REF!</f>
        <v>#REF!</v>
      </c>
      <c r="F1239" s="16" t="e">
        <f>#REF!</f>
        <v>#REF!</v>
      </c>
      <c r="G1239" s="16" t="e">
        <f>#REF!</f>
        <v>#REF!</v>
      </c>
      <c r="H1239" s="16" t="e">
        <f>#REF!</f>
        <v>#REF!</v>
      </c>
      <c r="I1239" s="16" t="e">
        <f>#REF!</f>
        <v>#REF!</v>
      </c>
      <c r="J1239" s="16" t="e">
        <f>#REF!</f>
        <v>#REF!</v>
      </c>
      <c r="K1239" s="16" t="s">
        <v>752</v>
      </c>
      <c r="L1239" s="16"/>
      <c r="M1239" s="16"/>
      <c r="N1239" s="16"/>
      <c r="O1239" s="16"/>
    </row>
    <row r="1240" spans="1:15" ht="22.5" customHeight="1" thickTop="1" thickBot="1" x14ac:dyDescent="0.25">
      <c r="A1240" s="16" t="e">
        <f>#REF!</f>
        <v>#REF!</v>
      </c>
      <c r="B1240" s="16" t="e">
        <f>#REF!</f>
        <v>#REF!</v>
      </c>
      <c r="C1240" s="16" t="e">
        <f>#REF!</f>
        <v>#REF!</v>
      </c>
      <c r="D1240" s="16" t="e">
        <f>#REF!</f>
        <v>#REF!</v>
      </c>
      <c r="E1240" s="16" t="e">
        <f>#REF!</f>
        <v>#REF!</v>
      </c>
      <c r="F1240" s="16" t="e">
        <f>#REF!</f>
        <v>#REF!</v>
      </c>
      <c r="G1240" s="16" t="e">
        <f>#REF!</f>
        <v>#REF!</v>
      </c>
      <c r="H1240" s="16" t="e">
        <f>#REF!</f>
        <v>#REF!</v>
      </c>
      <c r="I1240" s="16" t="e">
        <f>#REF!</f>
        <v>#REF!</v>
      </c>
      <c r="J1240" s="16" t="e">
        <f>#REF!</f>
        <v>#REF!</v>
      </c>
      <c r="K1240" s="16" t="s">
        <v>752</v>
      </c>
      <c r="L1240" s="16"/>
      <c r="M1240" s="16"/>
      <c r="N1240" s="16"/>
      <c r="O1240" s="16"/>
    </row>
    <row r="1241" spans="1:15" ht="22.5" customHeight="1" thickTop="1" thickBot="1" x14ac:dyDescent="0.25">
      <c r="A1241" s="16" t="e">
        <f>#REF!</f>
        <v>#REF!</v>
      </c>
      <c r="B1241" s="16" t="e">
        <f>#REF!</f>
        <v>#REF!</v>
      </c>
      <c r="C1241" s="16" t="e">
        <f>#REF!</f>
        <v>#REF!</v>
      </c>
      <c r="D1241" s="16" t="e">
        <f>#REF!</f>
        <v>#REF!</v>
      </c>
      <c r="E1241" s="16" t="e">
        <f>#REF!</f>
        <v>#REF!</v>
      </c>
      <c r="F1241" s="16" t="e">
        <f>#REF!</f>
        <v>#REF!</v>
      </c>
      <c r="G1241" s="16" t="e">
        <f>#REF!</f>
        <v>#REF!</v>
      </c>
      <c r="H1241" s="16" t="e">
        <f>#REF!</f>
        <v>#REF!</v>
      </c>
      <c r="I1241" s="16" t="e">
        <f>#REF!</f>
        <v>#REF!</v>
      </c>
      <c r="J1241" s="16" t="e">
        <f>#REF!</f>
        <v>#REF!</v>
      </c>
      <c r="K1241" s="16" t="s">
        <v>752</v>
      </c>
      <c r="L1241" s="16"/>
      <c r="M1241" s="16"/>
      <c r="N1241" s="16"/>
      <c r="O1241" s="16"/>
    </row>
    <row r="1242" spans="1:15" ht="22.5" customHeight="1" thickTop="1" thickBot="1" x14ac:dyDescent="0.25">
      <c r="A1242" s="16" t="e">
        <f>#REF!</f>
        <v>#REF!</v>
      </c>
      <c r="B1242" s="16" t="e">
        <f>#REF!</f>
        <v>#REF!</v>
      </c>
      <c r="C1242" s="16" t="e">
        <f>#REF!</f>
        <v>#REF!</v>
      </c>
      <c r="D1242" s="16" t="e">
        <f>#REF!</f>
        <v>#REF!</v>
      </c>
      <c r="E1242" s="16" t="e">
        <f>#REF!</f>
        <v>#REF!</v>
      </c>
      <c r="F1242" s="16" t="e">
        <f>#REF!</f>
        <v>#REF!</v>
      </c>
      <c r="G1242" s="16" t="e">
        <f>#REF!</f>
        <v>#REF!</v>
      </c>
      <c r="H1242" s="16" t="e">
        <f>#REF!</f>
        <v>#REF!</v>
      </c>
      <c r="I1242" s="16" t="e">
        <f>#REF!</f>
        <v>#REF!</v>
      </c>
      <c r="J1242" s="16" t="e">
        <f>#REF!</f>
        <v>#REF!</v>
      </c>
      <c r="K1242" s="16"/>
      <c r="L1242" s="16"/>
      <c r="M1242" s="16"/>
      <c r="N1242" s="16"/>
      <c r="O1242" s="16"/>
    </row>
    <row r="1243" spans="1:15" ht="22.5" customHeight="1" thickTop="1" thickBot="1" x14ac:dyDescent="0.25">
      <c r="A1243" s="16" t="e">
        <f>#REF!</f>
        <v>#REF!</v>
      </c>
      <c r="B1243" s="16" t="e">
        <f>#REF!</f>
        <v>#REF!</v>
      </c>
      <c r="C1243" s="16" t="e">
        <f>#REF!</f>
        <v>#REF!</v>
      </c>
      <c r="D1243" s="16" t="e">
        <f>#REF!</f>
        <v>#REF!</v>
      </c>
      <c r="E1243" s="16" t="e">
        <f>#REF!</f>
        <v>#REF!</v>
      </c>
      <c r="F1243" s="16" t="e">
        <f>#REF!</f>
        <v>#REF!</v>
      </c>
      <c r="G1243" s="16" t="e">
        <f>#REF!</f>
        <v>#REF!</v>
      </c>
      <c r="H1243" s="16" t="e">
        <f>#REF!</f>
        <v>#REF!</v>
      </c>
      <c r="I1243" s="16" t="e">
        <f>#REF!</f>
        <v>#REF!</v>
      </c>
      <c r="J1243" s="16" t="e">
        <f>#REF!</f>
        <v>#REF!</v>
      </c>
      <c r="K1243" s="16"/>
      <c r="L1243" s="16"/>
      <c r="M1243" s="16"/>
      <c r="N1243" s="16"/>
      <c r="O1243" s="16"/>
    </row>
    <row r="1244" spans="1:15" ht="22.5" customHeight="1" thickTop="1" thickBot="1" x14ac:dyDescent="0.25">
      <c r="A1244" s="16" t="e">
        <f>#REF!</f>
        <v>#REF!</v>
      </c>
      <c r="B1244" s="16" t="e">
        <f>#REF!</f>
        <v>#REF!</v>
      </c>
      <c r="C1244" s="16" t="e">
        <f>#REF!</f>
        <v>#REF!</v>
      </c>
      <c r="D1244" s="16" t="e">
        <f>#REF!</f>
        <v>#REF!</v>
      </c>
      <c r="E1244" s="16" t="e">
        <f>#REF!</f>
        <v>#REF!</v>
      </c>
      <c r="F1244" s="16" t="e">
        <f>#REF!</f>
        <v>#REF!</v>
      </c>
      <c r="G1244" s="16" t="e">
        <f>#REF!</f>
        <v>#REF!</v>
      </c>
      <c r="H1244" s="16" t="e">
        <f>#REF!</f>
        <v>#REF!</v>
      </c>
      <c r="I1244" s="16" t="e">
        <f>#REF!</f>
        <v>#REF!</v>
      </c>
      <c r="J1244" s="16" t="e">
        <f>#REF!</f>
        <v>#REF!</v>
      </c>
      <c r="K1244" s="16"/>
      <c r="L1244" s="16"/>
      <c r="M1244" s="16"/>
      <c r="N1244" s="16"/>
      <c r="O1244" s="16"/>
    </row>
    <row r="1245" spans="1:15" ht="22.5" customHeight="1" thickTop="1" thickBot="1" x14ac:dyDescent="0.25">
      <c r="A1245" s="16" t="e">
        <f>#REF!</f>
        <v>#REF!</v>
      </c>
      <c r="B1245" s="16" t="e">
        <f>#REF!</f>
        <v>#REF!</v>
      </c>
      <c r="C1245" s="16" t="e">
        <f>#REF!</f>
        <v>#REF!</v>
      </c>
      <c r="D1245" s="16" t="e">
        <f>#REF!</f>
        <v>#REF!</v>
      </c>
      <c r="E1245" s="16" t="e">
        <f>#REF!</f>
        <v>#REF!</v>
      </c>
      <c r="F1245" s="16" t="e">
        <f>#REF!</f>
        <v>#REF!</v>
      </c>
      <c r="G1245" s="16" t="e">
        <f>#REF!</f>
        <v>#REF!</v>
      </c>
      <c r="H1245" s="16" t="e">
        <f>#REF!</f>
        <v>#REF!</v>
      </c>
      <c r="I1245" s="16" t="e">
        <f>#REF!</f>
        <v>#REF!</v>
      </c>
      <c r="J1245" s="16" t="e">
        <f>#REF!</f>
        <v>#REF!</v>
      </c>
      <c r="K1245" s="16"/>
      <c r="L1245" s="16"/>
      <c r="M1245" s="16"/>
      <c r="N1245" s="16"/>
      <c r="O1245" s="16"/>
    </row>
    <row r="1246" spans="1:15" ht="22.5" customHeight="1" thickTop="1" thickBot="1" x14ac:dyDescent="0.25">
      <c r="A1246" s="16" t="e">
        <f>#REF!</f>
        <v>#REF!</v>
      </c>
      <c r="B1246" s="16" t="e">
        <f>#REF!</f>
        <v>#REF!</v>
      </c>
      <c r="C1246" s="16" t="e">
        <f>#REF!</f>
        <v>#REF!</v>
      </c>
      <c r="D1246" s="16" t="e">
        <f>#REF!</f>
        <v>#REF!</v>
      </c>
      <c r="E1246" s="16" t="e">
        <f>#REF!</f>
        <v>#REF!</v>
      </c>
      <c r="F1246" s="16" t="e">
        <f>#REF!</f>
        <v>#REF!</v>
      </c>
      <c r="G1246" s="16" t="e">
        <f>#REF!</f>
        <v>#REF!</v>
      </c>
      <c r="H1246" s="16" t="e">
        <f>#REF!</f>
        <v>#REF!</v>
      </c>
      <c r="I1246" s="16" t="e">
        <f>#REF!</f>
        <v>#REF!</v>
      </c>
      <c r="J1246" s="16" t="e">
        <f>#REF!</f>
        <v>#REF!</v>
      </c>
      <c r="K1246" s="16"/>
      <c r="L1246" s="16"/>
      <c r="M1246" s="16"/>
      <c r="N1246" s="16"/>
      <c r="O1246" s="16"/>
    </row>
    <row r="1247" spans="1:15" ht="22.5" customHeight="1" thickTop="1" thickBot="1" x14ac:dyDescent="0.25">
      <c r="A1247" s="16" t="e">
        <f>#REF!</f>
        <v>#REF!</v>
      </c>
      <c r="B1247" s="16" t="e">
        <f>#REF!</f>
        <v>#REF!</v>
      </c>
      <c r="C1247" s="16" t="e">
        <f>#REF!</f>
        <v>#REF!</v>
      </c>
      <c r="D1247" s="16" t="e">
        <f>#REF!</f>
        <v>#REF!</v>
      </c>
      <c r="E1247" s="16" t="e">
        <f>#REF!</f>
        <v>#REF!</v>
      </c>
      <c r="F1247" s="16" t="e">
        <f>#REF!</f>
        <v>#REF!</v>
      </c>
      <c r="G1247" s="16" t="e">
        <f>#REF!</f>
        <v>#REF!</v>
      </c>
      <c r="H1247" s="16" t="e">
        <f>#REF!</f>
        <v>#REF!</v>
      </c>
      <c r="I1247" s="16" t="e">
        <f>#REF!</f>
        <v>#REF!</v>
      </c>
      <c r="J1247" s="16" t="e">
        <f>#REF!</f>
        <v>#REF!</v>
      </c>
      <c r="K1247" s="16"/>
      <c r="L1247" s="16"/>
      <c r="M1247" s="16"/>
      <c r="N1247" s="16"/>
      <c r="O1247" s="16"/>
    </row>
    <row r="1248" spans="1:15" ht="22.5" customHeight="1" thickTop="1" thickBot="1" x14ac:dyDescent="0.25">
      <c r="A1248" s="16" t="e">
        <f>#REF!</f>
        <v>#REF!</v>
      </c>
      <c r="B1248" s="16" t="e">
        <f>#REF!</f>
        <v>#REF!</v>
      </c>
      <c r="C1248" s="16" t="e">
        <f>#REF!</f>
        <v>#REF!</v>
      </c>
      <c r="D1248" s="16" t="e">
        <f>#REF!</f>
        <v>#REF!</v>
      </c>
      <c r="E1248" s="16" t="e">
        <f>#REF!</f>
        <v>#REF!</v>
      </c>
      <c r="F1248" s="16" t="e">
        <f>#REF!</f>
        <v>#REF!</v>
      </c>
      <c r="G1248" s="16" t="e">
        <f>#REF!</f>
        <v>#REF!</v>
      </c>
      <c r="H1248" s="16" t="e">
        <f>#REF!</f>
        <v>#REF!</v>
      </c>
      <c r="I1248" s="16" t="e">
        <f>#REF!</f>
        <v>#REF!</v>
      </c>
      <c r="J1248" s="16" t="e">
        <f>#REF!</f>
        <v>#REF!</v>
      </c>
      <c r="K1248" s="16"/>
      <c r="L1248" s="16"/>
      <c r="M1248" s="16"/>
      <c r="N1248" s="16"/>
      <c r="O1248" s="16"/>
    </row>
    <row r="1249" spans="1:15" ht="22.5" customHeight="1" thickTop="1" thickBot="1" x14ac:dyDescent="0.25">
      <c r="A1249" s="16" t="e">
        <f>#REF!</f>
        <v>#REF!</v>
      </c>
      <c r="B1249" s="16" t="e">
        <f>#REF!</f>
        <v>#REF!</v>
      </c>
      <c r="C1249" s="16" t="e">
        <f>#REF!</f>
        <v>#REF!</v>
      </c>
      <c r="D1249" s="16" t="e">
        <f>#REF!</f>
        <v>#REF!</v>
      </c>
      <c r="E1249" s="16" t="e">
        <f>#REF!</f>
        <v>#REF!</v>
      </c>
      <c r="F1249" s="16" t="e">
        <f>#REF!</f>
        <v>#REF!</v>
      </c>
      <c r="G1249" s="16" t="e">
        <f>#REF!</f>
        <v>#REF!</v>
      </c>
      <c r="H1249" s="16" t="e">
        <f>#REF!</f>
        <v>#REF!</v>
      </c>
      <c r="I1249" s="16" t="e">
        <f>#REF!</f>
        <v>#REF!</v>
      </c>
      <c r="J1249" s="16" t="e">
        <f>#REF!</f>
        <v>#REF!</v>
      </c>
      <c r="K1249" s="16"/>
      <c r="L1249" s="16"/>
      <c r="M1249" s="16"/>
      <c r="N1249" s="16"/>
      <c r="O1249" s="16"/>
    </row>
    <row r="1250" spans="1:15" ht="22.5" customHeight="1" thickTop="1" thickBot="1" x14ac:dyDescent="0.25">
      <c r="A1250" s="16" t="e">
        <f>#REF!</f>
        <v>#REF!</v>
      </c>
      <c r="B1250" s="16" t="e">
        <f>#REF!</f>
        <v>#REF!</v>
      </c>
      <c r="C1250" s="16" t="e">
        <f>#REF!</f>
        <v>#REF!</v>
      </c>
      <c r="D1250" s="16" t="e">
        <f>#REF!</f>
        <v>#REF!</v>
      </c>
      <c r="E1250" s="16" t="e">
        <f>#REF!</f>
        <v>#REF!</v>
      </c>
      <c r="F1250" s="16" t="e">
        <f>#REF!</f>
        <v>#REF!</v>
      </c>
      <c r="G1250" s="16" t="e">
        <f>#REF!</f>
        <v>#REF!</v>
      </c>
      <c r="H1250" s="16" t="e">
        <f>#REF!</f>
        <v>#REF!</v>
      </c>
      <c r="I1250" s="16" t="e">
        <f>#REF!</f>
        <v>#REF!</v>
      </c>
      <c r="J1250" s="16" t="e">
        <f>#REF!</f>
        <v>#REF!</v>
      </c>
      <c r="K1250" s="16"/>
      <c r="L1250" s="16"/>
      <c r="M1250" s="16"/>
      <c r="N1250" s="16"/>
      <c r="O1250" s="16"/>
    </row>
    <row r="1251" spans="1:15" ht="22.5" customHeight="1" thickTop="1" thickBot="1" x14ac:dyDescent="0.25">
      <c r="A1251" s="16" t="e">
        <f>#REF!</f>
        <v>#REF!</v>
      </c>
      <c r="B1251" s="16" t="e">
        <f>#REF!</f>
        <v>#REF!</v>
      </c>
      <c r="C1251" s="16" t="e">
        <f>#REF!</f>
        <v>#REF!</v>
      </c>
      <c r="D1251" s="16" t="e">
        <f>#REF!</f>
        <v>#REF!</v>
      </c>
      <c r="E1251" s="16" t="e">
        <f>#REF!</f>
        <v>#REF!</v>
      </c>
      <c r="F1251" s="16" t="e">
        <f>#REF!</f>
        <v>#REF!</v>
      </c>
      <c r="G1251" s="16" t="e">
        <f>#REF!</f>
        <v>#REF!</v>
      </c>
      <c r="H1251" s="16" t="e">
        <f>#REF!</f>
        <v>#REF!</v>
      </c>
      <c r="I1251" s="16" t="e">
        <f>#REF!</f>
        <v>#REF!</v>
      </c>
      <c r="J1251" s="16" t="e">
        <f>#REF!</f>
        <v>#REF!</v>
      </c>
      <c r="K1251" s="16"/>
      <c r="L1251" s="16"/>
      <c r="M1251" s="16"/>
      <c r="N1251" s="16"/>
      <c r="O1251" s="16"/>
    </row>
    <row r="1252" spans="1:15" ht="22.5" customHeight="1" thickTop="1" thickBot="1" x14ac:dyDescent="0.25">
      <c r="A1252" s="16" t="e">
        <f>#REF!</f>
        <v>#REF!</v>
      </c>
      <c r="B1252" s="16" t="e">
        <f>#REF!</f>
        <v>#REF!</v>
      </c>
      <c r="C1252" s="16" t="e">
        <f>#REF!</f>
        <v>#REF!</v>
      </c>
      <c r="D1252" s="16" t="e">
        <f>#REF!</f>
        <v>#REF!</v>
      </c>
      <c r="E1252" s="16" t="e">
        <f>#REF!</f>
        <v>#REF!</v>
      </c>
      <c r="F1252" s="16" t="e">
        <f>#REF!</f>
        <v>#REF!</v>
      </c>
      <c r="G1252" s="16" t="e">
        <f>#REF!</f>
        <v>#REF!</v>
      </c>
      <c r="H1252" s="16" t="e">
        <f>#REF!</f>
        <v>#REF!</v>
      </c>
      <c r="I1252" s="16" t="e">
        <f>#REF!</f>
        <v>#REF!</v>
      </c>
      <c r="J1252" s="16" t="e">
        <f>#REF!</f>
        <v>#REF!</v>
      </c>
      <c r="K1252" s="16"/>
      <c r="L1252" s="16"/>
      <c r="M1252" s="16"/>
      <c r="N1252" s="16"/>
      <c r="O1252" s="16"/>
    </row>
    <row r="1253" spans="1:15" ht="22.5" customHeight="1" thickTop="1" thickBot="1" x14ac:dyDescent="0.25">
      <c r="A1253" s="16" t="e">
        <f>#REF!</f>
        <v>#REF!</v>
      </c>
      <c r="B1253" s="16" t="e">
        <f>#REF!</f>
        <v>#REF!</v>
      </c>
      <c r="C1253" s="16" t="e">
        <f>#REF!</f>
        <v>#REF!</v>
      </c>
      <c r="D1253" s="16" t="e">
        <f>#REF!</f>
        <v>#REF!</v>
      </c>
      <c r="E1253" s="16" t="e">
        <f>#REF!</f>
        <v>#REF!</v>
      </c>
      <c r="F1253" s="16" t="e">
        <f>#REF!</f>
        <v>#REF!</v>
      </c>
      <c r="G1253" s="16" t="e">
        <f>#REF!</f>
        <v>#REF!</v>
      </c>
      <c r="H1253" s="16" t="e">
        <f>#REF!</f>
        <v>#REF!</v>
      </c>
      <c r="I1253" s="16" t="e">
        <f>#REF!</f>
        <v>#REF!</v>
      </c>
      <c r="J1253" s="16" t="e">
        <f>#REF!</f>
        <v>#REF!</v>
      </c>
      <c r="K1253" s="16"/>
      <c r="L1253" s="16"/>
      <c r="M1253" s="16"/>
      <c r="N1253" s="16"/>
      <c r="O1253" s="16"/>
    </row>
    <row r="1254" spans="1:15" ht="22.5" customHeight="1" thickTop="1" thickBot="1" x14ac:dyDescent="0.25">
      <c r="A1254" s="16" t="e">
        <f>#REF!</f>
        <v>#REF!</v>
      </c>
      <c r="B1254" s="16" t="e">
        <f>#REF!</f>
        <v>#REF!</v>
      </c>
      <c r="C1254" s="16" t="e">
        <f>#REF!</f>
        <v>#REF!</v>
      </c>
      <c r="D1254" s="16" t="e">
        <f>#REF!</f>
        <v>#REF!</v>
      </c>
      <c r="E1254" s="16" t="e">
        <f>#REF!</f>
        <v>#REF!</v>
      </c>
      <c r="F1254" s="16" t="e">
        <f>#REF!</f>
        <v>#REF!</v>
      </c>
      <c r="G1254" s="16" t="e">
        <f>#REF!</f>
        <v>#REF!</v>
      </c>
      <c r="H1254" s="16" t="e">
        <f>#REF!</f>
        <v>#REF!</v>
      </c>
      <c r="I1254" s="16" t="e">
        <f>#REF!</f>
        <v>#REF!</v>
      </c>
      <c r="J1254" s="16" t="e">
        <f>#REF!</f>
        <v>#REF!</v>
      </c>
      <c r="K1254" s="16"/>
      <c r="L1254" s="16"/>
      <c r="M1254" s="16"/>
      <c r="N1254" s="16"/>
      <c r="O1254" s="16"/>
    </row>
    <row r="1255" spans="1:15" ht="22.5" customHeight="1" thickTop="1" thickBot="1" x14ac:dyDescent="0.25">
      <c r="A1255" s="16" t="e">
        <f>#REF!</f>
        <v>#REF!</v>
      </c>
      <c r="B1255" s="16" t="e">
        <f>#REF!</f>
        <v>#REF!</v>
      </c>
      <c r="C1255" s="16" t="e">
        <f>#REF!</f>
        <v>#REF!</v>
      </c>
      <c r="D1255" s="16" t="e">
        <f>#REF!</f>
        <v>#REF!</v>
      </c>
      <c r="E1255" s="16" t="e">
        <f>#REF!</f>
        <v>#REF!</v>
      </c>
      <c r="F1255" s="16" t="e">
        <f>#REF!</f>
        <v>#REF!</v>
      </c>
      <c r="G1255" s="16" t="e">
        <f>#REF!</f>
        <v>#REF!</v>
      </c>
      <c r="H1255" s="16" t="e">
        <f>#REF!</f>
        <v>#REF!</v>
      </c>
      <c r="I1255" s="16" t="e">
        <f>#REF!</f>
        <v>#REF!</v>
      </c>
      <c r="J1255" s="16" t="e">
        <f>#REF!</f>
        <v>#REF!</v>
      </c>
      <c r="K1255" s="16"/>
      <c r="L1255" s="16"/>
      <c r="M1255" s="16"/>
      <c r="N1255" s="16"/>
      <c r="O1255" s="16"/>
    </row>
    <row r="1256" spans="1:15" ht="22.5" customHeight="1" thickTop="1" thickBot="1" x14ac:dyDescent="0.25">
      <c r="A1256" s="16" t="e">
        <f>#REF!</f>
        <v>#REF!</v>
      </c>
      <c r="B1256" s="16" t="e">
        <f>#REF!</f>
        <v>#REF!</v>
      </c>
      <c r="C1256" s="16" t="e">
        <f>#REF!</f>
        <v>#REF!</v>
      </c>
      <c r="D1256" s="16" t="e">
        <f>#REF!</f>
        <v>#REF!</v>
      </c>
      <c r="E1256" s="16" t="e">
        <f>#REF!</f>
        <v>#REF!</v>
      </c>
      <c r="F1256" s="16" t="e">
        <f>#REF!</f>
        <v>#REF!</v>
      </c>
      <c r="G1256" s="16" t="e">
        <f>#REF!</f>
        <v>#REF!</v>
      </c>
      <c r="H1256" s="16" t="e">
        <f>#REF!</f>
        <v>#REF!</v>
      </c>
      <c r="I1256" s="16" t="e">
        <f>#REF!</f>
        <v>#REF!</v>
      </c>
      <c r="J1256" s="16" t="e">
        <f>#REF!</f>
        <v>#REF!</v>
      </c>
      <c r="K1256" s="16"/>
      <c r="L1256" s="16"/>
      <c r="M1256" s="16"/>
      <c r="N1256" s="16"/>
      <c r="O1256" s="16"/>
    </row>
    <row r="1257" spans="1:15" ht="22.5" customHeight="1" thickTop="1" thickBot="1" x14ac:dyDescent="0.25">
      <c r="A1257" s="16" t="e">
        <f>#REF!</f>
        <v>#REF!</v>
      </c>
      <c r="B1257" s="16" t="e">
        <f>#REF!</f>
        <v>#REF!</v>
      </c>
      <c r="C1257" s="16" t="e">
        <f>#REF!</f>
        <v>#REF!</v>
      </c>
      <c r="D1257" s="16" t="e">
        <f>#REF!</f>
        <v>#REF!</v>
      </c>
      <c r="E1257" s="16" t="e">
        <f>#REF!</f>
        <v>#REF!</v>
      </c>
      <c r="F1257" s="16" t="e">
        <f>#REF!</f>
        <v>#REF!</v>
      </c>
      <c r="G1257" s="16" t="e">
        <f>#REF!</f>
        <v>#REF!</v>
      </c>
      <c r="H1257" s="16" t="e">
        <f>#REF!</f>
        <v>#REF!</v>
      </c>
      <c r="I1257" s="16" t="e">
        <f>#REF!</f>
        <v>#REF!</v>
      </c>
      <c r="J1257" s="16" t="e">
        <f>#REF!</f>
        <v>#REF!</v>
      </c>
      <c r="K1257" s="16"/>
      <c r="L1257" s="16"/>
      <c r="M1257" s="16"/>
      <c r="N1257" s="16"/>
      <c r="O1257" s="16"/>
    </row>
    <row r="1258" spans="1:15" ht="22.5" customHeight="1" thickTop="1" thickBot="1" x14ac:dyDescent="0.25">
      <c r="A1258" s="16" t="e">
        <f>#REF!</f>
        <v>#REF!</v>
      </c>
      <c r="B1258" s="16" t="e">
        <f>#REF!</f>
        <v>#REF!</v>
      </c>
      <c r="C1258" s="16" t="e">
        <f>#REF!</f>
        <v>#REF!</v>
      </c>
      <c r="D1258" s="16" t="e">
        <f>#REF!</f>
        <v>#REF!</v>
      </c>
      <c r="E1258" s="16" t="e">
        <f>#REF!</f>
        <v>#REF!</v>
      </c>
      <c r="F1258" s="16" t="e">
        <f>#REF!</f>
        <v>#REF!</v>
      </c>
      <c r="G1258" s="16" t="e">
        <f>#REF!</f>
        <v>#REF!</v>
      </c>
      <c r="H1258" s="16" t="e">
        <f>#REF!</f>
        <v>#REF!</v>
      </c>
      <c r="I1258" s="16" t="e">
        <f>#REF!</f>
        <v>#REF!</v>
      </c>
      <c r="J1258" s="16" t="e">
        <f>#REF!</f>
        <v>#REF!</v>
      </c>
      <c r="K1258" s="16"/>
      <c r="L1258" s="16"/>
      <c r="M1258" s="16"/>
      <c r="N1258" s="16"/>
      <c r="O1258" s="16"/>
    </row>
    <row r="1259" spans="1:15" ht="22.5" customHeight="1" thickTop="1" thickBot="1" x14ac:dyDescent="0.25">
      <c r="A1259" s="16" t="e">
        <f>#REF!</f>
        <v>#REF!</v>
      </c>
      <c r="B1259" s="16" t="e">
        <f>#REF!</f>
        <v>#REF!</v>
      </c>
      <c r="C1259" s="16" t="e">
        <f>#REF!</f>
        <v>#REF!</v>
      </c>
      <c r="D1259" s="16" t="e">
        <f>#REF!</f>
        <v>#REF!</v>
      </c>
      <c r="E1259" s="16" t="e">
        <f>#REF!</f>
        <v>#REF!</v>
      </c>
      <c r="F1259" s="16" t="e">
        <f>#REF!</f>
        <v>#REF!</v>
      </c>
      <c r="G1259" s="16" t="e">
        <f>#REF!</f>
        <v>#REF!</v>
      </c>
      <c r="H1259" s="16" t="e">
        <f>#REF!</f>
        <v>#REF!</v>
      </c>
      <c r="I1259" s="16" t="e">
        <f>#REF!</f>
        <v>#REF!</v>
      </c>
      <c r="J1259" s="16" t="e">
        <f>#REF!</f>
        <v>#REF!</v>
      </c>
      <c r="K1259" s="16"/>
      <c r="L1259" s="16"/>
      <c r="M1259" s="16"/>
      <c r="N1259" s="16"/>
      <c r="O1259" s="16"/>
    </row>
    <row r="1260" spans="1:15" ht="22.5" customHeight="1" thickTop="1" thickBot="1" x14ac:dyDescent="0.25">
      <c r="A1260" s="16" t="e">
        <f>#REF!</f>
        <v>#REF!</v>
      </c>
      <c r="B1260" s="16" t="e">
        <f>#REF!</f>
        <v>#REF!</v>
      </c>
      <c r="C1260" s="16" t="e">
        <f>#REF!</f>
        <v>#REF!</v>
      </c>
      <c r="D1260" s="16" t="e">
        <f>#REF!</f>
        <v>#REF!</v>
      </c>
      <c r="E1260" s="16" t="e">
        <f>#REF!</f>
        <v>#REF!</v>
      </c>
      <c r="F1260" s="16" t="e">
        <f>#REF!</f>
        <v>#REF!</v>
      </c>
      <c r="G1260" s="16" t="e">
        <f>#REF!</f>
        <v>#REF!</v>
      </c>
      <c r="H1260" s="16" t="e">
        <f>#REF!</f>
        <v>#REF!</v>
      </c>
      <c r="I1260" s="16" t="e">
        <f>#REF!</f>
        <v>#REF!</v>
      </c>
      <c r="J1260" s="16" t="e">
        <f>#REF!</f>
        <v>#REF!</v>
      </c>
      <c r="K1260" s="16"/>
      <c r="L1260" s="16"/>
      <c r="M1260" s="16"/>
      <c r="N1260" s="16"/>
      <c r="O1260" s="16"/>
    </row>
    <row r="1261" spans="1:15" ht="22.5" customHeight="1" thickTop="1" thickBot="1" x14ac:dyDescent="0.25">
      <c r="A1261" s="16" t="e">
        <f>#REF!</f>
        <v>#REF!</v>
      </c>
      <c r="B1261" s="16" t="e">
        <f>#REF!</f>
        <v>#REF!</v>
      </c>
      <c r="C1261" s="16" t="e">
        <f>#REF!</f>
        <v>#REF!</v>
      </c>
      <c r="D1261" s="16" t="e">
        <f>#REF!</f>
        <v>#REF!</v>
      </c>
      <c r="E1261" s="16" t="e">
        <f>#REF!</f>
        <v>#REF!</v>
      </c>
      <c r="F1261" s="16" t="e">
        <f>#REF!</f>
        <v>#REF!</v>
      </c>
      <c r="G1261" s="16" t="e">
        <f>#REF!</f>
        <v>#REF!</v>
      </c>
      <c r="H1261" s="16" t="e">
        <f>#REF!</f>
        <v>#REF!</v>
      </c>
      <c r="I1261" s="16" t="e">
        <f>#REF!</f>
        <v>#REF!</v>
      </c>
      <c r="J1261" s="16" t="e">
        <f>#REF!</f>
        <v>#REF!</v>
      </c>
      <c r="K1261" s="16"/>
      <c r="L1261" s="16"/>
      <c r="M1261" s="16"/>
      <c r="N1261" s="16"/>
      <c r="O1261" s="16"/>
    </row>
    <row r="1262" spans="1:15" ht="22.5" customHeight="1" thickTop="1" thickBot="1" x14ac:dyDescent="0.25">
      <c r="A1262" s="16" t="e">
        <f>#REF!</f>
        <v>#REF!</v>
      </c>
      <c r="B1262" s="16" t="e">
        <f>#REF!</f>
        <v>#REF!</v>
      </c>
      <c r="C1262" s="16" t="e">
        <f>#REF!</f>
        <v>#REF!</v>
      </c>
      <c r="D1262" s="16" t="e">
        <f>#REF!</f>
        <v>#REF!</v>
      </c>
      <c r="E1262" s="16" t="e">
        <f>#REF!</f>
        <v>#REF!</v>
      </c>
      <c r="F1262" s="16" t="e">
        <f>#REF!</f>
        <v>#REF!</v>
      </c>
      <c r="G1262" s="16" t="e">
        <f>#REF!</f>
        <v>#REF!</v>
      </c>
      <c r="H1262" s="16" t="e">
        <f>#REF!</f>
        <v>#REF!</v>
      </c>
      <c r="I1262" s="16" t="e">
        <f>#REF!</f>
        <v>#REF!</v>
      </c>
      <c r="J1262" s="16" t="e">
        <f>#REF!</f>
        <v>#REF!</v>
      </c>
      <c r="K1262" s="16"/>
      <c r="L1262" s="16"/>
      <c r="M1262" s="16"/>
      <c r="N1262" s="16"/>
      <c r="O1262" s="16"/>
    </row>
    <row r="1263" spans="1:15" ht="22.5" customHeight="1" thickTop="1" thickBot="1" x14ac:dyDescent="0.25">
      <c r="A1263" s="16" t="e">
        <f>#REF!</f>
        <v>#REF!</v>
      </c>
      <c r="B1263" s="16" t="e">
        <f>#REF!</f>
        <v>#REF!</v>
      </c>
      <c r="C1263" s="16" t="e">
        <f>#REF!</f>
        <v>#REF!</v>
      </c>
      <c r="D1263" s="16" t="e">
        <f>#REF!</f>
        <v>#REF!</v>
      </c>
      <c r="E1263" s="16" t="e">
        <f>#REF!</f>
        <v>#REF!</v>
      </c>
      <c r="F1263" s="16" t="e">
        <f>#REF!</f>
        <v>#REF!</v>
      </c>
      <c r="G1263" s="16" t="e">
        <f>#REF!</f>
        <v>#REF!</v>
      </c>
      <c r="H1263" s="16" t="e">
        <f>#REF!</f>
        <v>#REF!</v>
      </c>
      <c r="I1263" s="16" t="e">
        <f>#REF!</f>
        <v>#REF!</v>
      </c>
      <c r="J1263" s="16" t="e">
        <f>#REF!</f>
        <v>#REF!</v>
      </c>
      <c r="K1263" s="16"/>
      <c r="L1263" s="16"/>
      <c r="M1263" s="16"/>
      <c r="N1263" s="16"/>
      <c r="O1263" s="16"/>
    </row>
    <row r="1264" spans="1:15" ht="22.5" customHeight="1" thickTop="1" thickBot="1" x14ac:dyDescent="0.25">
      <c r="A1264" s="16" t="e">
        <f>#REF!</f>
        <v>#REF!</v>
      </c>
      <c r="B1264" s="16" t="e">
        <f>#REF!</f>
        <v>#REF!</v>
      </c>
      <c r="C1264" s="16" t="e">
        <f>#REF!</f>
        <v>#REF!</v>
      </c>
      <c r="D1264" s="16" t="e">
        <f>#REF!</f>
        <v>#REF!</v>
      </c>
      <c r="E1264" s="16" t="e">
        <f>#REF!</f>
        <v>#REF!</v>
      </c>
      <c r="F1264" s="16" t="e">
        <f>#REF!</f>
        <v>#REF!</v>
      </c>
      <c r="G1264" s="16" t="e">
        <f>#REF!</f>
        <v>#REF!</v>
      </c>
      <c r="H1264" s="16" t="e">
        <f>#REF!</f>
        <v>#REF!</v>
      </c>
      <c r="I1264" s="16" t="e">
        <f>#REF!</f>
        <v>#REF!</v>
      </c>
      <c r="J1264" s="16" t="e">
        <f>#REF!</f>
        <v>#REF!</v>
      </c>
      <c r="K1264" s="16"/>
      <c r="L1264" s="16"/>
      <c r="M1264" s="16"/>
      <c r="N1264" s="16"/>
      <c r="O1264" s="16"/>
    </row>
    <row r="1265" spans="1:15" ht="22.5" customHeight="1" thickTop="1" thickBot="1" x14ac:dyDescent="0.25">
      <c r="A1265" s="16" t="e">
        <f>#REF!</f>
        <v>#REF!</v>
      </c>
      <c r="B1265" s="16" t="e">
        <f>#REF!</f>
        <v>#REF!</v>
      </c>
      <c r="C1265" s="16" t="e">
        <f>#REF!</f>
        <v>#REF!</v>
      </c>
      <c r="D1265" s="16" t="e">
        <f>#REF!</f>
        <v>#REF!</v>
      </c>
      <c r="E1265" s="16" t="e">
        <f>#REF!</f>
        <v>#REF!</v>
      </c>
      <c r="F1265" s="16" t="e">
        <f>#REF!</f>
        <v>#REF!</v>
      </c>
      <c r="G1265" s="16" t="e">
        <f>#REF!</f>
        <v>#REF!</v>
      </c>
      <c r="H1265" s="16" t="e">
        <f>#REF!</f>
        <v>#REF!</v>
      </c>
      <c r="I1265" s="16" t="e">
        <f>#REF!</f>
        <v>#REF!</v>
      </c>
      <c r="J1265" s="16" t="e">
        <f>#REF!</f>
        <v>#REF!</v>
      </c>
      <c r="K1265" s="16"/>
      <c r="L1265" s="16"/>
      <c r="M1265" s="16"/>
      <c r="N1265" s="16"/>
      <c r="O1265" s="16"/>
    </row>
    <row r="1266" spans="1:15" ht="22.5" customHeight="1" thickTop="1" thickBot="1" x14ac:dyDescent="0.25">
      <c r="A1266" s="16" t="e">
        <f>#REF!</f>
        <v>#REF!</v>
      </c>
      <c r="B1266" s="16" t="e">
        <f>#REF!</f>
        <v>#REF!</v>
      </c>
      <c r="C1266" s="16" t="e">
        <f>#REF!</f>
        <v>#REF!</v>
      </c>
      <c r="D1266" s="16" t="e">
        <f>#REF!</f>
        <v>#REF!</v>
      </c>
      <c r="E1266" s="16" t="e">
        <f>#REF!</f>
        <v>#REF!</v>
      </c>
      <c r="F1266" s="16" t="e">
        <f>#REF!</f>
        <v>#REF!</v>
      </c>
      <c r="G1266" s="16" t="e">
        <f>#REF!</f>
        <v>#REF!</v>
      </c>
      <c r="H1266" s="16" t="e">
        <f>#REF!</f>
        <v>#REF!</v>
      </c>
      <c r="I1266" s="16" t="e">
        <f>#REF!</f>
        <v>#REF!</v>
      </c>
      <c r="J1266" s="16" t="e">
        <f>#REF!</f>
        <v>#REF!</v>
      </c>
      <c r="K1266" s="16" t="s">
        <v>744</v>
      </c>
      <c r="L1266" s="16"/>
      <c r="M1266" s="16"/>
      <c r="N1266" s="16"/>
      <c r="O1266" s="16"/>
    </row>
    <row r="1267" spans="1:15" ht="22.5" customHeight="1" thickTop="1" thickBot="1" x14ac:dyDescent="0.25">
      <c r="A1267" s="16" t="e">
        <f>#REF!</f>
        <v>#REF!</v>
      </c>
      <c r="B1267" s="16" t="e">
        <f>#REF!</f>
        <v>#REF!</v>
      </c>
      <c r="C1267" s="16" t="e">
        <f>#REF!</f>
        <v>#REF!</v>
      </c>
      <c r="D1267" s="16" t="e">
        <f>#REF!</f>
        <v>#REF!</v>
      </c>
      <c r="E1267" s="16" t="e">
        <f>#REF!</f>
        <v>#REF!</v>
      </c>
      <c r="F1267" s="16" t="e">
        <f>#REF!</f>
        <v>#REF!</v>
      </c>
      <c r="G1267" s="16" t="e">
        <f>#REF!</f>
        <v>#REF!</v>
      </c>
      <c r="H1267" s="16" t="e">
        <f>#REF!</f>
        <v>#REF!</v>
      </c>
      <c r="I1267" s="16" t="e">
        <f>#REF!</f>
        <v>#REF!</v>
      </c>
      <c r="J1267" s="16" t="e">
        <f>#REF!</f>
        <v>#REF!</v>
      </c>
      <c r="K1267" s="16" t="s">
        <v>744</v>
      </c>
      <c r="L1267" s="16"/>
      <c r="M1267" s="16"/>
      <c r="N1267" s="16"/>
      <c r="O1267" s="16"/>
    </row>
    <row r="1268" spans="1:15" ht="22.5" customHeight="1" thickTop="1" thickBot="1" x14ac:dyDescent="0.25">
      <c r="A1268" s="16" t="e">
        <f>#REF!</f>
        <v>#REF!</v>
      </c>
      <c r="B1268" s="16" t="e">
        <f>#REF!</f>
        <v>#REF!</v>
      </c>
      <c r="C1268" s="16" t="e">
        <f>#REF!</f>
        <v>#REF!</v>
      </c>
      <c r="D1268" s="16" t="e">
        <f>#REF!</f>
        <v>#REF!</v>
      </c>
      <c r="E1268" s="16" t="e">
        <f>#REF!</f>
        <v>#REF!</v>
      </c>
      <c r="F1268" s="16" t="e">
        <f>#REF!</f>
        <v>#REF!</v>
      </c>
      <c r="G1268" s="16" t="e">
        <f>#REF!</f>
        <v>#REF!</v>
      </c>
      <c r="H1268" s="16" t="e">
        <f>#REF!</f>
        <v>#REF!</v>
      </c>
      <c r="I1268" s="16" t="e">
        <f>#REF!</f>
        <v>#REF!</v>
      </c>
      <c r="J1268" s="16" t="e">
        <f>#REF!</f>
        <v>#REF!</v>
      </c>
      <c r="K1268" s="16" t="s">
        <v>744</v>
      </c>
      <c r="L1268" s="16"/>
      <c r="M1268" s="16"/>
      <c r="N1268" s="16"/>
      <c r="O1268" s="16"/>
    </row>
    <row r="1269" spans="1:15" ht="22.5" customHeight="1" thickTop="1" thickBot="1" x14ac:dyDescent="0.25">
      <c r="A1269" s="16" t="e">
        <f>#REF!</f>
        <v>#REF!</v>
      </c>
      <c r="B1269" s="16" t="e">
        <f>#REF!</f>
        <v>#REF!</v>
      </c>
      <c r="C1269" s="16" t="e">
        <f>#REF!</f>
        <v>#REF!</v>
      </c>
      <c r="D1269" s="16" t="e">
        <f>#REF!</f>
        <v>#REF!</v>
      </c>
      <c r="E1269" s="16" t="e">
        <f>#REF!</f>
        <v>#REF!</v>
      </c>
      <c r="F1269" s="16" t="e">
        <f>#REF!</f>
        <v>#REF!</v>
      </c>
      <c r="G1269" s="16" t="e">
        <f>#REF!</f>
        <v>#REF!</v>
      </c>
      <c r="H1269" s="16" t="e">
        <f>#REF!</f>
        <v>#REF!</v>
      </c>
      <c r="I1269" s="16" t="e">
        <f>#REF!</f>
        <v>#REF!</v>
      </c>
      <c r="J1269" s="16" t="e">
        <f>#REF!</f>
        <v>#REF!</v>
      </c>
      <c r="K1269" s="16" t="s">
        <v>744</v>
      </c>
      <c r="L1269" s="16"/>
      <c r="M1269" s="16"/>
      <c r="N1269" s="16"/>
      <c r="O1269" s="16"/>
    </row>
    <row r="1270" spans="1:15" ht="22.5" customHeight="1" thickTop="1" thickBot="1" x14ac:dyDescent="0.25">
      <c r="A1270" s="16" t="e">
        <f>#REF!</f>
        <v>#REF!</v>
      </c>
      <c r="B1270" s="16" t="e">
        <f>#REF!</f>
        <v>#REF!</v>
      </c>
      <c r="C1270" s="16" t="e">
        <f>#REF!</f>
        <v>#REF!</v>
      </c>
      <c r="D1270" s="16" t="e">
        <f>#REF!</f>
        <v>#REF!</v>
      </c>
      <c r="E1270" s="16" t="e">
        <f>#REF!</f>
        <v>#REF!</v>
      </c>
      <c r="F1270" s="16" t="e">
        <f>#REF!</f>
        <v>#REF!</v>
      </c>
      <c r="G1270" s="16" t="e">
        <f>#REF!</f>
        <v>#REF!</v>
      </c>
      <c r="H1270" s="16" t="e">
        <f>#REF!</f>
        <v>#REF!</v>
      </c>
      <c r="I1270" s="16" t="e">
        <f>#REF!</f>
        <v>#REF!</v>
      </c>
      <c r="J1270" s="16" t="e">
        <f>#REF!</f>
        <v>#REF!</v>
      </c>
      <c r="K1270" s="16" t="s">
        <v>744</v>
      </c>
      <c r="L1270" s="16"/>
      <c r="M1270" s="16"/>
      <c r="N1270" s="16"/>
      <c r="O1270" s="16"/>
    </row>
    <row r="1271" spans="1:15" ht="22.5" customHeight="1" thickTop="1" thickBot="1" x14ac:dyDescent="0.25">
      <c r="A1271" s="16" t="e">
        <f>#REF!</f>
        <v>#REF!</v>
      </c>
      <c r="B1271" s="16" t="e">
        <f>#REF!</f>
        <v>#REF!</v>
      </c>
      <c r="C1271" s="16" t="e">
        <f>#REF!</f>
        <v>#REF!</v>
      </c>
      <c r="D1271" s="16" t="e">
        <f>#REF!</f>
        <v>#REF!</v>
      </c>
      <c r="E1271" s="16" t="e">
        <f>#REF!</f>
        <v>#REF!</v>
      </c>
      <c r="F1271" s="16" t="e">
        <f>#REF!</f>
        <v>#REF!</v>
      </c>
      <c r="G1271" s="16" t="e">
        <f>#REF!</f>
        <v>#REF!</v>
      </c>
      <c r="H1271" s="16" t="e">
        <f>#REF!</f>
        <v>#REF!</v>
      </c>
      <c r="I1271" s="16" t="e">
        <f>#REF!</f>
        <v>#REF!</v>
      </c>
      <c r="J1271" s="16" t="e">
        <f>#REF!</f>
        <v>#REF!</v>
      </c>
      <c r="K1271" s="16" t="s">
        <v>744</v>
      </c>
      <c r="L1271" s="16"/>
      <c r="M1271" s="16"/>
      <c r="N1271" s="16"/>
      <c r="O1271" s="16"/>
    </row>
    <row r="1272" spans="1:15" ht="22.5" customHeight="1" thickTop="1" thickBot="1" x14ac:dyDescent="0.25">
      <c r="A1272" s="16" t="e">
        <f>#REF!</f>
        <v>#REF!</v>
      </c>
      <c r="B1272" s="16" t="e">
        <f>#REF!</f>
        <v>#REF!</v>
      </c>
      <c r="C1272" s="16" t="e">
        <f>#REF!</f>
        <v>#REF!</v>
      </c>
      <c r="D1272" s="16" t="e">
        <f>#REF!</f>
        <v>#REF!</v>
      </c>
      <c r="E1272" s="16" t="e">
        <f>#REF!</f>
        <v>#REF!</v>
      </c>
      <c r="F1272" s="16" t="e">
        <f>#REF!</f>
        <v>#REF!</v>
      </c>
      <c r="G1272" s="16" t="e">
        <f>#REF!</f>
        <v>#REF!</v>
      </c>
      <c r="H1272" s="16" t="e">
        <f>#REF!</f>
        <v>#REF!</v>
      </c>
      <c r="I1272" s="16" t="e">
        <f>#REF!</f>
        <v>#REF!</v>
      </c>
      <c r="J1272" s="16" t="e">
        <f>#REF!</f>
        <v>#REF!</v>
      </c>
      <c r="K1272" s="16" t="s">
        <v>744</v>
      </c>
      <c r="L1272" s="16"/>
      <c r="M1272" s="16"/>
      <c r="N1272" s="16"/>
      <c r="O1272" s="16"/>
    </row>
    <row r="1273" spans="1:15" ht="22.5" customHeight="1" thickTop="1" thickBot="1" x14ac:dyDescent="0.25">
      <c r="A1273" s="16" t="e">
        <f>#REF!</f>
        <v>#REF!</v>
      </c>
      <c r="B1273" s="16" t="e">
        <f>#REF!</f>
        <v>#REF!</v>
      </c>
      <c r="C1273" s="16" t="e">
        <f>#REF!</f>
        <v>#REF!</v>
      </c>
      <c r="D1273" s="16" t="e">
        <f>#REF!</f>
        <v>#REF!</v>
      </c>
      <c r="E1273" s="16" t="e">
        <f>#REF!</f>
        <v>#REF!</v>
      </c>
      <c r="F1273" s="16" t="e">
        <f>#REF!</f>
        <v>#REF!</v>
      </c>
      <c r="G1273" s="16" t="e">
        <f>#REF!</f>
        <v>#REF!</v>
      </c>
      <c r="H1273" s="16" t="e">
        <f>#REF!</f>
        <v>#REF!</v>
      </c>
      <c r="I1273" s="16" t="e">
        <f>#REF!</f>
        <v>#REF!</v>
      </c>
      <c r="J1273" s="16" t="e">
        <f>#REF!</f>
        <v>#REF!</v>
      </c>
      <c r="K1273" s="16" t="s">
        <v>744</v>
      </c>
      <c r="L1273" s="16"/>
      <c r="M1273" s="16"/>
      <c r="N1273" s="16"/>
      <c r="O1273" s="16"/>
    </row>
    <row r="1274" spans="1:15" ht="22.5" customHeight="1" thickTop="1" thickBot="1" x14ac:dyDescent="0.25">
      <c r="A1274" s="16" t="e">
        <f>#REF!</f>
        <v>#REF!</v>
      </c>
      <c r="B1274" s="16" t="e">
        <f>#REF!</f>
        <v>#REF!</v>
      </c>
      <c r="C1274" s="16" t="e">
        <f>#REF!</f>
        <v>#REF!</v>
      </c>
      <c r="D1274" s="16" t="e">
        <f>#REF!</f>
        <v>#REF!</v>
      </c>
      <c r="E1274" s="16" t="e">
        <f>#REF!</f>
        <v>#REF!</v>
      </c>
      <c r="F1274" s="16" t="e">
        <f>#REF!</f>
        <v>#REF!</v>
      </c>
      <c r="G1274" s="16" t="e">
        <f>#REF!</f>
        <v>#REF!</v>
      </c>
      <c r="H1274" s="16" t="e">
        <f>#REF!</f>
        <v>#REF!</v>
      </c>
      <c r="I1274" s="16" t="e">
        <f>#REF!</f>
        <v>#REF!</v>
      </c>
      <c r="J1274" s="16" t="e">
        <f>#REF!</f>
        <v>#REF!</v>
      </c>
      <c r="K1274" s="16"/>
      <c r="L1274" s="16"/>
      <c r="M1274" s="16"/>
      <c r="N1274" s="16"/>
      <c r="O1274" s="16"/>
    </row>
    <row r="1275" spans="1:15" ht="22.5" customHeight="1" thickTop="1" thickBot="1" x14ac:dyDescent="0.25">
      <c r="A1275" s="16" t="e">
        <f>#REF!</f>
        <v>#REF!</v>
      </c>
      <c r="B1275" s="16" t="e">
        <f>#REF!</f>
        <v>#REF!</v>
      </c>
      <c r="C1275" s="16" t="e">
        <f>#REF!</f>
        <v>#REF!</v>
      </c>
      <c r="D1275" s="16" t="e">
        <f>#REF!</f>
        <v>#REF!</v>
      </c>
      <c r="E1275" s="16" t="e">
        <f>#REF!</f>
        <v>#REF!</v>
      </c>
      <c r="F1275" s="16" t="e">
        <f>#REF!</f>
        <v>#REF!</v>
      </c>
      <c r="G1275" s="16" t="e">
        <f>#REF!</f>
        <v>#REF!</v>
      </c>
      <c r="H1275" s="16" t="e">
        <f>#REF!</f>
        <v>#REF!</v>
      </c>
      <c r="I1275" s="16" t="e">
        <f>#REF!</f>
        <v>#REF!</v>
      </c>
      <c r="J1275" s="16" t="e">
        <f>#REF!</f>
        <v>#REF!</v>
      </c>
      <c r="K1275" s="16"/>
      <c r="L1275" s="16"/>
      <c r="M1275" s="16"/>
      <c r="N1275" s="16"/>
      <c r="O1275" s="16"/>
    </row>
    <row r="1276" spans="1:15" ht="22.5" customHeight="1" thickTop="1" thickBot="1" x14ac:dyDescent="0.25">
      <c r="A1276" s="16" t="e">
        <f>#REF!</f>
        <v>#REF!</v>
      </c>
      <c r="B1276" s="16" t="e">
        <f>#REF!</f>
        <v>#REF!</v>
      </c>
      <c r="C1276" s="16" t="e">
        <f>#REF!</f>
        <v>#REF!</v>
      </c>
      <c r="D1276" s="16" t="e">
        <f>#REF!</f>
        <v>#REF!</v>
      </c>
      <c r="E1276" s="16" t="e">
        <f>#REF!</f>
        <v>#REF!</v>
      </c>
      <c r="F1276" s="16" t="e">
        <f>#REF!</f>
        <v>#REF!</v>
      </c>
      <c r="G1276" s="16" t="e">
        <f>#REF!</f>
        <v>#REF!</v>
      </c>
      <c r="H1276" s="16" t="e">
        <f>#REF!</f>
        <v>#REF!</v>
      </c>
      <c r="I1276" s="16" t="e">
        <f>#REF!</f>
        <v>#REF!</v>
      </c>
      <c r="J1276" s="16" t="e">
        <f>#REF!</f>
        <v>#REF!</v>
      </c>
      <c r="K1276" s="16"/>
      <c r="L1276" s="16"/>
      <c r="M1276" s="16"/>
      <c r="N1276" s="16"/>
      <c r="O1276" s="16"/>
    </row>
    <row r="1277" spans="1:15" ht="22.5" customHeight="1" thickTop="1" thickBot="1" x14ac:dyDescent="0.25">
      <c r="A1277" s="16" t="e">
        <f>#REF!</f>
        <v>#REF!</v>
      </c>
      <c r="B1277" s="16" t="e">
        <f>#REF!</f>
        <v>#REF!</v>
      </c>
      <c r="C1277" s="16" t="e">
        <f>#REF!</f>
        <v>#REF!</v>
      </c>
      <c r="D1277" s="16" t="e">
        <f>#REF!</f>
        <v>#REF!</v>
      </c>
      <c r="E1277" s="16" t="e">
        <f>#REF!</f>
        <v>#REF!</v>
      </c>
      <c r="F1277" s="16" t="e">
        <f>#REF!</f>
        <v>#REF!</v>
      </c>
      <c r="G1277" s="16" t="e">
        <f>#REF!</f>
        <v>#REF!</v>
      </c>
      <c r="H1277" s="16" t="e">
        <f>#REF!</f>
        <v>#REF!</v>
      </c>
      <c r="I1277" s="16" t="e">
        <f>#REF!</f>
        <v>#REF!</v>
      </c>
      <c r="J1277" s="16" t="e">
        <f>#REF!</f>
        <v>#REF!</v>
      </c>
      <c r="K1277" s="16"/>
      <c r="L1277" s="16"/>
      <c r="M1277" s="16"/>
      <c r="N1277" s="16"/>
      <c r="O1277" s="16"/>
    </row>
    <row r="1278" spans="1:15" ht="22.5" customHeight="1" thickTop="1" thickBot="1" x14ac:dyDescent="0.25">
      <c r="A1278" s="16" t="e">
        <f>#REF!</f>
        <v>#REF!</v>
      </c>
      <c r="B1278" s="16" t="e">
        <f>#REF!</f>
        <v>#REF!</v>
      </c>
      <c r="C1278" s="16" t="e">
        <f>#REF!</f>
        <v>#REF!</v>
      </c>
      <c r="D1278" s="16" t="e">
        <f>#REF!</f>
        <v>#REF!</v>
      </c>
      <c r="E1278" s="16" t="e">
        <f>#REF!</f>
        <v>#REF!</v>
      </c>
      <c r="F1278" s="16" t="e">
        <f>#REF!</f>
        <v>#REF!</v>
      </c>
      <c r="G1278" s="16" t="e">
        <f>#REF!</f>
        <v>#REF!</v>
      </c>
      <c r="H1278" s="16" t="e">
        <f>#REF!</f>
        <v>#REF!</v>
      </c>
      <c r="I1278" s="16" t="e">
        <f>#REF!</f>
        <v>#REF!</v>
      </c>
      <c r="J1278" s="16" t="e">
        <f>#REF!</f>
        <v>#REF!</v>
      </c>
      <c r="K1278" s="16"/>
      <c r="L1278" s="16"/>
      <c r="M1278" s="16"/>
      <c r="N1278" s="16"/>
      <c r="O1278" s="16"/>
    </row>
    <row r="1279" spans="1:15" ht="22.5" customHeight="1" thickTop="1" thickBot="1" x14ac:dyDescent="0.25">
      <c r="A1279" s="16" t="e">
        <f>#REF!</f>
        <v>#REF!</v>
      </c>
      <c r="B1279" s="16" t="e">
        <f>#REF!</f>
        <v>#REF!</v>
      </c>
      <c r="C1279" s="16" t="e">
        <f>#REF!</f>
        <v>#REF!</v>
      </c>
      <c r="D1279" s="16" t="e">
        <f>#REF!</f>
        <v>#REF!</v>
      </c>
      <c r="E1279" s="16" t="e">
        <f>#REF!</f>
        <v>#REF!</v>
      </c>
      <c r="F1279" s="16" t="e">
        <f>#REF!</f>
        <v>#REF!</v>
      </c>
      <c r="G1279" s="16" t="e">
        <f>#REF!</f>
        <v>#REF!</v>
      </c>
      <c r="H1279" s="16" t="e">
        <f>#REF!</f>
        <v>#REF!</v>
      </c>
      <c r="I1279" s="16" t="e">
        <f>#REF!</f>
        <v>#REF!</v>
      </c>
      <c r="J1279" s="16" t="e">
        <f>#REF!</f>
        <v>#REF!</v>
      </c>
      <c r="K1279" s="16"/>
      <c r="L1279" s="16"/>
      <c r="M1279" s="16"/>
      <c r="N1279" s="16"/>
      <c r="O1279" s="16"/>
    </row>
    <row r="1280" spans="1:15" ht="22.5" customHeight="1" thickTop="1" thickBot="1" x14ac:dyDescent="0.25">
      <c r="A1280" s="16" t="e">
        <f>#REF!</f>
        <v>#REF!</v>
      </c>
      <c r="B1280" s="16" t="e">
        <f>#REF!</f>
        <v>#REF!</v>
      </c>
      <c r="C1280" s="16" t="e">
        <f>#REF!</f>
        <v>#REF!</v>
      </c>
      <c r="D1280" s="16" t="e">
        <f>#REF!</f>
        <v>#REF!</v>
      </c>
      <c r="E1280" s="16" t="e">
        <f>#REF!</f>
        <v>#REF!</v>
      </c>
      <c r="F1280" s="16" t="e">
        <f>#REF!</f>
        <v>#REF!</v>
      </c>
      <c r="G1280" s="16" t="e">
        <f>#REF!</f>
        <v>#REF!</v>
      </c>
      <c r="H1280" s="16" t="e">
        <f>#REF!</f>
        <v>#REF!</v>
      </c>
      <c r="I1280" s="16" t="e">
        <f>#REF!</f>
        <v>#REF!</v>
      </c>
      <c r="J1280" s="16" t="e">
        <f>#REF!</f>
        <v>#REF!</v>
      </c>
      <c r="K1280" s="16"/>
      <c r="L1280" s="16"/>
      <c r="M1280" s="16"/>
      <c r="N1280" s="16"/>
      <c r="O1280" s="16"/>
    </row>
    <row r="1281" spans="1:15" ht="22.5" customHeight="1" thickTop="1" thickBot="1" x14ac:dyDescent="0.25">
      <c r="A1281" s="16" t="e">
        <f>#REF!</f>
        <v>#REF!</v>
      </c>
      <c r="B1281" s="16" t="e">
        <f>#REF!</f>
        <v>#REF!</v>
      </c>
      <c r="C1281" s="16" t="e">
        <f>#REF!</f>
        <v>#REF!</v>
      </c>
      <c r="D1281" s="16" t="e">
        <f>#REF!</f>
        <v>#REF!</v>
      </c>
      <c r="E1281" s="16" t="e">
        <f>#REF!</f>
        <v>#REF!</v>
      </c>
      <c r="F1281" s="16" t="e">
        <f>#REF!</f>
        <v>#REF!</v>
      </c>
      <c r="G1281" s="16" t="e">
        <f>#REF!</f>
        <v>#REF!</v>
      </c>
      <c r="H1281" s="16" t="e">
        <f>#REF!</f>
        <v>#REF!</v>
      </c>
      <c r="I1281" s="16" t="e">
        <f>#REF!</f>
        <v>#REF!</v>
      </c>
      <c r="J1281" s="16" t="e">
        <f>#REF!</f>
        <v>#REF!</v>
      </c>
      <c r="K1281" s="16"/>
      <c r="L1281" s="16"/>
      <c r="M1281" s="16"/>
      <c r="N1281" s="16"/>
      <c r="O1281" s="16"/>
    </row>
    <row r="1282" spans="1:15" ht="22.5" customHeight="1" thickTop="1" thickBot="1" x14ac:dyDescent="0.25">
      <c r="A1282" s="16" t="e">
        <f>#REF!</f>
        <v>#REF!</v>
      </c>
      <c r="B1282" s="16" t="e">
        <f>#REF!</f>
        <v>#REF!</v>
      </c>
      <c r="C1282" s="16" t="e">
        <f>#REF!</f>
        <v>#REF!</v>
      </c>
      <c r="D1282" s="16" t="e">
        <f>#REF!</f>
        <v>#REF!</v>
      </c>
      <c r="E1282" s="16" t="e">
        <f>#REF!</f>
        <v>#REF!</v>
      </c>
      <c r="F1282" s="16" t="e">
        <f>#REF!</f>
        <v>#REF!</v>
      </c>
      <c r="G1282" s="16" t="e">
        <f>#REF!</f>
        <v>#REF!</v>
      </c>
      <c r="H1282" s="16" t="e">
        <f>#REF!</f>
        <v>#REF!</v>
      </c>
      <c r="I1282" s="16" t="e">
        <f>#REF!</f>
        <v>#REF!</v>
      </c>
      <c r="J1282" s="16" t="e">
        <f>#REF!</f>
        <v>#REF!</v>
      </c>
      <c r="K1282" s="16" t="s">
        <v>752</v>
      </c>
      <c r="L1282" s="16"/>
      <c r="M1282" s="16"/>
      <c r="N1282" s="16"/>
      <c r="O1282" s="16"/>
    </row>
    <row r="1283" spans="1:15" ht="22.5" customHeight="1" thickTop="1" thickBot="1" x14ac:dyDescent="0.25">
      <c r="A1283" s="16" t="e">
        <f>#REF!</f>
        <v>#REF!</v>
      </c>
      <c r="B1283" s="16" t="e">
        <f>#REF!</f>
        <v>#REF!</v>
      </c>
      <c r="C1283" s="16" t="e">
        <f>#REF!</f>
        <v>#REF!</v>
      </c>
      <c r="D1283" s="16" t="e">
        <f>#REF!</f>
        <v>#REF!</v>
      </c>
      <c r="E1283" s="16" t="e">
        <f>#REF!</f>
        <v>#REF!</v>
      </c>
      <c r="F1283" s="16" t="e">
        <f>#REF!</f>
        <v>#REF!</v>
      </c>
      <c r="G1283" s="16" t="e">
        <f>#REF!</f>
        <v>#REF!</v>
      </c>
      <c r="H1283" s="16" t="e">
        <f>#REF!</f>
        <v>#REF!</v>
      </c>
      <c r="I1283" s="16" t="e">
        <f>#REF!</f>
        <v>#REF!</v>
      </c>
      <c r="J1283" s="16" t="e">
        <f>#REF!</f>
        <v>#REF!</v>
      </c>
      <c r="K1283" s="16" t="s">
        <v>752</v>
      </c>
      <c r="L1283" s="16"/>
      <c r="M1283" s="16"/>
      <c r="N1283" s="16"/>
      <c r="O1283" s="16"/>
    </row>
    <row r="1284" spans="1:15" ht="22.5" customHeight="1" thickTop="1" thickBot="1" x14ac:dyDescent="0.25">
      <c r="A1284" s="16" t="e">
        <f>#REF!</f>
        <v>#REF!</v>
      </c>
      <c r="B1284" s="16" t="e">
        <f>#REF!</f>
        <v>#REF!</v>
      </c>
      <c r="C1284" s="16" t="e">
        <f>#REF!</f>
        <v>#REF!</v>
      </c>
      <c r="D1284" s="16" t="e">
        <f>#REF!</f>
        <v>#REF!</v>
      </c>
      <c r="E1284" s="16" t="e">
        <f>#REF!</f>
        <v>#REF!</v>
      </c>
      <c r="F1284" s="16" t="e">
        <f>#REF!</f>
        <v>#REF!</v>
      </c>
      <c r="G1284" s="16" t="e">
        <f>#REF!</f>
        <v>#REF!</v>
      </c>
      <c r="H1284" s="16" t="e">
        <f>#REF!</f>
        <v>#REF!</v>
      </c>
      <c r="I1284" s="16" t="e">
        <f>#REF!</f>
        <v>#REF!</v>
      </c>
      <c r="J1284" s="16" t="e">
        <f>#REF!</f>
        <v>#REF!</v>
      </c>
      <c r="K1284" s="16" t="s">
        <v>752</v>
      </c>
      <c r="L1284" s="16"/>
      <c r="M1284" s="16"/>
      <c r="N1284" s="16"/>
      <c r="O1284" s="16"/>
    </row>
    <row r="1285" spans="1:15" ht="22.5" customHeight="1" thickTop="1" thickBot="1" x14ac:dyDescent="0.25">
      <c r="A1285" s="16" t="e">
        <f>#REF!</f>
        <v>#REF!</v>
      </c>
      <c r="B1285" s="16" t="e">
        <f>#REF!</f>
        <v>#REF!</v>
      </c>
      <c r="C1285" s="16" t="e">
        <f>#REF!</f>
        <v>#REF!</v>
      </c>
      <c r="D1285" s="16" t="e">
        <f>#REF!</f>
        <v>#REF!</v>
      </c>
      <c r="E1285" s="16" t="e">
        <f>#REF!</f>
        <v>#REF!</v>
      </c>
      <c r="F1285" s="16" t="e">
        <f>#REF!</f>
        <v>#REF!</v>
      </c>
      <c r="G1285" s="16" t="e">
        <f>#REF!</f>
        <v>#REF!</v>
      </c>
      <c r="H1285" s="16" t="e">
        <f>#REF!</f>
        <v>#REF!</v>
      </c>
      <c r="I1285" s="16" t="e">
        <f>#REF!</f>
        <v>#REF!</v>
      </c>
      <c r="J1285" s="16" t="e">
        <f>#REF!</f>
        <v>#REF!</v>
      </c>
      <c r="K1285" s="16"/>
      <c r="L1285" s="16"/>
      <c r="M1285" s="16"/>
      <c r="N1285" s="16"/>
      <c r="O1285" s="16"/>
    </row>
    <row r="1286" spans="1:15" ht="22.5" customHeight="1" thickTop="1" thickBot="1" x14ac:dyDescent="0.25">
      <c r="A1286" s="16" t="e">
        <f>#REF!</f>
        <v>#REF!</v>
      </c>
      <c r="B1286" s="16" t="e">
        <f>#REF!</f>
        <v>#REF!</v>
      </c>
      <c r="C1286" s="16" t="e">
        <f>#REF!</f>
        <v>#REF!</v>
      </c>
      <c r="D1286" s="16" t="e">
        <f>#REF!</f>
        <v>#REF!</v>
      </c>
      <c r="E1286" s="16" t="e">
        <f>#REF!</f>
        <v>#REF!</v>
      </c>
      <c r="F1286" s="16" t="e">
        <f>#REF!</f>
        <v>#REF!</v>
      </c>
      <c r="G1286" s="16" t="e">
        <f>#REF!</f>
        <v>#REF!</v>
      </c>
      <c r="H1286" s="16" t="e">
        <f>#REF!</f>
        <v>#REF!</v>
      </c>
      <c r="I1286" s="16" t="e">
        <f>#REF!</f>
        <v>#REF!</v>
      </c>
      <c r="J1286" s="16" t="e">
        <f>#REF!</f>
        <v>#REF!</v>
      </c>
      <c r="K1286" s="16"/>
      <c r="L1286" s="16"/>
      <c r="M1286" s="16"/>
      <c r="N1286" s="16"/>
      <c r="O1286" s="16"/>
    </row>
    <row r="1287" spans="1:15" ht="22.5" customHeight="1" thickTop="1" thickBot="1" x14ac:dyDescent="0.25">
      <c r="A1287" s="16" t="e">
        <f>#REF!</f>
        <v>#REF!</v>
      </c>
      <c r="B1287" s="16" t="e">
        <f>#REF!</f>
        <v>#REF!</v>
      </c>
      <c r="C1287" s="16" t="e">
        <f>#REF!</f>
        <v>#REF!</v>
      </c>
      <c r="D1287" s="16" t="e">
        <f>#REF!</f>
        <v>#REF!</v>
      </c>
      <c r="E1287" s="16" t="e">
        <f>#REF!</f>
        <v>#REF!</v>
      </c>
      <c r="F1287" s="16" t="e">
        <f>#REF!</f>
        <v>#REF!</v>
      </c>
      <c r="G1287" s="16" t="e">
        <f>#REF!</f>
        <v>#REF!</v>
      </c>
      <c r="H1287" s="16" t="e">
        <f>#REF!</f>
        <v>#REF!</v>
      </c>
      <c r="I1287" s="16" t="e">
        <f>#REF!</f>
        <v>#REF!</v>
      </c>
      <c r="J1287" s="16" t="e">
        <f>#REF!</f>
        <v>#REF!</v>
      </c>
      <c r="K1287" s="16"/>
      <c r="L1287" s="16"/>
      <c r="M1287" s="16"/>
      <c r="N1287" s="16"/>
      <c r="O1287" s="16"/>
    </row>
    <row r="1288" spans="1:15" ht="22.5" customHeight="1" thickTop="1" thickBot="1" x14ac:dyDescent="0.25">
      <c r="A1288" s="16" t="e">
        <f>#REF!</f>
        <v>#REF!</v>
      </c>
      <c r="B1288" s="16" t="e">
        <f>#REF!</f>
        <v>#REF!</v>
      </c>
      <c r="C1288" s="16" t="e">
        <f>#REF!</f>
        <v>#REF!</v>
      </c>
      <c r="D1288" s="16" t="e">
        <f>#REF!</f>
        <v>#REF!</v>
      </c>
      <c r="E1288" s="16" t="e">
        <f>#REF!</f>
        <v>#REF!</v>
      </c>
      <c r="F1288" s="16" t="e">
        <f>#REF!</f>
        <v>#REF!</v>
      </c>
      <c r="G1288" s="16" t="e">
        <f>#REF!</f>
        <v>#REF!</v>
      </c>
      <c r="H1288" s="16" t="e">
        <f>#REF!</f>
        <v>#REF!</v>
      </c>
      <c r="I1288" s="16" t="e">
        <f>#REF!</f>
        <v>#REF!</v>
      </c>
      <c r="J1288" s="16" t="s">
        <v>60</v>
      </c>
      <c r="K1288" s="16" t="s">
        <v>739</v>
      </c>
      <c r="L1288" s="16" t="s">
        <v>741</v>
      </c>
      <c r="M1288" s="16" t="s">
        <v>799</v>
      </c>
      <c r="N1288" s="16" t="s">
        <v>48</v>
      </c>
      <c r="O1288" s="16" t="s">
        <v>801</v>
      </c>
    </row>
    <row r="1289" spans="1:15" ht="22.5" customHeight="1" thickTop="1" thickBot="1" x14ac:dyDescent="0.25">
      <c r="A1289" s="16" t="e">
        <f>#REF!</f>
        <v>#REF!</v>
      </c>
      <c r="B1289" s="16" t="e">
        <f>#REF!</f>
        <v>#REF!</v>
      </c>
      <c r="C1289" s="16" t="e">
        <f>#REF!</f>
        <v>#REF!</v>
      </c>
      <c r="D1289" s="16" t="e">
        <f>#REF!</f>
        <v>#REF!</v>
      </c>
      <c r="E1289" s="16" t="e">
        <f>#REF!</f>
        <v>#REF!</v>
      </c>
      <c r="F1289" s="16" t="e">
        <f>#REF!</f>
        <v>#REF!</v>
      </c>
      <c r="G1289" s="16" t="e">
        <f>#REF!</f>
        <v>#REF!</v>
      </c>
      <c r="H1289" s="16" t="e">
        <f>#REF!</f>
        <v>#REF!</v>
      </c>
      <c r="I1289" s="16" t="e">
        <f>#REF!</f>
        <v>#REF!</v>
      </c>
      <c r="J1289" s="16" t="s">
        <v>60</v>
      </c>
      <c r="K1289" s="16" t="s">
        <v>739</v>
      </c>
      <c r="L1289" s="16" t="s">
        <v>741</v>
      </c>
      <c r="M1289" s="16" t="s">
        <v>799</v>
      </c>
      <c r="N1289" s="16" t="s">
        <v>48</v>
      </c>
      <c r="O1289" s="16" t="s">
        <v>801</v>
      </c>
    </row>
    <row r="1290" spans="1:15" ht="22.5" customHeight="1" thickTop="1" thickBot="1" x14ac:dyDescent="0.25">
      <c r="A1290" s="16" t="e">
        <f>#REF!</f>
        <v>#REF!</v>
      </c>
      <c r="B1290" s="16" t="e">
        <f>#REF!</f>
        <v>#REF!</v>
      </c>
      <c r="C1290" s="16" t="e">
        <f>#REF!</f>
        <v>#REF!</v>
      </c>
      <c r="D1290" s="16" t="e">
        <f>#REF!</f>
        <v>#REF!</v>
      </c>
      <c r="E1290" s="16" t="e">
        <f>#REF!</f>
        <v>#REF!</v>
      </c>
      <c r="F1290" s="16" t="e">
        <f>#REF!</f>
        <v>#REF!</v>
      </c>
      <c r="G1290" s="16" t="e">
        <f>#REF!</f>
        <v>#REF!</v>
      </c>
      <c r="H1290" s="16" t="e">
        <f>#REF!</f>
        <v>#REF!</v>
      </c>
      <c r="I1290" s="16" t="e">
        <f>#REF!</f>
        <v>#REF!</v>
      </c>
      <c r="J1290" s="16" t="e">
        <f>#REF!</f>
        <v>#REF!</v>
      </c>
      <c r="K1290" s="16"/>
      <c r="L1290" s="16"/>
      <c r="M1290" s="16"/>
      <c r="N1290" s="16"/>
      <c r="O1290" s="16"/>
    </row>
    <row r="1291" spans="1:15" ht="22.5" customHeight="1" thickTop="1" thickBot="1" x14ac:dyDescent="0.25">
      <c r="A1291" s="16" t="e">
        <f>#REF!</f>
        <v>#REF!</v>
      </c>
      <c r="B1291" s="16" t="e">
        <f>#REF!</f>
        <v>#REF!</v>
      </c>
      <c r="C1291" s="16" t="e">
        <f>#REF!</f>
        <v>#REF!</v>
      </c>
      <c r="D1291" s="16" t="e">
        <f>#REF!</f>
        <v>#REF!</v>
      </c>
      <c r="E1291" s="16" t="e">
        <f>#REF!</f>
        <v>#REF!</v>
      </c>
      <c r="F1291" s="16" t="e">
        <f>#REF!</f>
        <v>#REF!</v>
      </c>
      <c r="G1291" s="16" t="e">
        <f>#REF!</f>
        <v>#REF!</v>
      </c>
      <c r="H1291" s="16" t="e">
        <f>#REF!</f>
        <v>#REF!</v>
      </c>
      <c r="I1291" s="16" t="e">
        <f>#REF!</f>
        <v>#REF!</v>
      </c>
      <c r="J1291" s="16" t="e">
        <f>#REF!</f>
        <v>#REF!</v>
      </c>
      <c r="K1291" s="16"/>
      <c r="L1291" s="16"/>
      <c r="M1291" s="16"/>
      <c r="N1291" s="16"/>
      <c r="O1291" s="16"/>
    </row>
    <row r="1292" spans="1:15" ht="22.5" customHeight="1" thickTop="1" thickBot="1" x14ac:dyDescent="0.25">
      <c r="A1292" s="16" t="e">
        <f>#REF!</f>
        <v>#REF!</v>
      </c>
      <c r="B1292" s="16" t="e">
        <f>#REF!</f>
        <v>#REF!</v>
      </c>
      <c r="C1292" s="16" t="e">
        <f>#REF!</f>
        <v>#REF!</v>
      </c>
      <c r="D1292" s="16" t="e">
        <f>#REF!</f>
        <v>#REF!</v>
      </c>
      <c r="E1292" s="16" t="e">
        <f>#REF!</f>
        <v>#REF!</v>
      </c>
      <c r="F1292" s="16" t="e">
        <f>#REF!</f>
        <v>#REF!</v>
      </c>
      <c r="G1292" s="16" t="e">
        <f>#REF!</f>
        <v>#REF!</v>
      </c>
      <c r="H1292" s="16" t="e">
        <f>#REF!</f>
        <v>#REF!</v>
      </c>
      <c r="I1292" s="16" t="e">
        <f>#REF!</f>
        <v>#REF!</v>
      </c>
      <c r="J1292" s="16" t="e">
        <f>#REF!</f>
        <v>#REF!</v>
      </c>
      <c r="K1292" s="16"/>
      <c r="L1292" s="16"/>
      <c r="M1292" s="16"/>
      <c r="N1292" s="16"/>
      <c r="O1292" s="16"/>
    </row>
    <row r="1293" spans="1:15" ht="22.5" customHeight="1" thickTop="1" thickBot="1" x14ac:dyDescent="0.25">
      <c r="A1293" s="16" t="e">
        <f>#REF!</f>
        <v>#REF!</v>
      </c>
      <c r="B1293" s="16" t="e">
        <f>#REF!</f>
        <v>#REF!</v>
      </c>
      <c r="C1293" s="16" t="e">
        <f>#REF!</f>
        <v>#REF!</v>
      </c>
      <c r="D1293" s="16" t="e">
        <f>#REF!</f>
        <v>#REF!</v>
      </c>
      <c r="E1293" s="16" t="e">
        <f>#REF!</f>
        <v>#REF!</v>
      </c>
      <c r="F1293" s="16" t="e">
        <f>#REF!</f>
        <v>#REF!</v>
      </c>
      <c r="G1293" s="16" t="e">
        <f>#REF!</f>
        <v>#REF!</v>
      </c>
      <c r="H1293" s="16" t="e">
        <f>#REF!</f>
        <v>#REF!</v>
      </c>
      <c r="I1293" s="16" t="e">
        <f>#REF!</f>
        <v>#REF!</v>
      </c>
      <c r="J1293" s="16" t="e">
        <f>#REF!</f>
        <v>#REF!</v>
      </c>
      <c r="K1293" s="16"/>
      <c r="L1293" s="16"/>
      <c r="M1293" s="16"/>
      <c r="N1293" s="16"/>
      <c r="O1293" s="16"/>
    </row>
    <row r="1294" spans="1:15" ht="22.5" customHeight="1" thickTop="1" thickBot="1" x14ac:dyDescent="0.25">
      <c r="A1294" s="16" t="e">
        <f>#REF!</f>
        <v>#REF!</v>
      </c>
      <c r="B1294" s="16" t="e">
        <f>#REF!</f>
        <v>#REF!</v>
      </c>
      <c r="C1294" s="16" t="e">
        <f>#REF!</f>
        <v>#REF!</v>
      </c>
      <c r="D1294" s="16" t="e">
        <f>#REF!</f>
        <v>#REF!</v>
      </c>
      <c r="E1294" s="16" t="e">
        <f>#REF!</f>
        <v>#REF!</v>
      </c>
      <c r="F1294" s="16" t="e">
        <f>#REF!</f>
        <v>#REF!</v>
      </c>
      <c r="G1294" s="16" t="e">
        <f>#REF!</f>
        <v>#REF!</v>
      </c>
      <c r="H1294" s="16" t="e">
        <f>#REF!</f>
        <v>#REF!</v>
      </c>
      <c r="I1294" s="16" t="e">
        <f>#REF!</f>
        <v>#REF!</v>
      </c>
      <c r="J1294" s="16" t="e">
        <f>#REF!</f>
        <v>#REF!</v>
      </c>
      <c r="K1294" s="16"/>
      <c r="L1294" s="16"/>
      <c r="M1294" s="16"/>
      <c r="N1294" s="16"/>
      <c r="O1294" s="16"/>
    </row>
    <row r="1295" spans="1:15" ht="22.5" customHeight="1" thickTop="1" thickBot="1" x14ac:dyDescent="0.25">
      <c r="A1295" s="16" t="e">
        <f>#REF!</f>
        <v>#REF!</v>
      </c>
      <c r="B1295" s="16" t="e">
        <f>#REF!</f>
        <v>#REF!</v>
      </c>
      <c r="C1295" s="16" t="e">
        <f>#REF!</f>
        <v>#REF!</v>
      </c>
      <c r="D1295" s="16" t="e">
        <f>#REF!</f>
        <v>#REF!</v>
      </c>
      <c r="E1295" s="16" t="e">
        <f>#REF!</f>
        <v>#REF!</v>
      </c>
      <c r="F1295" s="16" t="e">
        <f>#REF!</f>
        <v>#REF!</v>
      </c>
      <c r="G1295" s="16" t="e">
        <f>#REF!</f>
        <v>#REF!</v>
      </c>
      <c r="H1295" s="16" t="e">
        <f>#REF!</f>
        <v>#REF!</v>
      </c>
      <c r="I1295" s="16" t="e">
        <f>#REF!</f>
        <v>#REF!</v>
      </c>
      <c r="J1295" s="16" t="e">
        <f>#REF!</f>
        <v>#REF!</v>
      </c>
      <c r="K1295" s="16"/>
      <c r="L1295" s="16"/>
      <c r="M1295" s="16"/>
      <c r="N1295" s="16"/>
      <c r="O1295" s="16"/>
    </row>
    <row r="1296" spans="1:15" ht="22.5" customHeight="1" thickTop="1" thickBot="1" x14ac:dyDescent="0.25">
      <c r="A1296" s="16" t="e">
        <f>#REF!</f>
        <v>#REF!</v>
      </c>
      <c r="B1296" s="16" t="e">
        <f>#REF!</f>
        <v>#REF!</v>
      </c>
      <c r="C1296" s="16" t="e">
        <f>#REF!</f>
        <v>#REF!</v>
      </c>
      <c r="D1296" s="16" t="e">
        <f>#REF!</f>
        <v>#REF!</v>
      </c>
      <c r="E1296" s="16" t="e">
        <f>#REF!</f>
        <v>#REF!</v>
      </c>
      <c r="F1296" s="16" t="e">
        <f>#REF!</f>
        <v>#REF!</v>
      </c>
      <c r="G1296" s="16" t="e">
        <f>#REF!</f>
        <v>#REF!</v>
      </c>
      <c r="H1296" s="16" t="e">
        <f>#REF!</f>
        <v>#REF!</v>
      </c>
      <c r="I1296" s="16" t="e">
        <f>#REF!</f>
        <v>#REF!</v>
      </c>
      <c r="J1296" s="16" t="e">
        <f>#REF!</f>
        <v>#REF!</v>
      </c>
      <c r="K1296" s="16" t="s">
        <v>752</v>
      </c>
      <c r="L1296" s="16"/>
      <c r="M1296" s="16"/>
      <c r="N1296" s="16"/>
      <c r="O1296" s="16"/>
    </row>
    <row r="1297" spans="1:15" ht="22.5" customHeight="1" thickTop="1" thickBot="1" x14ac:dyDescent="0.25">
      <c r="A1297" s="16" t="e">
        <f>#REF!</f>
        <v>#REF!</v>
      </c>
      <c r="B1297" s="16" t="e">
        <f>#REF!</f>
        <v>#REF!</v>
      </c>
      <c r="C1297" s="16" t="e">
        <f>#REF!</f>
        <v>#REF!</v>
      </c>
      <c r="D1297" s="16" t="e">
        <f>#REF!</f>
        <v>#REF!</v>
      </c>
      <c r="E1297" s="16" t="e">
        <f>#REF!</f>
        <v>#REF!</v>
      </c>
      <c r="F1297" s="16" t="e">
        <f>#REF!</f>
        <v>#REF!</v>
      </c>
      <c r="G1297" s="16" t="e">
        <f>#REF!</f>
        <v>#REF!</v>
      </c>
      <c r="H1297" s="16" t="e">
        <f>#REF!</f>
        <v>#REF!</v>
      </c>
      <c r="I1297" s="16" t="e">
        <f>#REF!</f>
        <v>#REF!</v>
      </c>
      <c r="J1297" s="16" t="e">
        <f>#REF!</f>
        <v>#REF!</v>
      </c>
      <c r="K1297" s="16" t="s">
        <v>752</v>
      </c>
      <c r="L1297" s="16"/>
      <c r="M1297" s="16"/>
      <c r="N1297" s="16"/>
      <c r="O1297" s="16"/>
    </row>
    <row r="1298" spans="1:15" ht="22.5" customHeight="1" thickTop="1" thickBot="1" x14ac:dyDescent="0.25">
      <c r="A1298" s="16" t="e">
        <f>#REF!</f>
        <v>#REF!</v>
      </c>
      <c r="B1298" s="16" t="e">
        <f>#REF!</f>
        <v>#REF!</v>
      </c>
      <c r="C1298" s="16" t="e">
        <f>#REF!</f>
        <v>#REF!</v>
      </c>
      <c r="D1298" s="16" t="e">
        <f>#REF!</f>
        <v>#REF!</v>
      </c>
      <c r="E1298" s="16" t="e">
        <f>#REF!</f>
        <v>#REF!</v>
      </c>
      <c r="F1298" s="16" t="e">
        <f>#REF!</f>
        <v>#REF!</v>
      </c>
      <c r="G1298" s="16" t="e">
        <f>#REF!</f>
        <v>#REF!</v>
      </c>
      <c r="H1298" s="16" t="e">
        <f>#REF!</f>
        <v>#REF!</v>
      </c>
      <c r="I1298" s="16" t="e">
        <f>#REF!</f>
        <v>#REF!</v>
      </c>
      <c r="J1298" s="16" t="e">
        <f>#REF!</f>
        <v>#REF!</v>
      </c>
      <c r="K1298" s="16" t="s">
        <v>752</v>
      </c>
      <c r="L1298" s="16"/>
      <c r="M1298" s="16"/>
      <c r="N1298" s="16"/>
      <c r="O1298" s="16"/>
    </row>
    <row r="1299" spans="1:15" ht="22.5" customHeight="1" thickTop="1" thickBot="1" x14ac:dyDescent="0.25">
      <c r="A1299" s="16" t="e">
        <f>#REF!</f>
        <v>#REF!</v>
      </c>
      <c r="B1299" s="16" t="e">
        <f>#REF!</f>
        <v>#REF!</v>
      </c>
      <c r="C1299" s="16" t="e">
        <f>#REF!</f>
        <v>#REF!</v>
      </c>
      <c r="D1299" s="16" t="e">
        <f>#REF!</f>
        <v>#REF!</v>
      </c>
      <c r="E1299" s="16" t="e">
        <f>#REF!</f>
        <v>#REF!</v>
      </c>
      <c r="F1299" s="16" t="e">
        <f>#REF!</f>
        <v>#REF!</v>
      </c>
      <c r="G1299" s="16" t="e">
        <f>#REF!</f>
        <v>#REF!</v>
      </c>
      <c r="H1299" s="16" t="e">
        <f>#REF!</f>
        <v>#REF!</v>
      </c>
      <c r="I1299" s="16" t="e">
        <f>#REF!</f>
        <v>#REF!</v>
      </c>
      <c r="J1299" s="16" t="e">
        <f>#REF!</f>
        <v>#REF!</v>
      </c>
      <c r="K1299" s="16" t="s">
        <v>752</v>
      </c>
      <c r="L1299" s="16"/>
      <c r="M1299" s="16"/>
      <c r="N1299" s="16"/>
      <c r="O1299" s="16"/>
    </row>
    <row r="1300" spans="1:15" ht="22.5" customHeight="1" thickTop="1" thickBot="1" x14ac:dyDescent="0.25">
      <c r="A1300" s="16" t="e">
        <f>#REF!</f>
        <v>#REF!</v>
      </c>
      <c r="B1300" s="16" t="e">
        <f>#REF!</f>
        <v>#REF!</v>
      </c>
      <c r="C1300" s="16" t="e">
        <f>#REF!</f>
        <v>#REF!</v>
      </c>
      <c r="D1300" s="16" t="e">
        <f>#REF!</f>
        <v>#REF!</v>
      </c>
      <c r="E1300" s="16" t="e">
        <f>#REF!</f>
        <v>#REF!</v>
      </c>
      <c r="F1300" s="16" t="e">
        <f>#REF!</f>
        <v>#REF!</v>
      </c>
      <c r="G1300" s="16" t="e">
        <f>#REF!</f>
        <v>#REF!</v>
      </c>
      <c r="H1300" s="16" t="e">
        <f>#REF!</f>
        <v>#REF!</v>
      </c>
      <c r="I1300" s="16" t="e">
        <f>#REF!</f>
        <v>#REF!</v>
      </c>
      <c r="J1300" s="16" t="e">
        <f>#REF!</f>
        <v>#REF!</v>
      </c>
      <c r="K1300" s="16" t="s">
        <v>752</v>
      </c>
      <c r="L1300" s="16"/>
      <c r="M1300" s="16"/>
      <c r="N1300" s="16"/>
      <c r="O1300" s="16"/>
    </row>
    <row r="1301" spans="1:15" ht="22.5" customHeight="1" thickTop="1" thickBot="1" x14ac:dyDescent="0.25">
      <c r="A1301" s="16" t="e">
        <f>#REF!</f>
        <v>#REF!</v>
      </c>
      <c r="B1301" s="16" t="e">
        <f>#REF!</f>
        <v>#REF!</v>
      </c>
      <c r="C1301" s="16" t="e">
        <f>#REF!</f>
        <v>#REF!</v>
      </c>
      <c r="D1301" s="16" t="e">
        <f>#REF!</f>
        <v>#REF!</v>
      </c>
      <c r="E1301" s="16" t="e">
        <f>#REF!</f>
        <v>#REF!</v>
      </c>
      <c r="F1301" s="16" t="e">
        <f>#REF!</f>
        <v>#REF!</v>
      </c>
      <c r="G1301" s="16" t="e">
        <f>#REF!</f>
        <v>#REF!</v>
      </c>
      <c r="H1301" s="16" t="e">
        <f>#REF!</f>
        <v>#REF!</v>
      </c>
      <c r="I1301" s="16" t="e">
        <f>#REF!</f>
        <v>#REF!</v>
      </c>
      <c r="J1301" s="16" t="e">
        <f>#REF!</f>
        <v>#REF!</v>
      </c>
      <c r="K1301" s="16" t="s">
        <v>752</v>
      </c>
      <c r="L1301" s="16"/>
      <c r="M1301" s="16"/>
      <c r="N1301" s="16"/>
      <c r="O1301" s="16"/>
    </row>
    <row r="1302" spans="1:15" ht="22.5" customHeight="1" thickTop="1" thickBot="1" x14ac:dyDescent="0.25">
      <c r="A1302" s="16" t="e">
        <f>#REF!</f>
        <v>#REF!</v>
      </c>
      <c r="B1302" s="16" t="e">
        <f>#REF!</f>
        <v>#REF!</v>
      </c>
      <c r="C1302" s="16" t="e">
        <f>#REF!</f>
        <v>#REF!</v>
      </c>
      <c r="D1302" s="16" t="e">
        <f>#REF!</f>
        <v>#REF!</v>
      </c>
      <c r="E1302" s="16" t="e">
        <f>#REF!</f>
        <v>#REF!</v>
      </c>
      <c r="F1302" s="16" t="e">
        <f>#REF!</f>
        <v>#REF!</v>
      </c>
      <c r="G1302" s="16" t="e">
        <f>#REF!</f>
        <v>#REF!</v>
      </c>
      <c r="H1302" s="16" t="e">
        <f>#REF!</f>
        <v>#REF!</v>
      </c>
      <c r="I1302" s="16" t="e">
        <f>#REF!</f>
        <v>#REF!</v>
      </c>
      <c r="J1302" s="16" t="e">
        <f>#REF!</f>
        <v>#REF!</v>
      </c>
      <c r="K1302" s="16"/>
      <c r="L1302" s="16"/>
      <c r="M1302" s="16"/>
      <c r="N1302" s="16"/>
      <c r="O1302" s="16"/>
    </row>
    <row r="1303" spans="1:15" ht="22.5" customHeight="1" thickTop="1" thickBot="1" x14ac:dyDescent="0.25">
      <c r="A1303" s="16" t="e">
        <f>#REF!</f>
        <v>#REF!</v>
      </c>
      <c r="B1303" s="16" t="e">
        <f>#REF!</f>
        <v>#REF!</v>
      </c>
      <c r="C1303" s="16" t="e">
        <f>#REF!</f>
        <v>#REF!</v>
      </c>
      <c r="D1303" s="16" t="e">
        <f>#REF!</f>
        <v>#REF!</v>
      </c>
      <c r="E1303" s="16" t="e">
        <f>#REF!</f>
        <v>#REF!</v>
      </c>
      <c r="F1303" s="16" t="e">
        <f>#REF!</f>
        <v>#REF!</v>
      </c>
      <c r="G1303" s="16" t="e">
        <f>#REF!</f>
        <v>#REF!</v>
      </c>
      <c r="H1303" s="16" t="e">
        <f>#REF!</f>
        <v>#REF!</v>
      </c>
      <c r="I1303" s="16" t="e">
        <f>#REF!</f>
        <v>#REF!</v>
      </c>
      <c r="J1303" s="16" t="e">
        <f>#REF!</f>
        <v>#REF!</v>
      </c>
      <c r="K1303" s="16"/>
      <c r="L1303" s="16"/>
      <c r="M1303" s="16"/>
      <c r="N1303" s="16"/>
      <c r="O1303" s="16"/>
    </row>
    <row r="1304" spans="1:15" ht="22.5" customHeight="1" thickTop="1" thickBot="1" x14ac:dyDescent="0.25">
      <c r="A1304" s="16" t="e">
        <f>#REF!</f>
        <v>#REF!</v>
      </c>
      <c r="B1304" s="16" t="e">
        <f>#REF!</f>
        <v>#REF!</v>
      </c>
      <c r="C1304" s="16" t="e">
        <f>#REF!</f>
        <v>#REF!</v>
      </c>
      <c r="D1304" s="16" t="e">
        <f>#REF!</f>
        <v>#REF!</v>
      </c>
      <c r="E1304" s="16" t="e">
        <f>#REF!</f>
        <v>#REF!</v>
      </c>
      <c r="F1304" s="16" t="e">
        <f>#REF!</f>
        <v>#REF!</v>
      </c>
      <c r="G1304" s="16" t="e">
        <f>#REF!</f>
        <v>#REF!</v>
      </c>
      <c r="H1304" s="16" t="e">
        <f>#REF!</f>
        <v>#REF!</v>
      </c>
      <c r="I1304" s="16" t="e">
        <f>#REF!</f>
        <v>#REF!</v>
      </c>
      <c r="J1304" s="16" t="e">
        <f>#REF!</f>
        <v>#REF!</v>
      </c>
      <c r="K1304" s="16"/>
      <c r="L1304" s="16"/>
      <c r="M1304" s="16"/>
      <c r="N1304" s="16"/>
      <c r="O1304" s="16"/>
    </row>
    <row r="1305" spans="1:15" ht="22.5" customHeight="1" thickTop="1" thickBot="1" x14ac:dyDescent="0.25">
      <c r="A1305" s="16" t="e">
        <f>#REF!</f>
        <v>#REF!</v>
      </c>
      <c r="B1305" s="16" t="e">
        <f>#REF!</f>
        <v>#REF!</v>
      </c>
      <c r="C1305" s="16" t="e">
        <f>#REF!</f>
        <v>#REF!</v>
      </c>
      <c r="D1305" s="16" t="e">
        <f>#REF!</f>
        <v>#REF!</v>
      </c>
      <c r="E1305" s="16" t="e">
        <f>#REF!</f>
        <v>#REF!</v>
      </c>
      <c r="F1305" s="16" t="e">
        <f>#REF!</f>
        <v>#REF!</v>
      </c>
      <c r="G1305" s="16" t="e">
        <f>#REF!</f>
        <v>#REF!</v>
      </c>
      <c r="H1305" s="16" t="e">
        <f>#REF!</f>
        <v>#REF!</v>
      </c>
      <c r="I1305" s="16" t="e">
        <f>#REF!</f>
        <v>#REF!</v>
      </c>
      <c r="J1305" s="16" t="e">
        <f>#REF!</f>
        <v>#REF!</v>
      </c>
      <c r="K1305" s="16"/>
      <c r="L1305" s="16"/>
      <c r="M1305" s="16"/>
      <c r="N1305" s="16"/>
      <c r="O1305" s="16"/>
    </row>
    <row r="1306" spans="1:15" ht="22.5" customHeight="1" thickTop="1" thickBot="1" x14ac:dyDescent="0.25">
      <c r="A1306" s="16" t="e">
        <f>#REF!</f>
        <v>#REF!</v>
      </c>
      <c r="B1306" s="16" t="e">
        <f>#REF!</f>
        <v>#REF!</v>
      </c>
      <c r="C1306" s="16" t="e">
        <f>#REF!</f>
        <v>#REF!</v>
      </c>
      <c r="D1306" s="16" t="e">
        <f>#REF!</f>
        <v>#REF!</v>
      </c>
      <c r="E1306" s="16" t="e">
        <f>#REF!</f>
        <v>#REF!</v>
      </c>
      <c r="F1306" s="16" t="e">
        <f>#REF!</f>
        <v>#REF!</v>
      </c>
      <c r="G1306" s="16" t="e">
        <f>#REF!</f>
        <v>#REF!</v>
      </c>
      <c r="H1306" s="16" t="e">
        <f>#REF!</f>
        <v>#REF!</v>
      </c>
      <c r="I1306" s="16" t="e">
        <f>#REF!</f>
        <v>#REF!</v>
      </c>
      <c r="J1306" s="16" t="e">
        <f>#REF!</f>
        <v>#REF!</v>
      </c>
      <c r="K1306" s="16"/>
      <c r="L1306" s="16"/>
      <c r="M1306" s="16"/>
      <c r="N1306" s="16"/>
      <c r="O1306" s="16"/>
    </row>
    <row r="1307" spans="1:15" ht="22.5" customHeight="1" thickTop="1" thickBot="1" x14ac:dyDescent="0.25">
      <c r="A1307" s="16" t="e">
        <f>#REF!</f>
        <v>#REF!</v>
      </c>
      <c r="B1307" s="16" t="e">
        <f>#REF!</f>
        <v>#REF!</v>
      </c>
      <c r="C1307" s="16" t="e">
        <f>#REF!</f>
        <v>#REF!</v>
      </c>
      <c r="D1307" s="16" t="e">
        <f>#REF!</f>
        <v>#REF!</v>
      </c>
      <c r="E1307" s="16" t="e">
        <f>#REF!</f>
        <v>#REF!</v>
      </c>
      <c r="F1307" s="16" t="e">
        <f>#REF!</f>
        <v>#REF!</v>
      </c>
      <c r="G1307" s="16" t="e">
        <f>#REF!</f>
        <v>#REF!</v>
      </c>
      <c r="H1307" s="16" t="e">
        <f>#REF!</f>
        <v>#REF!</v>
      </c>
      <c r="I1307" s="16" t="e">
        <f>#REF!</f>
        <v>#REF!</v>
      </c>
      <c r="J1307" s="16" t="e">
        <f>#REF!</f>
        <v>#REF!</v>
      </c>
      <c r="K1307" s="16"/>
      <c r="L1307" s="16"/>
      <c r="M1307" s="16"/>
      <c r="N1307" s="16"/>
      <c r="O1307" s="16"/>
    </row>
    <row r="1308" spans="1:15" ht="22.5" customHeight="1" thickTop="1" thickBot="1" x14ac:dyDescent="0.25">
      <c r="A1308" s="16" t="e">
        <f>#REF!</f>
        <v>#REF!</v>
      </c>
      <c r="B1308" s="16" t="e">
        <f>#REF!</f>
        <v>#REF!</v>
      </c>
      <c r="C1308" s="16" t="e">
        <f>#REF!</f>
        <v>#REF!</v>
      </c>
      <c r="D1308" s="16" t="e">
        <f>#REF!</f>
        <v>#REF!</v>
      </c>
      <c r="E1308" s="16" t="e">
        <f>#REF!</f>
        <v>#REF!</v>
      </c>
      <c r="F1308" s="16" t="e">
        <f>#REF!</f>
        <v>#REF!</v>
      </c>
      <c r="G1308" s="16" t="e">
        <f>#REF!</f>
        <v>#REF!</v>
      </c>
      <c r="H1308" s="16" t="e">
        <f>#REF!</f>
        <v>#REF!</v>
      </c>
      <c r="I1308" s="16" t="e">
        <f>#REF!</f>
        <v>#REF!</v>
      </c>
      <c r="J1308" s="16" t="e">
        <f>#REF!</f>
        <v>#REF!</v>
      </c>
      <c r="K1308" s="16"/>
      <c r="L1308" s="16"/>
      <c r="M1308" s="16"/>
      <c r="N1308" s="16"/>
      <c r="O1308" s="16"/>
    </row>
    <row r="1309" spans="1:15" ht="22.5" customHeight="1" thickTop="1" thickBot="1" x14ac:dyDescent="0.25">
      <c r="A1309" s="16" t="e">
        <f>#REF!</f>
        <v>#REF!</v>
      </c>
      <c r="B1309" s="16" t="e">
        <f>#REF!</f>
        <v>#REF!</v>
      </c>
      <c r="C1309" s="16" t="e">
        <f>#REF!</f>
        <v>#REF!</v>
      </c>
      <c r="D1309" s="16" t="e">
        <f>#REF!</f>
        <v>#REF!</v>
      </c>
      <c r="E1309" s="16" t="e">
        <f>#REF!</f>
        <v>#REF!</v>
      </c>
      <c r="F1309" s="16" t="e">
        <f>#REF!</f>
        <v>#REF!</v>
      </c>
      <c r="G1309" s="16" t="e">
        <f>#REF!</f>
        <v>#REF!</v>
      </c>
      <c r="H1309" s="16" t="e">
        <f>#REF!</f>
        <v>#REF!</v>
      </c>
      <c r="I1309" s="16" t="e">
        <f>#REF!</f>
        <v>#REF!</v>
      </c>
      <c r="J1309" s="16" t="e">
        <f>#REF!</f>
        <v>#REF!</v>
      </c>
      <c r="K1309" s="16"/>
      <c r="L1309" s="16"/>
      <c r="M1309" s="16"/>
      <c r="N1309" s="16"/>
      <c r="O1309" s="16"/>
    </row>
    <row r="1310" spans="1:15" ht="22.5" customHeight="1" thickTop="1" thickBot="1" x14ac:dyDescent="0.25">
      <c r="A1310" s="16" t="e">
        <f>#REF!</f>
        <v>#REF!</v>
      </c>
      <c r="B1310" s="16" t="e">
        <f>#REF!</f>
        <v>#REF!</v>
      </c>
      <c r="C1310" s="16" t="e">
        <f>#REF!</f>
        <v>#REF!</v>
      </c>
      <c r="D1310" s="16" t="e">
        <f>#REF!</f>
        <v>#REF!</v>
      </c>
      <c r="E1310" s="16" t="e">
        <f>#REF!</f>
        <v>#REF!</v>
      </c>
      <c r="F1310" s="16" t="e">
        <f>#REF!</f>
        <v>#REF!</v>
      </c>
      <c r="G1310" s="16" t="e">
        <f>#REF!</f>
        <v>#REF!</v>
      </c>
      <c r="H1310" s="16" t="e">
        <f>#REF!</f>
        <v>#REF!</v>
      </c>
      <c r="I1310" s="16" t="e">
        <f>#REF!</f>
        <v>#REF!</v>
      </c>
      <c r="J1310" s="16" t="e">
        <f>#REF!</f>
        <v>#REF!</v>
      </c>
      <c r="K1310" s="16"/>
      <c r="L1310" s="16"/>
      <c r="M1310" s="16"/>
      <c r="N1310" s="16"/>
      <c r="O1310" s="16"/>
    </row>
    <row r="1311" spans="1:15" ht="22.5" customHeight="1" thickTop="1" thickBot="1" x14ac:dyDescent="0.25">
      <c r="A1311" s="16" t="e">
        <f>#REF!</f>
        <v>#REF!</v>
      </c>
      <c r="B1311" s="16" t="e">
        <f>#REF!</f>
        <v>#REF!</v>
      </c>
      <c r="C1311" s="16" t="e">
        <f>#REF!</f>
        <v>#REF!</v>
      </c>
      <c r="D1311" s="16" t="e">
        <f>#REF!</f>
        <v>#REF!</v>
      </c>
      <c r="E1311" s="16" t="e">
        <f>#REF!</f>
        <v>#REF!</v>
      </c>
      <c r="F1311" s="16" t="e">
        <f>#REF!</f>
        <v>#REF!</v>
      </c>
      <c r="G1311" s="16" t="e">
        <f>#REF!</f>
        <v>#REF!</v>
      </c>
      <c r="H1311" s="16" t="e">
        <f>#REF!</f>
        <v>#REF!</v>
      </c>
      <c r="I1311" s="16" t="e">
        <f>#REF!</f>
        <v>#REF!</v>
      </c>
      <c r="J1311" s="16" t="e">
        <f>#REF!</f>
        <v>#REF!</v>
      </c>
      <c r="K1311" s="16"/>
      <c r="L1311" s="16"/>
      <c r="M1311" s="16"/>
      <c r="N1311" s="16"/>
      <c r="O1311" s="16"/>
    </row>
    <row r="1312" spans="1:15" ht="22.5" customHeight="1" thickTop="1" thickBot="1" x14ac:dyDescent="0.25">
      <c r="A1312" s="16" t="e">
        <f>#REF!</f>
        <v>#REF!</v>
      </c>
      <c r="B1312" s="16" t="e">
        <f>#REF!</f>
        <v>#REF!</v>
      </c>
      <c r="C1312" s="16" t="e">
        <f>#REF!</f>
        <v>#REF!</v>
      </c>
      <c r="D1312" s="16" t="e">
        <f>#REF!</f>
        <v>#REF!</v>
      </c>
      <c r="E1312" s="16" t="e">
        <f>#REF!</f>
        <v>#REF!</v>
      </c>
      <c r="F1312" s="16" t="e">
        <f>#REF!</f>
        <v>#REF!</v>
      </c>
      <c r="G1312" s="16" t="e">
        <f>#REF!</f>
        <v>#REF!</v>
      </c>
      <c r="H1312" s="16" t="e">
        <f>#REF!</f>
        <v>#REF!</v>
      </c>
      <c r="I1312" s="16" t="e">
        <f>#REF!</f>
        <v>#REF!</v>
      </c>
      <c r="J1312" s="16" t="e">
        <f>#REF!</f>
        <v>#REF!</v>
      </c>
      <c r="K1312" s="16"/>
      <c r="L1312" s="16"/>
      <c r="M1312" s="16"/>
      <c r="N1312" s="16"/>
      <c r="O1312" s="16"/>
    </row>
    <row r="1313" spans="1:15" ht="22.5" customHeight="1" thickTop="1" thickBot="1" x14ac:dyDescent="0.25">
      <c r="A1313" s="16" t="e">
        <f>#REF!</f>
        <v>#REF!</v>
      </c>
      <c r="B1313" s="16" t="e">
        <f>#REF!</f>
        <v>#REF!</v>
      </c>
      <c r="C1313" s="16" t="e">
        <f>#REF!</f>
        <v>#REF!</v>
      </c>
      <c r="D1313" s="16" t="e">
        <f>#REF!</f>
        <v>#REF!</v>
      </c>
      <c r="E1313" s="16" t="e">
        <f>#REF!</f>
        <v>#REF!</v>
      </c>
      <c r="F1313" s="16" t="e">
        <f>#REF!</f>
        <v>#REF!</v>
      </c>
      <c r="G1313" s="16" t="e">
        <f>#REF!</f>
        <v>#REF!</v>
      </c>
      <c r="H1313" s="16" t="e">
        <f>#REF!</f>
        <v>#REF!</v>
      </c>
      <c r="I1313" s="16" t="e">
        <f>#REF!</f>
        <v>#REF!</v>
      </c>
      <c r="J1313" s="16" t="e">
        <f>#REF!</f>
        <v>#REF!</v>
      </c>
      <c r="K1313" s="16"/>
      <c r="L1313" s="16"/>
      <c r="M1313" s="16"/>
      <c r="N1313" s="16"/>
      <c r="O1313" s="16"/>
    </row>
    <row r="1314" spans="1:15" ht="22.5" customHeight="1" thickTop="1" thickBot="1" x14ac:dyDescent="0.25">
      <c r="A1314" s="16" t="e">
        <f>#REF!</f>
        <v>#REF!</v>
      </c>
      <c r="B1314" s="16" t="e">
        <f>#REF!</f>
        <v>#REF!</v>
      </c>
      <c r="C1314" s="16" t="e">
        <f>#REF!</f>
        <v>#REF!</v>
      </c>
      <c r="D1314" s="16" t="e">
        <f>#REF!</f>
        <v>#REF!</v>
      </c>
      <c r="E1314" s="16" t="e">
        <f>#REF!</f>
        <v>#REF!</v>
      </c>
      <c r="F1314" s="16" t="e">
        <f>#REF!</f>
        <v>#REF!</v>
      </c>
      <c r="G1314" s="16" t="e">
        <f>#REF!</f>
        <v>#REF!</v>
      </c>
      <c r="H1314" s="16" t="e">
        <f>#REF!</f>
        <v>#REF!</v>
      </c>
      <c r="I1314" s="16" t="e">
        <f>#REF!</f>
        <v>#REF!</v>
      </c>
      <c r="J1314" s="16" t="e">
        <f>#REF!</f>
        <v>#REF!</v>
      </c>
      <c r="K1314" s="16"/>
      <c r="L1314" s="16"/>
      <c r="M1314" s="16"/>
      <c r="N1314" s="16"/>
      <c r="O1314" s="16"/>
    </row>
    <row r="1315" spans="1:15" ht="22.5" customHeight="1" thickTop="1" thickBot="1" x14ac:dyDescent="0.25">
      <c r="A1315" s="16" t="e">
        <f>#REF!</f>
        <v>#REF!</v>
      </c>
      <c r="B1315" s="16" t="e">
        <f>#REF!</f>
        <v>#REF!</v>
      </c>
      <c r="C1315" s="16" t="e">
        <f>#REF!</f>
        <v>#REF!</v>
      </c>
      <c r="D1315" s="16" t="e">
        <f>#REF!</f>
        <v>#REF!</v>
      </c>
      <c r="E1315" s="16" t="e">
        <f>#REF!</f>
        <v>#REF!</v>
      </c>
      <c r="F1315" s="16" t="e">
        <f>#REF!</f>
        <v>#REF!</v>
      </c>
      <c r="G1315" s="16" t="e">
        <f>#REF!</f>
        <v>#REF!</v>
      </c>
      <c r="H1315" s="16" t="e">
        <f>#REF!</f>
        <v>#REF!</v>
      </c>
      <c r="I1315" s="16" t="e">
        <f>#REF!</f>
        <v>#REF!</v>
      </c>
      <c r="J1315" s="16" t="e">
        <f>#REF!</f>
        <v>#REF!</v>
      </c>
      <c r="K1315" s="16"/>
      <c r="L1315" s="16"/>
      <c r="M1315" s="16"/>
      <c r="N1315" s="16"/>
      <c r="O1315" s="16"/>
    </row>
    <row r="1316" spans="1:15" ht="22.5" customHeight="1" thickTop="1" thickBot="1" x14ac:dyDescent="0.25">
      <c r="A1316" s="16" t="e">
        <f>#REF!</f>
        <v>#REF!</v>
      </c>
      <c r="B1316" s="16" t="e">
        <f>#REF!</f>
        <v>#REF!</v>
      </c>
      <c r="C1316" s="16" t="e">
        <f>#REF!</f>
        <v>#REF!</v>
      </c>
      <c r="D1316" s="16" t="e">
        <f>#REF!</f>
        <v>#REF!</v>
      </c>
      <c r="E1316" s="16" t="e">
        <f>#REF!</f>
        <v>#REF!</v>
      </c>
      <c r="F1316" s="16" t="e">
        <f>#REF!</f>
        <v>#REF!</v>
      </c>
      <c r="G1316" s="16" t="e">
        <f>#REF!</f>
        <v>#REF!</v>
      </c>
      <c r="H1316" s="16" t="e">
        <f>#REF!</f>
        <v>#REF!</v>
      </c>
      <c r="I1316" s="16" t="e">
        <f>#REF!</f>
        <v>#REF!</v>
      </c>
      <c r="J1316" s="16" t="e">
        <f>#REF!</f>
        <v>#REF!</v>
      </c>
      <c r="K1316" s="16"/>
      <c r="L1316" s="16"/>
      <c r="M1316" s="16"/>
      <c r="N1316" s="16"/>
      <c r="O1316" s="16"/>
    </row>
    <row r="1317" spans="1:15" ht="22.5" customHeight="1" thickTop="1" thickBot="1" x14ac:dyDescent="0.25">
      <c r="A1317" s="16" t="e">
        <f>#REF!</f>
        <v>#REF!</v>
      </c>
      <c r="B1317" s="16" t="e">
        <f>#REF!</f>
        <v>#REF!</v>
      </c>
      <c r="C1317" s="16" t="e">
        <f>#REF!</f>
        <v>#REF!</v>
      </c>
      <c r="D1317" s="16" t="e">
        <f>#REF!</f>
        <v>#REF!</v>
      </c>
      <c r="E1317" s="16" t="e">
        <f>#REF!</f>
        <v>#REF!</v>
      </c>
      <c r="F1317" s="16" t="e">
        <f>#REF!</f>
        <v>#REF!</v>
      </c>
      <c r="G1317" s="16" t="e">
        <f>#REF!</f>
        <v>#REF!</v>
      </c>
      <c r="H1317" s="16" t="e">
        <f>#REF!</f>
        <v>#REF!</v>
      </c>
      <c r="I1317" s="16" t="e">
        <f>#REF!</f>
        <v>#REF!</v>
      </c>
      <c r="J1317" s="16" t="e">
        <f>#REF!</f>
        <v>#REF!</v>
      </c>
      <c r="K1317" s="16"/>
      <c r="L1317" s="16"/>
      <c r="M1317" s="16"/>
      <c r="N1317" s="16"/>
      <c r="O1317" s="16"/>
    </row>
    <row r="1318" spans="1:15" ht="22.5" customHeight="1" thickTop="1" thickBot="1" x14ac:dyDescent="0.25">
      <c r="A1318" s="16" t="e">
        <f>#REF!</f>
        <v>#REF!</v>
      </c>
      <c r="B1318" s="16" t="e">
        <f>#REF!</f>
        <v>#REF!</v>
      </c>
      <c r="C1318" s="16" t="e">
        <f>#REF!</f>
        <v>#REF!</v>
      </c>
      <c r="D1318" s="16" t="e">
        <f>#REF!</f>
        <v>#REF!</v>
      </c>
      <c r="E1318" s="16" t="e">
        <f>#REF!</f>
        <v>#REF!</v>
      </c>
      <c r="F1318" s="16" t="e">
        <f>#REF!</f>
        <v>#REF!</v>
      </c>
      <c r="G1318" s="16" t="e">
        <f>#REF!</f>
        <v>#REF!</v>
      </c>
      <c r="H1318" s="16" t="e">
        <f>#REF!</f>
        <v>#REF!</v>
      </c>
      <c r="I1318" s="16" t="e">
        <f>#REF!</f>
        <v>#REF!</v>
      </c>
      <c r="J1318" s="16" t="e">
        <f>#REF!</f>
        <v>#REF!</v>
      </c>
      <c r="K1318" s="16"/>
      <c r="L1318" s="16"/>
      <c r="M1318" s="16"/>
      <c r="N1318" s="16"/>
      <c r="O1318" s="16"/>
    </row>
    <row r="1319" spans="1:15" ht="22.5" customHeight="1" thickTop="1" thickBot="1" x14ac:dyDescent="0.25">
      <c r="A1319" s="16" t="e">
        <f>#REF!</f>
        <v>#REF!</v>
      </c>
      <c r="B1319" s="16" t="e">
        <f>#REF!</f>
        <v>#REF!</v>
      </c>
      <c r="C1319" s="16" t="e">
        <f>#REF!</f>
        <v>#REF!</v>
      </c>
      <c r="D1319" s="16" t="e">
        <f>#REF!</f>
        <v>#REF!</v>
      </c>
      <c r="E1319" s="16" t="e">
        <f>#REF!</f>
        <v>#REF!</v>
      </c>
      <c r="F1319" s="16" t="e">
        <f>#REF!</f>
        <v>#REF!</v>
      </c>
      <c r="G1319" s="16" t="e">
        <f>#REF!</f>
        <v>#REF!</v>
      </c>
      <c r="H1319" s="16" t="e">
        <f>#REF!</f>
        <v>#REF!</v>
      </c>
      <c r="I1319" s="16" t="e">
        <f>#REF!</f>
        <v>#REF!</v>
      </c>
      <c r="J1319" s="16" t="e">
        <f>#REF!</f>
        <v>#REF!</v>
      </c>
      <c r="K1319" s="16"/>
      <c r="L1319" s="16"/>
      <c r="M1319" s="16"/>
      <c r="N1319" s="16"/>
      <c r="O1319" s="16"/>
    </row>
    <row r="1320" spans="1:15" ht="22.5" customHeight="1" thickTop="1" thickBot="1" x14ac:dyDescent="0.25">
      <c r="A1320" s="16" t="e">
        <f>#REF!</f>
        <v>#REF!</v>
      </c>
      <c r="B1320" s="16" t="e">
        <f>#REF!</f>
        <v>#REF!</v>
      </c>
      <c r="C1320" s="16" t="e">
        <f>#REF!</f>
        <v>#REF!</v>
      </c>
      <c r="D1320" s="16" t="e">
        <f>#REF!</f>
        <v>#REF!</v>
      </c>
      <c r="E1320" s="16" t="e">
        <f>#REF!</f>
        <v>#REF!</v>
      </c>
      <c r="F1320" s="16" t="e">
        <f>#REF!</f>
        <v>#REF!</v>
      </c>
      <c r="G1320" s="16" t="e">
        <f>#REF!</f>
        <v>#REF!</v>
      </c>
      <c r="H1320" s="16" t="e">
        <f>#REF!</f>
        <v>#REF!</v>
      </c>
      <c r="I1320" s="16" t="e">
        <f>#REF!</f>
        <v>#REF!</v>
      </c>
      <c r="J1320" s="16" t="e">
        <f>#REF!</f>
        <v>#REF!</v>
      </c>
      <c r="K1320" s="16"/>
      <c r="L1320" s="16"/>
      <c r="M1320" s="16"/>
      <c r="N1320" s="16"/>
      <c r="O1320" s="16"/>
    </row>
    <row r="1321" spans="1:15" ht="22.5" customHeight="1" thickTop="1" thickBot="1" x14ac:dyDescent="0.25">
      <c r="A1321" s="16" t="e">
        <f>#REF!</f>
        <v>#REF!</v>
      </c>
      <c r="B1321" s="16" t="e">
        <f>#REF!</f>
        <v>#REF!</v>
      </c>
      <c r="C1321" s="16" t="e">
        <f>#REF!</f>
        <v>#REF!</v>
      </c>
      <c r="D1321" s="16" t="e">
        <f>#REF!</f>
        <v>#REF!</v>
      </c>
      <c r="E1321" s="16" t="e">
        <f>#REF!</f>
        <v>#REF!</v>
      </c>
      <c r="F1321" s="16" t="e">
        <f>#REF!</f>
        <v>#REF!</v>
      </c>
      <c r="G1321" s="16" t="e">
        <f>#REF!</f>
        <v>#REF!</v>
      </c>
      <c r="H1321" s="16" t="e">
        <f>#REF!</f>
        <v>#REF!</v>
      </c>
      <c r="I1321" s="16" t="e">
        <f>#REF!</f>
        <v>#REF!</v>
      </c>
      <c r="J1321" s="16" t="e">
        <f>#REF!</f>
        <v>#REF!</v>
      </c>
      <c r="K1321" s="16"/>
      <c r="L1321" s="16"/>
      <c r="M1321" s="16"/>
      <c r="N1321" s="16"/>
      <c r="O1321" s="16"/>
    </row>
    <row r="1322" spans="1:15" ht="22.5" customHeight="1" thickTop="1" thickBot="1" x14ac:dyDescent="0.25">
      <c r="A1322" s="16" t="e">
        <f>#REF!</f>
        <v>#REF!</v>
      </c>
      <c r="B1322" s="16" t="e">
        <f>#REF!</f>
        <v>#REF!</v>
      </c>
      <c r="C1322" s="16" t="e">
        <f>#REF!</f>
        <v>#REF!</v>
      </c>
      <c r="D1322" s="16" t="e">
        <f>#REF!</f>
        <v>#REF!</v>
      </c>
      <c r="E1322" s="16" t="e">
        <f>#REF!</f>
        <v>#REF!</v>
      </c>
      <c r="F1322" s="16" t="e">
        <f>#REF!</f>
        <v>#REF!</v>
      </c>
      <c r="G1322" s="16" t="e">
        <f>#REF!</f>
        <v>#REF!</v>
      </c>
      <c r="H1322" s="16" t="e">
        <f>#REF!</f>
        <v>#REF!</v>
      </c>
      <c r="I1322" s="16" t="e">
        <f>#REF!</f>
        <v>#REF!</v>
      </c>
      <c r="J1322" s="16" t="e">
        <f>#REF!</f>
        <v>#REF!</v>
      </c>
      <c r="K1322" s="16"/>
      <c r="L1322" s="16"/>
      <c r="M1322" s="16"/>
      <c r="N1322" s="16"/>
      <c r="O1322" s="16"/>
    </row>
    <row r="1323" spans="1:15" ht="22.5" customHeight="1" thickTop="1" thickBot="1" x14ac:dyDescent="0.25">
      <c r="A1323" s="16" t="e">
        <f>#REF!</f>
        <v>#REF!</v>
      </c>
      <c r="B1323" s="16" t="e">
        <f>#REF!</f>
        <v>#REF!</v>
      </c>
      <c r="C1323" s="16" t="e">
        <f>#REF!</f>
        <v>#REF!</v>
      </c>
      <c r="D1323" s="16" t="e">
        <f>#REF!</f>
        <v>#REF!</v>
      </c>
      <c r="E1323" s="16" t="e">
        <f>#REF!</f>
        <v>#REF!</v>
      </c>
      <c r="F1323" s="16" t="e">
        <f>#REF!</f>
        <v>#REF!</v>
      </c>
      <c r="G1323" s="16" t="e">
        <f>#REF!</f>
        <v>#REF!</v>
      </c>
      <c r="H1323" s="16" t="e">
        <f>#REF!</f>
        <v>#REF!</v>
      </c>
      <c r="I1323" s="16" t="e">
        <f>#REF!</f>
        <v>#REF!</v>
      </c>
      <c r="J1323" s="16" t="e">
        <f>#REF!</f>
        <v>#REF!</v>
      </c>
      <c r="K1323" s="16"/>
      <c r="L1323" s="16"/>
      <c r="M1323" s="16"/>
      <c r="N1323" s="16"/>
      <c r="O1323" s="16"/>
    </row>
    <row r="1324" spans="1:15" ht="22.5" customHeight="1" thickTop="1" thickBot="1" x14ac:dyDescent="0.25">
      <c r="A1324" s="16" t="e">
        <f>#REF!</f>
        <v>#REF!</v>
      </c>
      <c r="B1324" s="16" t="e">
        <f>#REF!</f>
        <v>#REF!</v>
      </c>
      <c r="C1324" s="16" t="e">
        <f>#REF!</f>
        <v>#REF!</v>
      </c>
      <c r="D1324" s="16" t="e">
        <f>#REF!</f>
        <v>#REF!</v>
      </c>
      <c r="E1324" s="16" t="e">
        <f>#REF!</f>
        <v>#REF!</v>
      </c>
      <c r="F1324" s="16" t="e">
        <f>#REF!</f>
        <v>#REF!</v>
      </c>
      <c r="G1324" s="16" t="e">
        <f>#REF!</f>
        <v>#REF!</v>
      </c>
      <c r="H1324" s="16" t="e">
        <f>#REF!</f>
        <v>#REF!</v>
      </c>
      <c r="I1324" s="16" t="e">
        <f>#REF!</f>
        <v>#REF!</v>
      </c>
      <c r="J1324" s="16" t="e">
        <f>#REF!</f>
        <v>#REF!</v>
      </c>
      <c r="K1324" s="16"/>
      <c r="L1324" s="16"/>
      <c r="M1324" s="16"/>
      <c r="N1324" s="16"/>
      <c r="O1324" s="16"/>
    </row>
    <row r="1325" spans="1:15" ht="22.5" customHeight="1" thickTop="1" thickBot="1" x14ac:dyDescent="0.25">
      <c r="A1325" s="16" t="e">
        <f>#REF!</f>
        <v>#REF!</v>
      </c>
      <c r="B1325" s="16" t="e">
        <f>#REF!</f>
        <v>#REF!</v>
      </c>
      <c r="C1325" s="16" t="e">
        <f>#REF!</f>
        <v>#REF!</v>
      </c>
      <c r="D1325" s="16" t="e">
        <f>#REF!</f>
        <v>#REF!</v>
      </c>
      <c r="E1325" s="16" t="e">
        <f>#REF!</f>
        <v>#REF!</v>
      </c>
      <c r="F1325" s="16" t="e">
        <f>#REF!</f>
        <v>#REF!</v>
      </c>
      <c r="G1325" s="16" t="e">
        <f>#REF!</f>
        <v>#REF!</v>
      </c>
      <c r="H1325" s="16" t="e">
        <f>#REF!</f>
        <v>#REF!</v>
      </c>
      <c r="I1325" s="16" t="e">
        <f>#REF!</f>
        <v>#REF!</v>
      </c>
      <c r="J1325" s="16" t="e">
        <f>#REF!</f>
        <v>#REF!</v>
      </c>
      <c r="K1325" s="16"/>
      <c r="L1325" s="16"/>
      <c r="M1325" s="16"/>
      <c r="N1325" s="16"/>
      <c r="O1325" s="16"/>
    </row>
    <row r="1326" spans="1:15" ht="22.5" customHeight="1" thickTop="1" thickBot="1" x14ac:dyDescent="0.25">
      <c r="A1326" s="16" t="e">
        <f>#REF!</f>
        <v>#REF!</v>
      </c>
      <c r="B1326" s="16" t="e">
        <f>#REF!</f>
        <v>#REF!</v>
      </c>
      <c r="C1326" s="16" t="e">
        <f>#REF!</f>
        <v>#REF!</v>
      </c>
      <c r="D1326" s="16" t="e">
        <f>#REF!</f>
        <v>#REF!</v>
      </c>
      <c r="E1326" s="16" t="e">
        <f>#REF!</f>
        <v>#REF!</v>
      </c>
      <c r="F1326" s="16" t="e">
        <f>#REF!</f>
        <v>#REF!</v>
      </c>
      <c r="G1326" s="16" t="e">
        <f>#REF!</f>
        <v>#REF!</v>
      </c>
      <c r="H1326" s="16" t="e">
        <f>#REF!</f>
        <v>#REF!</v>
      </c>
      <c r="I1326" s="16" t="e">
        <f>#REF!</f>
        <v>#REF!</v>
      </c>
      <c r="J1326" s="16" t="e">
        <f>#REF!</f>
        <v>#REF!</v>
      </c>
      <c r="K1326" s="16"/>
      <c r="L1326" s="16"/>
      <c r="M1326" s="16"/>
      <c r="N1326" s="16"/>
      <c r="O1326" s="16"/>
    </row>
    <row r="1327" spans="1:15" ht="22.5" customHeight="1" thickTop="1" thickBot="1" x14ac:dyDescent="0.25">
      <c r="A1327" s="16" t="e">
        <f>#REF!</f>
        <v>#REF!</v>
      </c>
      <c r="B1327" s="16" t="e">
        <f>#REF!</f>
        <v>#REF!</v>
      </c>
      <c r="C1327" s="16" t="e">
        <f>#REF!</f>
        <v>#REF!</v>
      </c>
      <c r="D1327" s="16" t="e">
        <f>#REF!</f>
        <v>#REF!</v>
      </c>
      <c r="E1327" s="16" t="e">
        <f>#REF!</f>
        <v>#REF!</v>
      </c>
      <c r="F1327" s="16" t="e">
        <f>#REF!</f>
        <v>#REF!</v>
      </c>
      <c r="G1327" s="16" t="e">
        <f>#REF!</f>
        <v>#REF!</v>
      </c>
      <c r="H1327" s="16" t="e">
        <f>#REF!</f>
        <v>#REF!</v>
      </c>
      <c r="I1327" s="16" t="e">
        <f>#REF!</f>
        <v>#REF!</v>
      </c>
      <c r="J1327" s="16" t="e">
        <f>#REF!</f>
        <v>#REF!</v>
      </c>
      <c r="K1327" s="16"/>
      <c r="L1327" s="16"/>
      <c r="M1327" s="16"/>
      <c r="N1327" s="16"/>
      <c r="O1327" s="16"/>
    </row>
    <row r="1328" spans="1:15" ht="22.5" customHeight="1" thickTop="1" thickBot="1" x14ac:dyDescent="0.25">
      <c r="A1328" s="16" t="e">
        <f>#REF!</f>
        <v>#REF!</v>
      </c>
      <c r="B1328" s="16" t="e">
        <f>#REF!</f>
        <v>#REF!</v>
      </c>
      <c r="C1328" s="16" t="e">
        <f>#REF!</f>
        <v>#REF!</v>
      </c>
      <c r="D1328" s="16" t="e">
        <f>#REF!</f>
        <v>#REF!</v>
      </c>
      <c r="E1328" s="16" t="e">
        <f>#REF!</f>
        <v>#REF!</v>
      </c>
      <c r="F1328" s="16" t="e">
        <f>#REF!</f>
        <v>#REF!</v>
      </c>
      <c r="G1328" s="16" t="e">
        <f>#REF!</f>
        <v>#REF!</v>
      </c>
      <c r="H1328" s="16" t="e">
        <f>#REF!</f>
        <v>#REF!</v>
      </c>
      <c r="I1328" s="16" t="e">
        <f>#REF!</f>
        <v>#REF!</v>
      </c>
      <c r="J1328" s="16" t="e">
        <f>#REF!</f>
        <v>#REF!</v>
      </c>
      <c r="K1328" s="16"/>
      <c r="L1328" s="16"/>
      <c r="M1328" s="16"/>
      <c r="N1328" s="16"/>
      <c r="O1328" s="16"/>
    </row>
    <row r="1329" spans="1:15" ht="22.5" customHeight="1" thickTop="1" thickBot="1" x14ac:dyDescent="0.25">
      <c r="A1329" s="16" t="e">
        <f>#REF!</f>
        <v>#REF!</v>
      </c>
      <c r="B1329" s="16" t="e">
        <f>#REF!</f>
        <v>#REF!</v>
      </c>
      <c r="C1329" s="16" t="e">
        <f>#REF!</f>
        <v>#REF!</v>
      </c>
      <c r="D1329" s="16" t="e">
        <f>#REF!</f>
        <v>#REF!</v>
      </c>
      <c r="E1329" s="16" t="e">
        <f>#REF!</f>
        <v>#REF!</v>
      </c>
      <c r="F1329" s="16" t="e">
        <f>#REF!</f>
        <v>#REF!</v>
      </c>
      <c r="G1329" s="16" t="e">
        <f>#REF!</f>
        <v>#REF!</v>
      </c>
      <c r="H1329" s="16" t="e">
        <f>#REF!</f>
        <v>#REF!</v>
      </c>
      <c r="I1329" s="16" t="e">
        <f>#REF!</f>
        <v>#REF!</v>
      </c>
      <c r="J1329" s="16" t="e">
        <f>#REF!</f>
        <v>#REF!</v>
      </c>
      <c r="K1329" s="16"/>
      <c r="L1329" s="16"/>
      <c r="M1329" s="16"/>
      <c r="N1329" s="16"/>
      <c r="O1329" s="16"/>
    </row>
    <row r="1330" spans="1:15" ht="22.5" customHeight="1" thickTop="1" thickBot="1" x14ac:dyDescent="0.25">
      <c r="A1330" s="16" t="e">
        <f>#REF!</f>
        <v>#REF!</v>
      </c>
      <c r="B1330" s="16" t="e">
        <f>#REF!</f>
        <v>#REF!</v>
      </c>
      <c r="C1330" s="16" t="e">
        <f>#REF!</f>
        <v>#REF!</v>
      </c>
      <c r="D1330" s="16" t="e">
        <f>#REF!</f>
        <v>#REF!</v>
      </c>
      <c r="E1330" s="16" t="e">
        <f>#REF!</f>
        <v>#REF!</v>
      </c>
      <c r="F1330" s="16" t="e">
        <f>#REF!</f>
        <v>#REF!</v>
      </c>
      <c r="G1330" s="16" t="e">
        <f>#REF!</f>
        <v>#REF!</v>
      </c>
      <c r="H1330" s="16" t="e">
        <f>#REF!</f>
        <v>#REF!</v>
      </c>
      <c r="I1330" s="16" t="e">
        <f>#REF!</f>
        <v>#REF!</v>
      </c>
      <c r="J1330" s="16" t="e">
        <f>#REF!</f>
        <v>#REF!</v>
      </c>
      <c r="K1330" s="16"/>
      <c r="L1330" s="16"/>
      <c r="M1330" s="16"/>
      <c r="N1330" s="16"/>
      <c r="O1330" s="16"/>
    </row>
    <row r="1331" spans="1:15" ht="22.5" customHeight="1" thickTop="1" thickBot="1" x14ac:dyDescent="0.25">
      <c r="A1331" s="16" t="e">
        <f>#REF!</f>
        <v>#REF!</v>
      </c>
      <c r="B1331" s="16" t="e">
        <f>#REF!</f>
        <v>#REF!</v>
      </c>
      <c r="C1331" s="16" t="e">
        <f>#REF!</f>
        <v>#REF!</v>
      </c>
      <c r="D1331" s="16" t="e">
        <f>#REF!</f>
        <v>#REF!</v>
      </c>
      <c r="E1331" s="16" t="e">
        <f>#REF!</f>
        <v>#REF!</v>
      </c>
      <c r="F1331" s="16" t="e">
        <f>#REF!</f>
        <v>#REF!</v>
      </c>
      <c r="G1331" s="16" t="e">
        <f>#REF!</f>
        <v>#REF!</v>
      </c>
      <c r="H1331" s="16" t="e">
        <f>#REF!</f>
        <v>#REF!</v>
      </c>
      <c r="I1331" s="16" t="e">
        <f>#REF!</f>
        <v>#REF!</v>
      </c>
      <c r="J1331" s="16" t="e">
        <f>#REF!</f>
        <v>#REF!</v>
      </c>
      <c r="K1331" s="16"/>
      <c r="L1331" s="16"/>
      <c r="M1331" s="16"/>
      <c r="N1331" s="16"/>
      <c r="O1331" s="16"/>
    </row>
    <row r="1332" spans="1:15" ht="22.5" customHeight="1" thickTop="1" thickBot="1" x14ac:dyDescent="0.25">
      <c r="A1332" s="16" t="e">
        <f>#REF!</f>
        <v>#REF!</v>
      </c>
      <c r="B1332" s="16" t="e">
        <f>#REF!</f>
        <v>#REF!</v>
      </c>
      <c r="C1332" s="16" t="e">
        <f>#REF!</f>
        <v>#REF!</v>
      </c>
      <c r="D1332" s="16" t="e">
        <f>#REF!</f>
        <v>#REF!</v>
      </c>
      <c r="E1332" s="16" t="e">
        <f>#REF!</f>
        <v>#REF!</v>
      </c>
      <c r="F1332" s="16" t="e">
        <f>#REF!</f>
        <v>#REF!</v>
      </c>
      <c r="G1332" s="16" t="e">
        <f>#REF!</f>
        <v>#REF!</v>
      </c>
      <c r="H1332" s="16" t="e">
        <f>#REF!</f>
        <v>#REF!</v>
      </c>
      <c r="I1332" s="16" t="e">
        <f>#REF!</f>
        <v>#REF!</v>
      </c>
      <c r="J1332" s="16" t="e">
        <f>#REF!</f>
        <v>#REF!</v>
      </c>
      <c r="K1332" s="16"/>
      <c r="L1332" s="16"/>
      <c r="M1332" s="16"/>
      <c r="N1332" s="16"/>
      <c r="O1332" s="16"/>
    </row>
    <row r="1333" spans="1:15" ht="22.5" customHeight="1" thickTop="1" thickBot="1" x14ac:dyDescent="0.25">
      <c r="A1333" s="16" t="e">
        <f>#REF!</f>
        <v>#REF!</v>
      </c>
      <c r="B1333" s="16" t="e">
        <f>#REF!</f>
        <v>#REF!</v>
      </c>
      <c r="C1333" s="16" t="e">
        <f>#REF!</f>
        <v>#REF!</v>
      </c>
      <c r="D1333" s="16" t="e">
        <f>#REF!</f>
        <v>#REF!</v>
      </c>
      <c r="E1333" s="16" t="e">
        <f>#REF!</f>
        <v>#REF!</v>
      </c>
      <c r="F1333" s="16" t="e">
        <f>#REF!</f>
        <v>#REF!</v>
      </c>
      <c r="G1333" s="16" t="e">
        <f>#REF!</f>
        <v>#REF!</v>
      </c>
      <c r="H1333" s="16" t="e">
        <f>#REF!</f>
        <v>#REF!</v>
      </c>
      <c r="I1333" s="16" t="e">
        <f>#REF!</f>
        <v>#REF!</v>
      </c>
      <c r="J1333" s="16" t="e">
        <f>#REF!</f>
        <v>#REF!</v>
      </c>
      <c r="K1333" s="16" t="s">
        <v>752</v>
      </c>
      <c r="L1333" s="16"/>
      <c r="M1333" s="16"/>
      <c r="N1333" s="16"/>
      <c r="O1333" s="16"/>
    </row>
    <row r="1334" spans="1:15" ht="22.5" customHeight="1" thickTop="1" thickBot="1" x14ac:dyDescent="0.25">
      <c r="A1334" s="16" t="e">
        <f>#REF!</f>
        <v>#REF!</v>
      </c>
      <c r="B1334" s="16" t="e">
        <f>#REF!</f>
        <v>#REF!</v>
      </c>
      <c r="C1334" s="16" t="e">
        <f>#REF!</f>
        <v>#REF!</v>
      </c>
      <c r="D1334" s="16" t="e">
        <f>#REF!</f>
        <v>#REF!</v>
      </c>
      <c r="E1334" s="16" t="e">
        <f>#REF!</f>
        <v>#REF!</v>
      </c>
      <c r="F1334" s="16" t="e">
        <f>#REF!</f>
        <v>#REF!</v>
      </c>
      <c r="G1334" s="16" t="e">
        <f>#REF!</f>
        <v>#REF!</v>
      </c>
      <c r="H1334" s="16" t="e">
        <f>#REF!</f>
        <v>#REF!</v>
      </c>
      <c r="I1334" s="16" t="e">
        <f>#REF!</f>
        <v>#REF!</v>
      </c>
      <c r="J1334" s="16" t="e">
        <f>#REF!</f>
        <v>#REF!</v>
      </c>
      <c r="K1334" s="16" t="s">
        <v>744</v>
      </c>
      <c r="L1334" s="16"/>
      <c r="M1334" s="16"/>
      <c r="N1334" s="16"/>
      <c r="O1334" s="16"/>
    </row>
    <row r="1335" spans="1:15" ht="22.5" customHeight="1" thickTop="1" thickBot="1" x14ac:dyDescent="0.25">
      <c r="A1335" s="16"/>
      <c r="B1335" s="16"/>
      <c r="C1335" s="16"/>
      <c r="D1335" s="16"/>
      <c r="E1335" s="16"/>
      <c r="F1335" s="16"/>
      <c r="G1335" s="16"/>
      <c r="H1335" s="16"/>
      <c r="I1335" s="16"/>
      <c r="J1335" s="16"/>
      <c r="K1335" s="16"/>
      <c r="L1335" s="16"/>
      <c r="M1335" s="16"/>
      <c r="N1335" s="16"/>
      <c r="O1335" s="16"/>
    </row>
    <row r="1336" spans="1:15" ht="22.5" customHeight="1" thickTop="1" thickBot="1" x14ac:dyDescent="0.25">
      <c r="A1336" s="16"/>
      <c r="B1336" s="16"/>
      <c r="C1336" s="16"/>
      <c r="D1336" s="16"/>
      <c r="E1336" s="16"/>
      <c r="F1336" s="16"/>
      <c r="G1336" s="16"/>
      <c r="H1336" s="16"/>
      <c r="I1336" s="16"/>
      <c r="J1336" s="16"/>
      <c r="K1336" s="16"/>
      <c r="L1336" s="16"/>
      <c r="M1336" s="16"/>
      <c r="N1336" s="16"/>
      <c r="O1336" s="16"/>
    </row>
    <row r="1337" spans="1:15" ht="22.5" customHeight="1" thickTop="1" thickBot="1" x14ac:dyDescent="0.25">
      <c r="A1337" s="16"/>
      <c r="B1337" s="16"/>
      <c r="C1337" s="16"/>
      <c r="D1337" s="16"/>
      <c r="E1337" s="16"/>
      <c r="F1337" s="16"/>
      <c r="G1337" s="16"/>
      <c r="H1337" s="16"/>
      <c r="I1337" s="16"/>
      <c r="J1337" s="16"/>
      <c r="K1337" s="16"/>
      <c r="L1337" s="16"/>
      <c r="M1337" s="16"/>
      <c r="N1337" s="16"/>
      <c r="O1337" s="16"/>
    </row>
    <row r="1338" spans="1:15" ht="22.5" customHeight="1" thickTop="1" thickBot="1" x14ac:dyDescent="0.25">
      <c r="A1338" s="16"/>
      <c r="B1338" s="16"/>
      <c r="C1338" s="16"/>
      <c r="D1338" s="16"/>
      <c r="E1338" s="16"/>
      <c r="F1338" s="16"/>
      <c r="G1338" s="16"/>
      <c r="H1338" s="16"/>
      <c r="I1338" s="16"/>
      <c r="J1338" s="16"/>
      <c r="K1338" s="16"/>
      <c r="L1338" s="16"/>
      <c r="M1338" s="16"/>
      <c r="N1338" s="16"/>
      <c r="O1338" s="16"/>
    </row>
    <row r="1339" spans="1:15" ht="22.5" customHeight="1" thickTop="1" thickBot="1" x14ac:dyDescent="0.25">
      <c r="A1339" s="16"/>
      <c r="B1339" s="16"/>
      <c r="C1339" s="16"/>
      <c r="D1339" s="16"/>
      <c r="E1339" s="16"/>
      <c r="F1339" s="16"/>
      <c r="G1339" s="16"/>
      <c r="H1339" s="16"/>
      <c r="I1339" s="16"/>
      <c r="J1339" s="16"/>
      <c r="K1339" s="16"/>
      <c r="L1339" s="16"/>
      <c r="M1339" s="16"/>
      <c r="N1339" s="16"/>
      <c r="O1339" s="16"/>
    </row>
    <row r="1340" spans="1:15" ht="22.5" customHeight="1" thickTop="1" thickBot="1" x14ac:dyDescent="0.25">
      <c r="A1340" s="16"/>
      <c r="B1340" s="16"/>
      <c r="C1340" s="16"/>
      <c r="D1340" s="16"/>
      <c r="E1340" s="16"/>
      <c r="F1340" s="16"/>
      <c r="G1340" s="16"/>
      <c r="H1340" s="16"/>
      <c r="I1340" s="16"/>
      <c r="J1340" s="16"/>
      <c r="K1340" s="16"/>
      <c r="L1340" s="16"/>
      <c r="M1340" s="16"/>
      <c r="N1340" s="16"/>
      <c r="O1340" s="16"/>
    </row>
    <row r="1341" spans="1:15" ht="22.5" customHeight="1" thickTop="1" thickBot="1" x14ac:dyDescent="0.25">
      <c r="A1341" s="16"/>
      <c r="B1341" s="16"/>
      <c r="C1341" s="16"/>
      <c r="D1341" s="16"/>
      <c r="E1341" s="16"/>
      <c r="F1341" s="16"/>
      <c r="G1341" s="16"/>
      <c r="H1341" s="16"/>
      <c r="I1341" s="16"/>
      <c r="J1341" s="16"/>
      <c r="K1341" s="16"/>
      <c r="L1341" s="16"/>
      <c r="M1341" s="16"/>
      <c r="N1341" s="16"/>
      <c r="O1341" s="16"/>
    </row>
    <row r="1342" spans="1:15" ht="22.5" customHeight="1" thickTop="1" thickBot="1" x14ac:dyDescent="0.25">
      <c r="A1342" s="16"/>
      <c r="B1342" s="16"/>
      <c r="C1342" s="16"/>
      <c r="D1342" s="16"/>
      <c r="E1342" s="16"/>
      <c r="F1342" s="16"/>
      <c r="G1342" s="16"/>
      <c r="H1342" s="16"/>
      <c r="I1342" s="16"/>
      <c r="J1342" s="16"/>
      <c r="K1342" s="16"/>
      <c r="L1342" s="16"/>
      <c r="M1342" s="16"/>
      <c r="N1342" s="16"/>
      <c r="O1342" s="16"/>
    </row>
    <row r="1343" spans="1:15" ht="22.5" customHeight="1" thickTop="1" thickBot="1" x14ac:dyDescent="0.25">
      <c r="A1343" s="16"/>
      <c r="B1343" s="16"/>
      <c r="C1343" s="16"/>
      <c r="D1343" s="16"/>
      <c r="E1343" s="16"/>
      <c r="F1343" s="16"/>
      <c r="G1343" s="16"/>
      <c r="H1343" s="16"/>
      <c r="I1343" s="16"/>
      <c r="J1343" s="16"/>
      <c r="K1343" s="16"/>
      <c r="L1343" s="16"/>
      <c r="M1343" s="16"/>
      <c r="N1343" s="16"/>
      <c r="O1343" s="16"/>
    </row>
    <row r="1344" spans="1:15" ht="22.5" customHeight="1" thickTop="1" thickBot="1" x14ac:dyDescent="0.25">
      <c r="A1344" s="16"/>
      <c r="B1344" s="16"/>
      <c r="C1344" s="16"/>
      <c r="D1344" s="16"/>
      <c r="E1344" s="16"/>
      <c r="F1344" s="16"/>
      <c r="G1344" s="16"/>
      <c r="H1344" s="16"/>
      <c r="I1344" s="16"/>
      <c r="J1344" s="16"/>
      <c r="K1344" s="16"/>
      <c r="L1344" s="16"/>
      <c r="M1344" s="16"/>
      <c r="N1344" s="16"/>
      <c r="O1344" s="16"/>
    </row>
    <row r="1345" spans="1:15" ht="22.5" customHeight="1" thickTop="1" thickBot="1" x14ac:dyDescent="0.25">
      <c r="A1345" s="16"/>
      <c r="B1345" s="16"/>
      <c r="C1345" s="16"/>
      <c r="D1345" s="16"/>
      <c r="E1345" s="16"/>
      <c r="F1345" s="16"/>
      <c r="G1345" s="16"/>
      <c r="H1345" s="16"/>
      <c r="I1345" s="16"/>
      <c r="J1345" s="16"/>
      <c r="K1345" s="16"/>
      <c r="L1345" s="16"/>
      <c r="M1345" s="16"/>
      <c r="N1345" s="16"/>
      <c r="O1345" s="16"/>
    </row>
    <row r="1346" spans="1:15" ht="22.5" customHeight="1" thickTop="1" thickBot="1" x14ac:dyDescent="0.25">
      <c r="A1346" s="16"/>
      <c r="B1346" s="16"/>
      <c r="C1346" s="16"/>
      <c r="D1346" s="16"/>
      <c r="E1346" s="16"/>
      <c r="F1346" s="16"/>
      <c r="G1346" s="16"/>
      <c r="H1346" s="16"/>
      <c r="I1346" s="16"/>
      <c r="J1346" s="16"/>
      <c r="K1346" s="16"/>
      <c r="L1346" s="16"/>
      <c r="M1346" s="16"/>
      <c r="N1346" s="16"/>
      <c r="O1346" s="16"/>
    </row>
    <row r="1347" spans="1:15" ht="22.5" customHeight="1" thickTop="1" thickBot="1" x14ac:dyDescent="0.25">
      <c r="A1347" s="16"/>
      <c r="B1347" s="16"/>
      <c r="C1347" s="16"/>
      <c r="D1347" s="16"/>
      <c r="E1347" s="16"/>
      <c r="F1347" s="16"/>
      <c r="G1347" s="16"/>
      <c r="H1347" s="16"/>
      <c r="I1347" s="16"/>
      <c r="J1347" s="16"/>
      <c r="K1347" s="16"/>
      <c r="L1347" s="16"/>
      <c r="M1347" s="16"/>
      <c r="N1347" s="16"/>
      <c r="O1347" s="16"/>
    </row>
    <row r="1348" spans="1:15" ht="22.5" customHeight="1" thickTop="1" thickBot="1" x14ac:dyDescent="0.25">
      <c r="A1348" s="16"/>
      <c r="B1348" s="16"/>
      <c r="C1348" s="16"/>
      <c r="D1348" s="16"/>
      <c r="E1348" s="16"/>
      <c r="F1348" s="16"/>
      <c r="G1348" s="16"/>
      <c r="H1348" s="16"/>
      <c r="I1348" s="16"/>
      <c r="J1348" s="16"/>
      <c r="K1348" s="16"/>
      <c r="L1348" s="16"/>
      <c r="M1348" s="16"/>
      <c r="N1348" s="16"/>
      <c r="O1348" s="16"/>
    </row>
    <row r="1349" spans="1:15" ht="22.5" customHeight="1" thickTop="1" thickBot="1" x14ac:dyDescent="0.25">
      <c r="A1349" s="16"/>
      <c r="B1349" s="16"/>
      <c r="C1349" s="16"/>
      <c r="D1349" s="16"/>
      <c r="E1349" s="16"/>
      <c r="F1349" s="16"/>
      <c r="G1349" s="16"/>
      <c r="H1349" s="16"/>
      <c r="I1349" s="16"/>
      <c r="J1349" s="16"/>
      <c r="K1349" s="16"/>
      <c r="L1349" s="16"/>
      <c r="M1349" s="16"/>
      <c r="N1349" s="16"/>
      <c r="O1349" s="16"/>
    </row>
    <row r="1350" spans="1:15" ht="22.5" customHeight="1" thickTop="1" thickBot="1" x14ac:dyDescent="0.25">
      <c r="A1350" s="16"/>
      <c r="B1350" s="16"/>
      <c r="C1350" s="16"/>
      <c r="D1350" s="16"/>
      <c r="E1350" s="16"/>
      <c r="F1350" s="16"/>
      <c r="G1350" s="16"/>
      <c r="H1350" s="16"/>
      <c r="I1350" s="16"/>
      <c r="J1350" s="16"/>
      <c r="K1350" s="16"/>
      <c r="L1350" s="16"/>
      <c r="M1350" s="16"/>
      <c r="N1350" s="16"/>
      <c r="O1350" s="16"/>
    </row>
    <row r="1351" spans="1:15" ht="22.5" customHeight="1" thickTop="1" thickBot="1" x14ac:dyDescent="0.25">
      <c r="A1351" s="16"/>
      <c r="B1351" s="16"/>
      <c r="C1351" s="16"/>
      <c r="D1351" s="16"/>
      <c r="E1351" s="16"/>
      <c r="F1351" s="16"/>
      <c r="G1351" s="16"/>
      <c r="H1351" s="16"/>
      <c r="I1351" s="16"/>
      <c r="J1351" s="16"/>
      <c r="K1351" s="16"/>
      <c r="L1351" s="16"/>
      <c r="M1351" s="16"/>
      <c r="N1351" s="16"/>
      <c r="O1351" s="16"/>
    </row>
    <row r="1352" spans="1:15" ht="22.5" customHeight="1" thickTop="1" thickBot="1" x14ac:dyDescent="0.25">
      <c r="A1352" s="16"/>
      <c r="B1352" s="16"/>
      <c r="C1352" s="16"/>
      <c r="D1352" s="16"/>
      <c r="E1352" s="16"/>
      <c r="F1352" s="16"/>
      <c r="G1352" s="16"/>
      <c r="H1352" s="16"/>
      <c r="I1352" s="16"/>
      <c r="J1352" s="16"/>
      <c r="K1352" s="16"/>
      <c r="L1352" s="16"/>
      <c r="M1352" s="16"/>
      <c r="N1352" s="16"/>
      <c r="O1352" s="16"/>
    </row>
    <row r="1353" spans="1:15" ht="22.5" customHeight="1" thickTop="1" thickBot="1" x14ac:dyDescent="0.25">
      <c r="A1353" s="16"/>
      <c r="B1353" s="16"/>
      <c r="C1353" s="16"/>
      <c r="D1353" s="16"/>
      <c r="E1353" s="16"/>
      <c r="F1353" s="16"/>
      <c r="G1353" s="16"/>
      <c r="H1353" s="16"/>
      <c r="I1353" s="16"/>
      <c r="J1353" s="16"/>
      <c r="K1353" s="16"/>
      <c r="L1353" s="16"/>
      <c r="M1353" s="16"/>
      <c r="N1353" s="16"/>
      <c r="O1353" s="16"/>
    </row>
    <row r="1354" spans="1:15" ht="22.5" customHeight="1" thickTop="1" thickBot="1" x14ac:dyDescent="0.25">
      <c r="A1354" s="16"/>
      <c r="B1354" s="16"/>
      <c r="C1354" s="16"/>
      <c r="D1354" s="16"/>
      <c r="E1354" s="16"/>
      <c r="F1354" s="16"/>
      <c r="G1354" s="16"/>
      <c r="H1354" s="16"/>
      <c r="I1354" s="16"/>
      <c r="J1354" s="16"/>
      <c r="K1354" s="16"/>
      <c r="L1354" s="16"/>
      <c r="M1354" s="16"/>
      <c r="N1354" s="16"/>
      <c r="O1354" s="16"/>
    </row>
    <row r="1355" spans="1:15" ht="22.5" customHeight="1" thickTop="1" thickBot="1" x14ac:dyDescent="0.25">
      <c r="A1355" s="16"/>
      <c r="B1355" s="16"/>
      <c r="C1355" s="16"/>
      <c r="D1355" s="16"/>
      <c r="E1355" s="16"/>
      <c r="F1355" s="16"/>
      <c r="G1355" s="16"/>
      <c r="H1355" s="16"/>
      <c r="I1355" s="16"/>
      <c r="J1355" s="16"/>
      <c r="K1355" s="16"/>
      <c r="L1355" s="16"/>
      <c r="M1355" s="16"/>
      <c r="N1355" s="16"/>
      <c r="O1355" s="16"/>
    </row>
    <row r="1356" spans="1:15" ht="22.5" customHeight="1" thickTop="1" thickBot="1" x14ac:dyDescent="0.25">
      <c r="A1356" s="16"/>
      <c r="B1356" s="16"/>
      <c r="C1356" s="16"/>
      <c r="D1356" s="16"/>
      <c r="E1356" s="16"/>
      <c r="F1356" s="16"/>
      <c r="G1356" s="16"/>
      <c r="H1356" s="16"/>
      <c r="I1356" s="16"/>
      <c r="J1356" s="16"/>
      <c r="K1356" s="16"/>
      <c r="L1356" s="16"/>
      <c r="M1356" s="16"/>
      <c r="N1356" s="16"/>
      <c r="O1356" s="16"/>
    </row>
    <row r="1357" spans="1:15" ht="22.5" customHeight="1" thickTop="1" thickBot="1" x14ac:dyDescent="0.25">
      <c r="A1357" s="16"/>
      <c r="B1357" s="16"/>
      <c r="C1357" s="16"/>
      <c r="D1357" s="16"/>
      <c r="E1357" s="16"/>
      <c r="F1357" s="16"/>
      <c r="G1357" s="16"/>
      <c r="H1357" s="16"/>
      <c r="I1357" s="16"/>
      <c r="J1357" s="16"/>
      <c r="K1357" s="16"/>
      <c r="L1357" s="16"/>
      <c r="M1357" s="16"/>
      <c r="N1357" s="16"/>
      <c r="O1357" s="16"/>
    </row>
    <row r="1358" spans="1:15" ht="22.5" customHeight="1" thickTop="1" thickBot="1" x14ac:dyDescent="0.25">
      <c r="A1358" s="16"/>
      <c r="B1358" s="16"/>
      <c r="C1358" s="16"/>
      <c r="D1358" s="16"/>
      <c r="E1358" s="16"/>
      <c r="F1358" s="16"/>
      <c r="G1358" s="16"/>
      <c r="H1358" s="16"/>
      <c r="I1358" s="16"/>
      <c r="J1358" s="16"/>
      <c r="K1358" s="16"/>
      <c r="L1358" s="16"/>
      <c r="M1358" s="16"/>
      <c r="N1358" s="16"/>
      <c r="O1358" s="16"/>
    </row>
    <row r="1359" spans="1:15" ht="22.5" customHeight="1" thickTop="1" thickBot="1" x14ac:dyDescent="0.25">
      <c r="A1359" s="16"/>
      <c r="B1359" s="16"/>
      <c r="C1359" s="16"/>
      <c r="D1359" s="16"/>
      <c r="E1359" s="16"/>
      <c r="F1359" s="16"/>
      <c r="G1359" s="16"/>
      <c r="H1359" s="16"/>
      <c r="I1359" s="16"/>
      <c r="J1359" s="16"/>
      <c r="K1359" s="16"/>
      <c r="L1359" s="16"/>
      <c r="M1359" s="16"/>
      <c r="N1359" s="16"/>
      <c r="O1359" s="16"/>
    </row>
    <row r="1360" spans="1:15" ht="22.5" customHeight="1" thickTop="1" thickBot="1" x14ac:dyDescent="0.25">
      <c r="A1360" s="16"/>
      <c r="B1360" s="16"/>
      <c r="C1360" s="16"/>
      <c r="D1360" s="16"/>
      <c r="E1360" s="16"/>
      <c r="F1360" s="16"/>
      <c r="G1360" s="16"/>
      <c r="H1360" s="16"/>
      <c r="I1360" s="16"/>
      <c r="J1360" s="16"/>
      <c r="K1360" s="16"/>
      <c r="L1360" s="16"/>
      <c r="M1360" s="16"/>
      <c r="N1360" s="16"/>
      <c r="O1360" s="16"/>
    </row>
    <row r="1361" spans="1:15" ht="22.5" customHeight="1" thickTop="1" thickBot="1" x14ac:dyDescent="0.25">
      <c r="A1361" s="16"/>
      <c r="B1361" s="16"/>
      <c r="C1361" s="16"/>
      <c r="D1361" s="16"/>
      <c r="E1361" s="16"/>
      <c r="F1361" s="16"/>
      <c r="G1361" s="16"/>
      <c r="H1361" s="16"/>
      <c r="I1361" s="16"/>
      <c r="J1361" s="16"/>
      <c r="K1361" s="16"/>
      <c r="L1361" s="16"/>
      <c r="M1361" s="16"/>
      <c r="N1361" s="16"/>
      <c r="O1361" s="16"/>
    </row>
    <row r="1362" spans="1:15" ht="22.5" customHeight="1" thickTop="1" thickBot="1" x14ac:dyDescent="0.25">
      <c r="A1362" s="16"/>
      <c r="B1362" s="16"/>
      <c r="C1362" s="16"/>
      <c r="D1362" s="16"/>
      <c r="E1362" s="16"/>
      <c r="F1362" s="16"/>
      <c r="G1362" s="16"/>
      <c r="H1362" s="16"/>
      <c r="I1362" s="16"/>
      <c r="J1362" s="16"/>
      <c r="K1362" s="16"/>
      <c r="L1362" s="16"/>
      <c r="M1362" s="16"/>
      <c r="N1362" s="16"/>
      <c r="O1362" s="16"/>
    </row>
    <row r="1363" spans="1:15" ht="22.5" customHeight="1" thickTop="1" thickBot="1" x14ac:dyDescent="0.25">
      <c r="A1363" s="16"/>
      <c r="B1363" s="16"/>
      <c r="C1363" s="16"/>
      <c r="D1363" s="16"/>
      <c r="E1363" s="16"/>
      <c r="F1363" s="16"/>
      <c r="G1363" s="16"/>
      <c r="H1363" s="16"/>
      <c r="I1363" s="16"/>
      <c r="J1363" s="16"/>
      <c r="K1363" s="16"/>
      <c r="L1363" s="16"/>
      <c r="M1363" s="16"/>
      <c r="N1363" s="16"/>
      <c r="O1363" s="16"/>
    </row>
    <row r="1364" spans="1:15" ht="22.5" customHeight="1" thickTop="1" thickBot="1" x14ac:dyDescent="0.25">
      <c r="A1364" s="16"/>
      <c r="B1364" s="16"/>
      <c r="C1364" s="16"/>
      <c r="D1364" s="16"/>
      <c r="E1364" s="16"/>
      <c r="F1364" s="16"/>
      <c r="G1364" s="16"/>
      <c r="H1364" s="16"/>
      <c r="I1364" s="16"/>
      <c r="J1364" s="16"/>
      <c r="K1364" s="16"/>
      <c r="L1364" s="16"/>
      <c r="M1364" s="16"/>
      <c r="N1364" s="16"/>
      <c r="O1364" s="16"/>
    </row>
    <row r="1365" spans="1:15" ht="22.5" customHeight="1" thickTop="1" thickBot="1" x14ac:dyDescent="0.25">
      <c r="A1365" s="16"/>
      <c r="B1365" s="16"/>
      <c r="C1365" s="16"/>
      <c r="D1365" s="16"/>
      <c r="E1365" s="16"/>
      <c r="F1365" s="16"/>
      <c r="G1365" s="16"/>
      <c r="H1365" s="16"/>
      <c r="I1365" s="16"/>
      <c r="J1365" s="16"/>
      <c r="K1365" s="16"/>
      <c r="L1365" s="16"/>
      <c r="M1365" s="16"/>
      <c r="N1365" s="16"/>
      <c r="O1365" s="16"/>
    </row>
    <row r="1366" spans="1:15" ht="22.5" customHeight="1" thickTop="1" thickBot="1" x14ac:dyDescent="0.25">
      <c r="A1366" s="16"/>
      <c r="B1366" s="16"/>
      <c r="C1366" s="16"/>
      <c r="D1366" s="16"/>
      <c r="E1366" s="16"/>
      <c r="F1366" s="16"/>
      <c r="G1366" s="16"/>
      <c r="H1366" s="16"/>
      <c r="I1366" s="16"/>
      <c r="J1366" s="16"/>
      <c r="K1366" s="16"/>
      <c r="L1366" s="16"/>
      <c r="M1366" s="16"/>
      <c r="N1366" s="16"/>
      <c r="O1366" s="16"/>
    </row>
    <row r="1367" spans="1:15" ht="22.5" customHeight="1" thickTop="1" thickBot="1" x14ac:dyDescent="0.25">
      <c r="A1367" s="16"/>
      <c r="B1367" s="16"/>
      <c r="C1367" s="16"/>
      <c r="D1367" s="16"/>
      <c r="E1367" s="16"/>
      <c r="F1367" s="16"/>
      <c r="G1367" s="16"/>
      <c r="H1367" s="16"/>
      <c r="I1367" s="16"/>
      <c r="J1367" s="16"/>
      <c r="K1367" s="16"/>
      <c r="L1367" s="16"/>
      <c r="M1367" s="16"/>
      <c r="N1367" s="16"/>
      <c r="O1367" s="16"/>
    </row>
    <row r="1368" spans="1:15" ht="22.5" customHeight="1" thickTop="1" thickBot="1" x14ac:dyDescent="0.25">
      <c r="A1368" s="16"/>
      <c r="B1368" s="16"/>
      <c r="C1368" s="16"/>
      <c r="D1368" s="16"/>
      <c r="E1368" s="16"/>
      <c r="F1368" s="16"/>
      <c r="G1368" s="16"/>
      <c r="H1368" s="16"/>
      <c r="I1368" s="16"/>
      <c r="J1368" s="16"/>
      <c r="K1368" s="16"/>
      <c r="L1368" s="16"/>
      <c r="M1368" s="16"/>
      <c r="N1368" s="16"/>
      <c r="O1368" s="16"/>
    </row>
    <row r="1369" spans="1:15" ht="22.5" customHeight="1" thickTop="1" thickBot="1" x14ac:dyDescent="0.25">
      <c r="A1369" s="16"/>
      <c r="B1369" s="16"/>
      <c r="C1369" s="16"/>
      <c r="D1369" s="16"/>
      <c r="E1369" s="16"/>
      <c r="F1369" s="16"/>
      <c r="G1369" s="16"/>
      <c r="H1369" s="16"/>
      <c r="I1369" s="16"/>
      <c r="J1369" s="16"/>
      <c r="K1369" s="16"/>
      <c r="L1369" s="16"/>
      <c r="M1369" s="16"/>
      <c r="N1369" s="16"/>
      <c r="O1369" s="16"/>
    </row>
    <row r="1370" spans="1:15" ht="22.5" customHeight="1" thickTop="1" thickBot="1" x14ac:dyDescent="0.25">
      <c r="A1370" s="16"/>
      <c r="B1370" s="16"/>
      <c r="C1370" s="16"/>
      <c r="D1370" s="16"/>
      <c r="E1370" s="16"/>
      <c r="F1370" s="16"/>
      <c r="G1370" s="16"/>
      <c r="H1370" s="16"/>
      <c r="I1370" s="16"/>
      <c r="J1370" s="16"/>
      <c r="K1370" s="16"/>
      <c r="L1370" s="16"/>
      <c r="M1370" s="16"/>
      <c r="N1370" s="16"/>
      <c r="O1370" s="16"/>
    </row>
    <row r="1371" spans="1:15" ht="22.5" customHeight="1" thickTop="1" thickBot="1" x14ac:dyDescent="0.25">
      <c r="A1371" s="16"/>
      <c r="B1371" s="16"/>
      <c r="C1371" s="16"/>
      <c r="D1371" s="16"/>
      <c r="E1371" s="16"/>
      <c r="F1371" s="16"/>
      <c r="G1371" s="16"/>
      <c r="H1371" s="16"/>
      <c r="I1371" s="16"/>
      <c r="J1371" s="16"/>
      <c r="K1371" s="16"/>
      <c r="L1371" s="16"/>
      <c r="M1371" s="16"/>
      <c r="N1371" s="16"/>
      <c r="O1371" s="16"/>
    </row>
    <row r="1372" spans="1:15" ht="22.5" customHeight="1" thickTop="1" thickBot="1" x14ac:dyDescent="0.25">
      <c r="A1372" s="16"/>
      <c r="B1372" s="16"/>
      <c r="C1372" s="16"/>
      <c r="D1372" s="16"/>
      <c r="E1372" s="16"/>
      <c r="F1372" s="16"/>
      <c r="G1372" s="16"/>
      <c r="H1372" s="16"/>
      <c r="I1372" s="16"/>
      <c r="J1372" s="16"/>
      <c r="K1372" s="16"/>
      <c r="L1372" s="16"/>
      <c r="M1372" s="16"/>
      <c r="N1372" s="16"/>
      <c r="O1372" s="16"/>
    </row>
    <row r="1373" spans="1:15" ht="22.5" customHeight="1" thickTop="1" thickBot="1" x14ac:dyDescent="0.25">
      <c r="A1373" s="16"/>
      <c r="B1373" s="16"/>
      <c r="C1373" s="16"/>
      <c r="D1373" s="16"/>
      <c r="E1373" s="16"/>
      <c r="F1373" s="16"/>
      <c r="G1373" s="16"/>
      <c r="H1373" s="16"/>
      <c r="I1373" s="16"/>
      <c r="J1373" s="16"/>
      <c r="K1373" s="16"/>
      <c r="L1373" s="16"/>
      <c r="M1373" s="16"/>
      <c r="N1373" s="16"/>
      <c r="O1373" s="16"/>
    </row>
    <row r="1374" spans="1:15" ht="22.5" customHeight="1" thickTop="1" thickBot="1" x14ac:dyDescent="0.25">
      <c r="A1374" s="16"/>
      <c r="B1374" s="16"/>
      <c r="C1374" s="16"/>
      <c r="D1374" s="16"/>
      <c r="E1374" s="16"/>
      <c r="F1374" s="16"/>
      <c r="G1374" s="16"/>
      <c r="H1374" s="16"/>
      <c r="I1374" s="16"/>
      <c r="J1374" s="16"/>
      <c r="K1374" s="16"/>
      <c r="L1374" s="16"/>
      <c r="M1374" s="16"/>
      <c r="N1374" s="16"/>
      <c r="O1374" s="16"/>
    </row>
    <row r="1375" spans="1:15" ht="22.5" customHeight="1" thickTop="1" thickBot="1" x14ac:dyDescent="0.25">
      <c r="A1375" s="16"/>
      <c r="B1375" s="16"/>
      <c r="C1375" s="16"/>
      <c r="D1375" s="16"/>
      <c r="E1375" s="16"/>
      <c r="F1375" s="16"/>
      <c r="G1375" s="16"/>
      <c r="H1375" s="16"/>
      <c r="I1375" s="16"/>
      <c r="J1375" s="16"/>
      <c r="K1375" s="16"/>
      <c r="L1375" s="16"/>
      <c r="M1375" s="16"/>
      <c r="N1375" s="16"/>
      <c r="O1375" s="16"/>
    </row>
    <row r="1376" spans="1:15" ht="22.5" customHeight="1" thickTop="1" thickBot="1" x14ac:dyDescent="0.25">
      <c r="A1376" s="16"/>
      <c r="B1376" s="16"/>
      <c r="C1376" s="16"/>
      <c r="D1376" s="16"/>
      <c r="E1376" s="16"/>
      <c r="F1376" s="16"/>
      <c r="G1376" s="16"/>
      <c r="H1376" s="16"/>
      <c r="I1376" s="16"/>
      <c r="J1376" s="16"/>
      <c r="K1376" s="16"/>
      <c r="L1376" s="16"/>
      <c r="M1376" s="16"/>
      <c r="N1376" s="16"/>
      <c r="O1376" s="16"/>
    </row>
    <row r="1377" spans="1:15" ht="22.5" customHeight="1" thickTop="1" thickBot="1" x14ac:dyDescent="0.25">
      <c r="A1377" s="16"/>
      <c r="B1377" s="16"/>
      <c r="C1377" s="16"/>
      <c r="D1377" s="16"/>
      <c r="E1377" s="16"/>
      <c r="F1377" s="16"/>
      <c r="G1377" s="16"/>
      <c r="H1377" s="16"/>
      <c r="I1377" s="16"/>
      <c r="J1377" s="16"/>
      <c r="K1377" s="16"/>
      <c r="L1377" s="16"/>
      <c r="M1377" s="16"/>
      <c r="N1377" s="16"/>
      <c r="O1377" s="16"/>
    </row>
    <row r="1378" spans="1:15" ht="22.5" customHeight="1" thickTop="1" thickBot="1" x14ac:dyDescent="0.25">
      <c r="A1378" s="16"/>
      <c r="B1378" s="16"/>
      <c r="C1378" s="16"/>
      <c r="D1378" s="16"/>
      <c r="E1378" s="16"/>
      <c r="F1378" s="16"/>
      <c r="G1378" s="16"/>
      <c r="H1378" s="16"/>
      <c r="I1378" s="16"/>
      <c r="J1378" s="16"/>
      <c r="K1378" s="16"/>
      <c r="L1378" s="16"/>
      <c r="M1378" s="16"/>
      <c r="N1378" s="16"/>
      <c r="O1378" s="16"/>
    </row>
    <row r="1379" spans="1:15" ht="22.5" customHeight="1" thickTop="1" thickBot="1" x14ac:dyDescent="0.25">
      <c r="A1379" s="16"/>
      <c r="B1379" s="16"/>
      <c r="C1379" s="16"/>
      <c r="D1379" s="16"/>
      <c r="E1379" s="16"/>
      <c r="F1379" s="16"/>
      <c r="G1379" s="16"/>
      <c r="H1379" s="16"/>
      <c r="I1379" s="16"/>
      <c r="J1379" s="16"/>
      <c r="K1379" s="16"/>
      <c r="L1379" s="16"/>
      <c r="M1379" s="16"/>
      <c r="N1379" s="16"/>
      <c r="O1379" s="16"/>
    </row>
    <row r="1380" spans="1:15" ht="22.5" customHeight="1" thickTop="1" thickBot="1" x14ac:dyDescent="0.25">
      <c r="A1380" s="16"/>
      <c r="B1380" s="16"/>
      <c r="C1380" s="16"/>
      <c r="D1380" s="16"/>
      <c r="E1380" s="16"/>
      <c r="F1380" s="16"/>
      <c r="G1380" s="16"/>
      <c r="H1380" s="16"/>
      <c r="I1380" s="16"/>
      <c r="J1380" s="16"/>
      <c r="K1380" s="16"/>
      <c r="L1380" s="16"/>
      <c r="M1380" s="16"/>
      <c r="N1380" s="16"/>
      <c r="O1380" s="16"/>
    </row>
    <row r="1381" spans="1:15" ht="22.5" customHeight="1" thickTop="1" thickBot="1" x14ac:dyDescent="0.25">
      <c r="A1381" s="16"/>
      <c r="B1381" s="16"/>
      <c r="C1381" s="16"/>
      <c r="D1381" s="16"/>
      <c r="E1381" s="16"/>
      <c r="F1381" s="16"/>
      <c r="G1381" s="16"/>
      <c r="H1381" s="16"/>
      <c r="I1381" s="16"/>
      <c r="J1381" s="16"/>
      <c r="K1381" s="16"/>
      <c r="L1381" s="16"/>
      <c r="M1381" s="16"/>
      <c r="N1381" s="16"/>
      <c r="O1381" s="16"/>
    </row>
    <row r="1382" spans="1:15" ht="22.5" customHeight="1" thickTop="1" thickBot="1" x14ac:dyDescent="0.25">
      <c r="A1382" s="16"/>
      <c r="B1382" s="16"/>
      <c r="C1382" s="16"/>
      <c r="D1382" s="16"/>
      <c r="E1382" s="16"/>
      <c r="F1382" s="16"/>
      <c r="G1382" s="16"/>
      <c r="H1382" s="16"/>
      <c r="I1382" s="16"/>
      <c r="J1382" s="16"/>
      <c r="K1382" s="16"/>
      <c r="L1382" s="16"/>
      <c r="M1382" s="16"/>
      <c r="N1382" s="16"/>
      <c r="O1382" s="16"/>
    </row>
    <row r="1383" spans="1:15" ht="22.5" customHeight="1" thickTop="1" thickBot="1" x14ac:dyDescent="0.25">
      <c r="A1383" s="16"/>
      <c r="B1383" s="16"/>
      <c r="C1383" s="16"/>
      <c r="D1383" s="16"/>
      <c r="E1383" s="16"/>
      <c r="F1383" s="16"/>
      <c r="G1383" s="16"/>
      <c r="H1383" s="16"/>
      <c r="I1383" s="16"/>
      <c r="J1383" s="16"/>
      <c r="K1383" s="16"/>
      <c r="L1383" s="16"/>
      <c r="M1383" s="16"/>
      <c r="N1383" s="16"/>
      <c r="O1383" s="16"/>
    </row>
    <row r="1384" spans="1:15" ht="22.5" customHeight="1" thickTop="1" thickBot="1" x14ac:dyDescent="0.25">
      <c r="A1384" s="16"/>
      <c r="B1384" s="16"/>
      <c r="C1384" s="16"/>
      <c r="D1384" s="16"/>
      <c r="E1384" s="16"/>
      <c r="F1384" s="16"/>
      <c r="G1384" s="16"/>
      <c r="H1384" s="16"/>
      <c r="I1384" s="16"/>
      <c r="J1384" s="16"/>
      <c r="K1384" s="16"/>
      <c r="L1384" s="16"/>
      <c r="M1384" s="16"/>
      <c r="N1384" s="16"/>
      <c r="O1384" s="16"/>
    </row>
    <row r="1385" spans="1:15" ht="22.5" customHeight="1" thickTop="1" thickBot="1" x14ac:dyDescent="0.25">
      <c r="A1385" s="16"/>
      <c r="B1385" s="16"/>
      <c r="C1385" s="16"/>
      <c r="D1385" s="16"/>
      <c r="E1385" s="16"/>
      <c r="F1385" s="16"/>
      <c r="G1385" s="16"/>
      <c r="H1385" s="16"/>
      <c r="I1385" s="16"/>
      <c r="J1385" s="16"/>
      <c r="K1385" s="16"/>
      <c r="L1385" s="16"/>
      <c r="M1385" s="16"/>
      <c r="N1385" s="16"/>
      <c r="O1385" s="16"/>
    </row>
    <row r="1386" spans="1:15" ht="22.5" customHeight="1" thickTop="1" thickBot="1" x14ac:dyDescent="0.25">
      <c r="A1386" s="16"/>
      <c r="B1386" s="16"/>
      <c r="C1386" s="16"/>
      <c r="D1386" s="16"/>
      <c r="E1386" s="16"/>
      <c r="F1386" s="16"/>
      <c r="G1386" s="16"/>
      <c r="H1386" s="16"/>
      <c r="I1386" s="16"/>
      <c r="J1386" s="16"/>
      <c r="K1386" s="16"/>
      <c r="L1386" s="16"/>
      <c r="M1386" s="16"/>
      <c r="N1386" s="16"/>
      <c r="O1386" s="16"/>
    </row>
    <row r="1387" spans="1:15" ht="22.5" customHeight="1" thickTop="1" thickBot="1" x14ac:dyDescent="0.25">
      <c r="A1387" s="16"/>
      <c r="B1387" s="16"/>
      <c r="C1387" s="16"/>
      <c r="D1387" s="16"/>
      <c r="E1387" s="16"/>
      <c r="F1387" s="16"/>
      <c r="G1387" s="16"/>
      <c r="H1387" s="16"/>
      <c r="I1387" s="16"/>
      <c r="J1387" s="16"/>
      <c r="K1387" s="16"/>
      <c r="L1387" s="16"/>
      <c r="M1387" s="16"/>
      <c r="N1387" s="16"/>
      <c r="O1387" s="16"/>
    </row>
    <row r="1388" spans="1:15" ht="22.5" customHeight="1" thickTop="1" thickBot="1" x14ac:dyDescent="0.25">
      <c r="A1388" s="16"/>
      <c r="B1388" s="16"/>
      <c r="C1388" s="16"/>
      <c r="D1388" s="16"/>
      <c r="E1388" s="16"/>
      <c r="F1388" s="16"/>
      <c r="G1388" s="16"/>
      <c r="H1388" s="16"/>
      <c r="I1388" s="16"/>
      <c r="J1388" s="16"/>
      <c r="K1388" s="16"/>
      <c r="L1388" s="16"/>
      <c r="M1388" s="16"/>
      <c r="N1388" s="16"/>
      <c r="O1388" s="16"/>
    </row>
    <row r="1389" spans="1:15" ht="22.5" customHeight="1" thickTop="1" thickBot="1" x14ac:dyDescent="0.25">
      <c r="A1389" s="16"/>
      <c r="B1389" s="16"/>
      <c r="C1389" s="16"/>
      <c r="D1389" s="16"/>
      <c r="E1389" s="16"/>
      <c r="F1389" s="16"/>
      <c r="G1389" s="16"/>
      <c r="H1389" s="16"/>
      <c r="I1389" s="16"/>
      <c r="J1389" s="16"/>
      <c r="K1389" s="16"/>
      <c r="L1389" s="16"/>
      <c r="M1389" s="16"/>
      <c r="N1389" s="16"/>
      <c r="O1389" s="16"/>
    </row>
    <row r="1390" spans="1:15" ht="22.5" customHeight="1" thickTop="1" thickBot="1" x14ac:dyDescent="0.25">
      <c r="A1390" s="16"/>
      <c r="B1390" s="16"/>
      <c r="C1390" s="16"/>
      <c r="D1390" s="16"/>
      <c r="E1390" s="16"/>
      <c r="F1390" s="16"/>
      <c r="G1390" s="16"/>
      <c r="H1390" s="16"/>
      <c r="I1390" s="16"/>
      <c r="J1390" s="16"/>
      <c r="K1390" s="16"/>
      <c r="L1390" s="16"/>
      <c r="M1390" s="16"/>
      <c r="N1390" s="16"/>
      <c r="O1390" s="16"/>
    </row>
    <row r="1391" spans="1:15" ht="22.5" customHeight="1" thickTop="1" thickBot="1" x14ac:dyDescent="0.25">
      <c r="A1391" s="16"/>
      <c r="B1391" s="16"/>
      <c r="C1391" s="16"/>
      <c r="D1391" s="16"/>
      <c r="E1391" s="16"/>
      <c r="F1391" s="16"/>
      <c r="G1391" s="16"/>
      <c r="H1391" s="16"/>
      <c r="I1391" s="16"/>
      <c r="J1391" s="16"/>
      <c r="K1391" s="16"/>
      <c r="L1391" s="16"/>
      <c r="M1391" s="16"/>
      <c r="N1391" s="16"/>
      <c r="O1391" s="16"/>
    </row>
    <row r="1392" spans="1:15" ht="22.5" customHeight="1" thickTop="1" thickBot="1" x14ac:dyDescent="0.25">
      <c r="A1392" s="16"/>
      <c r="B1392" s="16"/>
      <c r="C1392" s="16"/>
      <c r="D1392" s="16"/>
      <c r="E1392" s="16"/>
      <c r="F1392" s="16"/>
      <c r="G1392" s="16"/>
      <c r="H1392" s="16"/>
      <c r="I1392" s="16"/>
      <c r="J1392" s="16"/>
      <c r="K1392" s="16"/>
      <c r="L1392" s="16"/>
      <c r="M1392" s="16"/>
      <c r="N1392" s="16"/>
      <c r="O1392" s="16"/>
    </row>
    <row r="1393" spans="1:15" ht="22.5" customHeight="1" thickTop="1" thickBot="1" x14ac:dyDescent="0.25">
      <c r="A1393" s="16"/>
      <c r="B1393" s="16"/>
      <c r="C1393" s="16"/>
      <c r="D1393" s="16"/>
      <c r="E1393" s="16"/>
      <c r="F1393" s="16"/>
      <c r="G1393" s="16"/>
      <c r="H1393" s="16"/>
      <c r="I1393" s="16"/>
      <c r="J1393" s="16"/>
      <c r="K1393" s="16"/>
      <c r="L1393" s="16"/>
      <c r="M1393" s="16"/>
      <c r="N1393" s="16"/>
      <c r="O1393" s="16"/>
    </row>
    <row r="1394" spans="1:15" ht="22.5" customHeight="1" thickTop="1" thickBot="1" x14ac:dyDescent="0.25">
      <c r="A1394" s="16"/>
      <c r="B1394" s="16"/>
      <c r="C1394" s="16"/>
      <c r="D1394" s="16"/>
      <c r="E1394" s="16"/>
      <c r="F1394" s="16"/>
      <c r="G1394" s="16"/>
      <c r="H1394" s="16"/>
      <c r="I1394" s="16"/>
      <c r="J1394" s="16"/>
      <c r="K1394" s="16"/>
      <c r="L1394" s="16"/>
      <c r="M1394" s="16"/>
      <c r="N1394" s="16"/>
      <c r="O1394" s="16"/>
    </row>
    <row r="1395" spans="1:15" ht="22.5" customHeight="1" thickTop="1" thickBot="1" x14ac:dyDescent="0.25">
      <c r="A1395" s="16"/>
      <c r="B1395" s="16"/>
      <c r="C1395" s="16"/>
      <c r="D1395" s="16"/>
      <c r="E1395" s="16"/>
      <c r="F1395" s="16"/>
      <c r="G1395" s="16"/>
      <c r="H1395" s="16"/>
      <c r="I1395" s="16"/>
      <c r="J1395" s="16"/>
      <c r="K1395" s="16"/>
      <c r="L1395" s="16"/>
      <c r="M1395" s="16"/>
      <c r="N1395" s="16"/>
      <c r="O1395" s="16"/>
    </row>
    <row r="1396" spans="1:15" ht="22.5" customHeight="1" thickTop="1" thickBot="1" x14ac:dyDescent="0.25">
      <c r="A1396" s="16"/>
      <c r="B1396" s="16"/>
      <c r="C1396" s="16"/>
      <c r="D1396" s="16"/>
      <c r="E1396" s="16"/>
      <c r="F1396" s="16"/>
      <c r="G1396" s="16"/>
      <c r="H1396" s="16"/>
      <c r="I1396" s="16"/>
      <c r="J1396" s="16"/>
      <c r="K1396" s="16"/>
      <c r="L1396" s="16"/>
      <c r="M1396" s="16"/>
      <c r="N1396" s="16"/>
      <c r="O1396" s="16"/>
    </row>
    <row r="1397" spans="1:15" ht="22.5" customHeight="1" thickTop="1" thickBot="1" x14ac:dyDescent="0.25">
      <c r="A1397" s="16"/>
      <c r="B1397" s="16"/>
      <c r="C1397" s="16"/>
      <c r="D1397" s="16"/>
      <c r="E1397" s="16"/>
      <c r="F1397" s="16"/>
      <c r="G1397" s="16"/>
      <c r="H1397" s="16"/>
      <c r="I1397" s="16"/>
      <c r="J1397" s="16"/>
      <c r="K1397" s="16"/>
      <c r="L1397" s="16"/>
      <c r="M1397" s="16"/>
      <c r="N1397" s="16"/>
      <c r="O1397" s="16"/>
    </row>
    <row r="1398" spans="1:15" ht="22.5" customHeight="1" thickTop="1" thickBot="1" x14ac:dyDescent="0.25">
      <c r="A1398" s="16"/>
      <c r="B1398" s="16"/>
      <c r="C1398" s="16"/>
      <c r="D1398" s="16"/>
      <c r="E1398" s="16"/>
      <c r="F1398" s="16"/>
      <c r="G1398" s="16"/>
      <c r="H1398" s="16"/>
      <c r="I1398" s="16"/>
      <c r="J1398" s="16"/>
      <c r="K1398" s="16"/>
      <c r="L1398" s="16"/>
      <c r="M1398" s="16"/>
      <c r="N1398" s="16"/>
      <c r="O1398" s="16"/>
    </row>
    <row r="1399" spans="1:15" ht="22.5" customHeight="1" thickTop="1" thickBot="1" x14ac:dyDescent="0.25">
      <c r="A1399" s="16"/>
      <c r="B1399" s="16"/>
      <c r="C1399" s="16"/>
      <c r="D1399" s="16"/>
      <c r="E1399" s="16"/>
      <c r="F1399" s="16"/>
      <c r="G1399" s="16"/>
      <c r="H1399" s="16"/>
      <c r="I1399" s="16"/>
      <c r="J1399" s="16"/>
      <c r="K1399" s="16"/>
      <c r="L1399" s="16"/>
      <c r="M1399" s="16"/>
      <c r="N1399" s="16"/>
      <c r="O1399" s="16"/>
    </row>
    <row r="1400" spans="1:15" ht="22.5" customHeight="1" thickTop="1" thickBot="1" x14ac:dyDescent="0.25">
      <c r="A1400" s="16"/>
      <c r="B1400" s="16"/>
      <c r="C1400" s="16"/>
      <c r="D1400" s="16"/>
      <c r="E1400" s="16"/>
      <c r="F1400" s="16"/>
      <c r="G1400" s="16"/>
      <c r="H1400" s="16"/>
      <c r="I1400" s="16"/>
      <c r="J1400" s="16"/>
      <c r="K1400" s="16"/>
      <c r="L1400" s="16"/>
      <c r="M1400" s="16"/>
      <c r="N1400" s="16"/>
      <c r="O1400" s="16"/>
    </row>
    <row r="1401" spans="1:15" ht="22.5" customHeight="1" thickTop="1" thickBot="1" x14ac:dyDescent="0.25">
      <c r="A1401" s="16"/>
      <c r="B1401" s="16"/>
      <c r="C1401" s="16"/>
      <c r="D1401" s="16"/>
      <c r="E1401" s="16"/>
      <c r="F1401" s="16"/>
      <c r="G1401" s="16"/>
      <c r="H1401" s="16"/>
      <c r="I1401" s="16"/>
      <c r="J1401" s="16"/>
      <c r="K1401" s="16"/>
      <c r="L1401" s="16"/>
      <c r="M1401" s="16"/>
      <c r="N1401" s="16"/>
      <c r="O1401" s="16"/>
    </row>
    <row r="1402" spans="1:15" ht="22.5" customHeight="1" thickTop="1" thickBot="1" x14ac:dyDescent="0.25">
      <c r="A1402" s="16"/>
      <c r="B1402" s="16"/>
      <c r="C1402" s="16"/>
      <c r="D1402" s="16"/>
      <c r="E1402" s="16"/>
      <c r="F1402" s="16"/>
      <c r="G1402" s="16"/>
      <c r="H1402" s="16"/>
      <c r="I1402" s="16"/>
      <c r="J1402" s="16"/>
      <c r="K1402" s="16"/>
      <c r="L1402" s="16"/>
      <c r="M1402" s="16"/>
      <c r="N1402" s="16"/>
      <c r="O1402" s="16"/>
    </row>
    <row r="1403" spans="1:15" ht="22.5" customHeight="1" thickTop="1" thickBot="1" x14ac:dyDescent="0.25">
      <c r="A1403" s="16"/>
      <c r="B1403" s="16"/>
      <c r="C1403" s="16"/>
      <c r="D1403" s="16"/>
      <c r="E1403" s="16"/>
      <c r="F1403" s="16"/>
      <c r="G1403" s="16"/>
      <c r="H1403" s="16"/>
      <c r="I1403" s="16"/>
      <c r="J1403" s="16"/>
      <c r="K1403" s="16"/>
      <c r="L1403" s="16"/>
      <c r="M1403" s="16"/>
      <c r="N1403" s="16"/>
      <c r="O1403" s="16"/>
    </row>
    <row r="1404" spans="1:15" ht="22.5" customHeight="1" thickTop="1" thickBot="1" x14ac:dyDescent="0.25">
      <c r="A1404" s="16"/>
      <c r="B1404" s="16"/>
      <c r="C1404" s="16"/>
      <c r="D1404" s="16"/>
      <c r="E1404" s="16"/>
      <c r="F1404" s="16"/>
      <c r="G1404" s="16"/>
      <c r="H1404" s="16"/>
      <c r="I1404" s="16"/>
      <c r="J1404" s="16"/>
      <c r="K1404" s="16"/>
      <c r="L1404" s="16"/>
      <c r="M1404" s="16"/>
      <c r="N1404" s="16"/>
      <c r="O1404" s="16"/>
    </row>
    <row r="1405" spans="1:15" ht="22.5" customHeight="1" thickTop="1" thickBot="1" x14ac:dyDescent="0.25">
      <c r="A1405" s="16"/>
      <c r="B1405" s="16"/>
      <c r="C1405" s="16"/>
      <c r="D1405" s="16"/>
      <c r="E1405" s="16"/>
      <c r="F1405" s="16"/>
      <c r="G1405" s="16"/>
      <c r="H1405" s="16"/>
      <c r="I1405" s="16"/>
      <c r="J1405" s="16"/>
      <c r="K1405" s="16"/>
      <c r="L1405" s="16"/>
      <c r="M1405" s="16"/>
      <c r="N1405" s="16"/>
      <c r="O1405" s="16"/>
    </row>
    <row r="1406" spans="1:15" ht="22.5" customHeight="1" thickTop="1" thickBot="1" x14ac:dyDescent="0.25">
      <c r="A1406" s="16"/>
      <c r="B1406" s="16"/>
      <c r="C1406" s="16"/>
      <c r="D1406" s="16"/>
      <c r="E1406" s="16"/>
      <c r="F1406" s="16"/>
      <c r="G1406" s="16"/>
      <c r="H1406" s="16"/>
      <c r="I1406" s="16"/>
      <c r="J1406" s="16"/>
      <c r="K1406" s="16"/>
      <c r="L1406" s="16"/>
      <c r="M1406" s="16"/>
      <c r="N1406" s="16"/>
      <c r="O1406" s="16"/>
    </row>
    <row r="1407" spans="1:15" ht="22.5" customHeight="1" thickTop="1" thickBot="1" x14ac:dyDescent="0.25">
      <c r="A1407" s="16"/>
      <c r="B1407" s="16"/>
      <c r="C1407" s="16"/>
      <c r="D1407" s="16"/>
      <c r="E1407" s="16"/>
      <c r="F1407" s="16"/>
      <c r="G1407" s="16"/>
      <c r="H1407" s="16"/>
      <c r="I1407" s="16"/>
      <c r="J1407" s="16"/>
      <c r="K1407" s="16"/>
      <c r="L1407" s="16"/>
      <c r="M1407" s="16"/>
      <c r="N1407" s="16"/>
      <c r="O1407" s="16"/>
    </row>
    <row r="1408" spans="1:15" ht="22.5" customHeight="1" thickTop="1" thickBot="1" x14ac:dyDescent="0.25">
      <c r="A1408" s="16"/>
      <c r="B1408" s="16"/>
      <c r="C1408" s="16"/>
      <c r="D1408" s="16"/>
      <c r="E1408" s="16"/>
      <c r="F1408" s="16"/>
      <c r="G1408" s="16"/>
      <c r="H1408" s="16"/>
      <c r="I1408" s="16"/>
      <c r="J1408" s="16"/>
      <c r="K1408" s="16"/>
      <c r="L1408" s="16"/>
      <c r="M1408" s="16"/>
      <c r="N1408" s="16"/>
      <c r="O1408" s="16"/>
    </row>
    <row r="1409" spans="1:15" ht="22.5" customHeight="1" thickTop="1" thickBot="1" x14ac:dyDescent="0.25">
      <c r="A1409" s="16"/>
      <c r="B1409" s="16"/>
      <c r="C1409" s="16"/>
      <c r="D1409" s="16"/>
      <c r="E1409" s="16"/>
      <c r="F1409" s="16"/>
      <c r="G1409" s="16"/>
      <c r="H1409" s="16"/>
      <c r="I1409" s="16"/>
      <c r="J1409" s="16"/>
      <c r="K1409" s="16"/>
      <c r="L1409" s="16"/>
      <c r="M1409" s="16"/>
      <c r="N1409" s="16"/>
      <c r="O1409" s="16"/>
    </row>
    <row r="1410" spans="1:15" ht="22.5" customHeight="1" thickTop="1" thickBot="1" x14ac:dyDescent="0.25">
      <c r="A1410" s="16"/>
      <c r="B1410" s="16"/>
      <c r="C1410" s="16"/>
      <c r="D1410" s="16"/>
      <c r="E1410" s="16"/>
      <c r="F1410" s="16"/>
      <c r="G1410" s="16"/>
      <c r="H1410" s="16"/>
      <c r="I1410" s="16"/>
      <c r="J1410" s="16"/>
      <c r="K1410" s="16"/>
      <c r="L1410" s="16"/>
      <c r="M1410" s="16"/>
      <c r="N1410" s="16"/>
      <c r="O1410" s="16"/>
    </row>
    <row r="1411" spans="1:15" ht="22.5" customHeight="1" thickTop="1" thickBot="1" x14ac:dyDescent="0.25">
      <c r="A1411" s="16"/>
      <c r="B1411" s="16"/>
      <c r="C1411" s="16"/>
      <c r="D1411" s="16"/>
      <c r="E1411" s="16"/>
      <c r="F1411" s="16"/>
      <c r="G1411" s="16"/>
      <c r="H1411" s="16"/>
      <c r="I1411" s="16"/>
      <c r="J1411" s="16"/>
      <c r="K1411" s="16"/>
      <c r="L1411" s="16"/>
      <c r="M1411" s="16"/>
      <c r="N1411" s="16"/>
      <c r="O1411" s="16"/>
    </row>
    <row r="1412" spans="1:15" ht="22.5" customHeight="1" thickTop="1" thickBot="1" x14ac:dyDescent="0.25">
      <c r="A1412" s="16"/>
      <c r="B1412" s="16"/>
      <c r="C1412" s="16"/>
      <c r="D1412" s="16"/>
      <c r="E1412" s="16"/>
      <c r="F1412" s="16"/>
      <c r="G1412" s="16"/>
      <c r="H1412" s="16"/>
      <c r="I1412" s="16"/>
      <c r="J1412" s="16"/>
      <c r="K1412" s="16"/>
      <c r="L1412" s="16"/>
      <c r="M1412" s="16"/>
      <c r="N1412" s="16"/>
      <c r="O1412" s="16"/>
    </row>
    <row r="1413" spans="1:15" ht="22.5" customHeight="1" thickTop="1" thickBot="1" x14ac:dyDescent="0.25">
      <c r="A1413" s="16"/>
      <c r="B1413" s="16"/>
      <c r="C1413" s="16"/>
      <c r="D1413" s="16"/>
      <c r="E1413" s="16"/>
      <c r="F1413" s="16"/>
      <c r="G1413" s="16"/>
      <c r="H1413" s="16"/>
      <c r="I1413" s="16"/>
      <c r="J1413" s="16"/>
      <c r="K1413" s="16"/>
      <c r="L1413" s="16"/>
      <c r="M1413" s="16"/>
      <c r="N1413" s="16"/>
      <c r="O1413" s="16"/>
    </row>
    <row r="1414" spans="1:15" ht="22.5" customHeight="1" thickTop="1" thickBot="1" x14ac:dyDescent="0.25">
      <c r="A1414" s="16"/>
      <c r="B1414" s="16"/>
      <c r="C1414" s="16"/>
      <c r="D1414" s="16"/>
      <c r="E1414" s="16"/>
      <c r="F1414" s="16"/>
      <c r="G1414" s="16"/>
      <c r="H1414" s="16"/>
      <c r="I1414" s="16"/>
      <c r="J1414" s="16"/>
      <c r="K1414" s="16"/>
      <c r="L1414" s="16"/>
      <c r="M1414" s="16"/>
      <c r="N1414" s="16"/>
      <c r="O1414" s="16"/>
    </row>
    <row r="1415" spans="1:15" ht="22.5" customHeight="1" thickTop="1" thickBot="1" x14ac:dyDescent="0.25">
      <c r="A1415" s="16"/>
      <c r="B1415" s="16"/>
      <c r="C1415" s="16"/>
      <c r="D1415" s="16"/>
      <c r="E1415" s="16"/>
      <c r="F1415" s="16"/>
      <c r="G1415" s="16"/>
      <c r="H1415" s="16"/>
      <c r="I1415" s="16"/>
      <c r="J1415" s="16"/>
      <c r="K1415" s="16"/>
      <c r="L1415" s="16"/>
      <c r="M1415" s="16"/>
      <c r="N1415" s="16"/>
      <c r="O1415" s="16"/>
    </row>
    <row r="1416" spans="1:15" ht="22.5" customHeight="1" thickTop="1" thickBot="1" x14ac:dyDescent="0.25">
      <c r="A1416" s="16"/>
      <c r="B1416" s="16"/>
      <c r="C1416" s="16"/>
      <c r="D1416" s="16"/>
      <c r="E1416" s="16"/>
      <c r="F1416" s="16"/>
      <c r="G1416" s="16"/>
      <c r="H1416" s="16"/>
      <c r="I1416" s="16"/>
      <c r="J1416" s="16"/>
      <c r="K1416" s="16"/>
      <c r="L1416" s="16"/>
      <c r="M1416" s="16"/>
      <c r="N1416" s="16"/>
      <c r="O1416" s="16"/>
    </row>
    <row r="1417" spans="1:15" ht="22.5" customHeight="1" thickTop="1" thickBot="1" x14ac:dyDescent="0.25">
      <c r="A1417" s="16"/>
      <c r="B1417" s="16"/>
      <c r="C1417" s="16"/>
      <c r="D1417" s="16"/>
      <c r="E1417" s="16"/>
      <c r="F1417" s="16"/>
      <c r="G1417" s="16"/>
      <c r="H1417" s="16"/>
      <c r="I1417" s="16"/>
      <c r="J1417" s="16"/>
      <c r="K1417" s="16"/>
      <c r="L1417" s="16"/>
      <c r="M1417" s="16"/>
      <c r="N1417" s="16"/>
      <c r="O1417" s="16"/>
    </row>
    <row r="1418" spans="1:15" ht="22.5" customHeight="1" thickTop="1" thickBot="1" x14ac:dyDescent="0.25">
      <c r="A1418" s="16"/>
      <c r="B1418" s="16"/>
      <c r="C1418" s="16"/>
      <c r="D1418" s="16"/>
      <c r="E1418" s="16"/>
      <c r="F1418" s="16"/>
      <c r="G1418" s="16"/>
      <c r="H1418" s="16"/>
      <c r="I1418" s="16"/>
      <c r="J1418" s="16"/>
      <c r="K1418" s="16"/>
      <c r="L1418" s="16"/>
      <c r="M1418" s="16"/>
      <c r="N1418" s="16"/>
      <c r="O1418" s="16"/>
    </row>
    <row r="1419" spans="1:15" ht="22.5" customHeight="1" thickTop="1" thickBot="1" x14ac:dyDescent="0.25">
      <c r="A1419" s="16"/>
      <c r="B1419" s="16"/>
      <c r="C1419" s="16"/>
      <c r="D1419" s="16"/>
      <c r="E1419" s="16"/>
      <c r="F1419" s="16"/>
      <c r="G1419" s="16"/>
      <c r="H1419" s="16"/>
      <c r="I1419" s="16"/>
      <c r="J1419" s="16"/>
      <c r="K1419" s="16"/>
      <c r="L1419" s="16"/>
      <c r="M1419" s="16"/>
      <c r="N1419" s="16"/>
      <c r="O1419" s="16"/>
    </row>
    <row r="1420" spans="1:15" ht="22.5" customHeight="1" thickTop="1" thickBot="1" x14ac:dyDescent="0.25">
      <c r="A1420" s="16"/>
      <c r="B1420" s="16"/>
      <c r="C1420" s="16"/>
      <c r="D1420" s="16"/>
      <c r="E1420" s="16"/>
      <c r="F1420" s="16"/>
      <c r="G1420" s="16"/>
      <c r="H1420" s="16"/>
      <c r="I1420" s="16"/>
      <c r="J1420" s="16"/>
      <c r="K1420" s="16"/>
      <c r="L1420" s="16"/>
      <c r="M1420" s="16"/>
      <c r="N1420" s="16"/>
      <c r="O1420" s="16"/>
    </row>
    <row r="1421" spans="1:15" ht="22.5" customHeight="1" thickTop="1" thickBot="1" x14ac:dyDescent="0.25">
      <c r="A1421" s="16"/>
      <c r="B1421" s="16"/>
      <c r="C1421" s="16"/>
      <c r="D1421" s="16"/>
      <c r="E1421" s="16"/>
      <c r="F1421" s="16"/>
      <c r="G1421" s="16"/>
      <c r="H1421" s="16"/>
      <c r="I1421" s="16"/>
      <c r="J1421" s="16"/>
      <c r="K1421" s="16"/>
      <c r="L1421" s="16"/>
      <c r="M1421" s="16"/>
      <c r="N1421" s="16"/>
      <c r="O1421" s="16"/>
    </row>
    <row r="1422" spans="1:15" ht="22.5" customHeight="1" thickTop="1" thickBot="1" x14ac:dyDescent="0.25">
      <c r="A1422" s="16"/>
      <c r="B1422" s="16"/>
      <c r="C1422" s="16"/>
      <c r="D1422" s="16"/>
      <c r="E1422" s="16"/>
      <c r="F1422" s="16"/>
      <c r="G1422" s="16"/>
      <c r="H1422" s="16"/>
      <c r="I1422" s="16"/>
      <c r="J1422" s="16"/>
      <c r="K1422" s="16"/>
      <c r="L1422" s="16"/>
      <c r="M1422" s="16"/>
      <c r="N1422" s="16"/>
      <c r="O1422" s="16"/>
    </row>
    <row r="1423" spans="1:15" ht="22.5" customHeight="1" thickTop="1" thickBot="1" x14ac:dyDescent="0.25">
      <c r="A1423" s="16"/>
      <c r="B1423" s="16"/>
      <c r="C1423" s="16"/>
      <c r="D1423" s="16"/>
      <c r="E1423" s="16"/>
      <c r="F1423" s="16"/>
      <c r="G1423" s="16"/>
      <c r="H1423" s="16"/>
      <c r="I1423" s="16"/>
      <c r="J1423" s="16"/>
      <c r="K1423" s="16"/>
      <c r="L1423" s="16"/>
      <c r="M1423" s="16"/>
      <c r="N1423" s="16"/>
      <c r="O1423" s="16"/>
    </row>
    <row r="1424" spans="1:15" ht="22.5" customHeight="1" thickTop="1" thickBot="1" x14ac:dyDescent="0.25">
      <c r="A1424" s="16"/>
      <c r="B1424" s="16"/>
      <c r="C1424" s="16"/>
      <c r="D1424" s="16"/>
      <c r="E1424" s="16"/>
      <c r="F1424" s="16"/>
      <c r="G1424" s="16"/>
      <c r="H1424" s="16"/>
      <c r="I1424" s="16"/>
      <c r="J1424" s="16"/>
      <c r="K1424" s="16"/>
      <c r="L1424" s="16"/>
      <c r="M1424" s="16"/>
      <c r="N1424" s="16"/>
      <c r="O1424" s="16"/>
    </row>
    <row r="1425" spans="1:15" ht="22.5" customHeight="1" thickTop="1" thickBot="1" x14ac:dyDescent="0.25">
      <c r="A1425" s="16"/>
      <c r="B1425" s="16"/>
      <c r="C1425" s="16"/>
      <c r="D1425" s="16"/>
      <c r="E1425" s="16"/>
      <c r="F1425" s="16"/>
      <c r="G1425" s="16"/>
      <c r="H1425" s="16"/>
      <c r="I1425" s="16"/>
      <c r="J1425" s="16"/>
      <c r="K1425" s="16"/>
      <c r="L1425" s="16"/>
      <c r="M1425" s="16"/>
      <c r="N1425" s="16"/>
      <c r="O1425" s="16"/>
    </row>
    <row r="1426" spans="1:15" ht="22.5" customHeight="1" thickTop="1" thickBot="1" x14ac:dyDescent="0.25">
      <c r="A1426" s="16"/>
      <c r="B1426" s="16"/>
      <c r="C1426" s="16"/>
      <c r="D1426" s="16"/>
      <c r="E1426" s="16"/>
      <c r="F1426" s="16"/>
      <c r="G1426" s="16"/>
      <c r="H1426" s="16"/>
      <c r="I1426" s="16"/>
      <c r="J1426" s="16"/>
      <c r="K1426" s="16"/>
      <c r="L1426" s="16"/>
      <c r="M1426" s="16"/>
      <c r="N1426" s="16"/>
      <c r="O1426" s="16"/>
    </row>
    <row r="1427" spans="1:15" ht="22.5" customHeight="1" thickTop="1" thickBot="1" x14ac:dyDescent="0.25">
      <c r="A1427" s="16"/>
      <c r="B1427" s="16"/>
      <c r="C1427" s="16"/>
      <c r="D1427" s="16"/>
      <c r="E1427" s="16"/>
      <c r="F1427" s="16"/>
      <c r="G1427" s="16"/>
      <c r="H1427" s="16"/>
      <c r="I1427" s="16"/>
      <c r="J1427" s="16"/>
      <c r="K1427" s="16"/>
      <c r="L1427" s="16"/>
      <c r="M1427" s="16"/>
      <c r="N1427" s="16"/>
      <c r="O1427" s="16"/>
    </row>
    <row r="1428" spans="1:15" ht="22.5" customHeight="1" thickTop="1" thickBot="1" x14ac:dyDescent="0.25">
      <c r="A1428" s="16"/>
      <c r="B1428" s="16"/>
      <c r="C1428" s="16"/>
      <c r="D1428" s="16"/>
      <c r="E1428" s="16"/>
      <c r="F1428" s="16"/>
      <c r="G1428" s="16"/>
      <c r="H1428" s="16"/>
      <c r="I1428" s="16"/>
      <c r="J1428" s="16"/>
      <c r="K1428" s="16"/>
      <c r="L1428" s="16"/>
      <c r="M1428" s="16"/>
      <c r="N1428" s="16"/>
      <c r="O1428" s="16"/>
    </row>
    <row r="1429" spans="1:15" ht="22.5" customHeight="1" thickTop="1" thickBot="1" x14ac:dyDescent="0.25">
      <c r="A1429" s="16"/>
      <c r="B1429" s="16"/>
      <c r="C1429" s="16"/>
      <c r="D1429" s="16"/>
      <c r="E1429" s="16"/>
      <c r="F1429" s="16"/>
      <c r="G1429" s="16"/>
      <c r="H1429" s="16"/>
      <c r="I1429" s="16"/>
      <c r="J1429" s="16"/>
      <c r="K1429" s="16"/>
      <c r="L1429" s="16"/>
      <c r="M1429" s="16"/>
      <c r="N1429" s="16"/>
      <c r="O1429" s="16"/>
    </row>
    <row r="1430" spans="1:15" ht="22.5" customHeight="1" thickTop="1" thickBot="1" x14ac:dyDescent="0.25">
      <c r="A1430" s="16"/>
      <c r="B1430" s="16"/>
      <c r="C1430" s="16"/>
      <c r="D1430" s="16"/>
      <c r="E1430" s="16"/>
      <c r="F1430" s="16"/>
      <c r="G1430" s="16"/>
      <c r="H1430" s="16"/>
      <c r="I1430" s="16"/>
      <c r="J1430" s="16"/>
      <c r="K1430" s="16"/>
      <c r="L1430" s="16"/>
      <c r="M1430" s="16"/>
      <c r="N1430" s="16"/>
      <c r="O1430" s="16"/>
    </row>
    <row r="1431" spans="1:15" ht="22.5" customHeight="1" thickTop="1" thickBot="1" x14ac:dyDescent="0.25">
      <c r="A1431" s="16"/>
      <c r="B1431" s="16"/>
      <c r="C1431" s="16"/>
      <c r="D1431" s="16"/>
      <c r="E1431" s="16"/>
      <c r="F1431" s="16"/>
      <c r="G1431" s="16"/>
      <c r="H1431" s="16"/>
      <c r="I1431" s="16"/>
      <c r="J1431" s="16"/>
      <c r="K1431" s="16"/>
      <c r="L1431" s="16"/>
      <c r="M1431" s="16"/>
      <c r="N1431" s="16"/>
      <c r="O1431" s="16"/>
    </row>
    <row r="1432" spans="1:15" ht="22.5" customHeight="1" thickTop="1" thickBot="1" x14ac:dyDescent="0.25">
      <c r="A1432" s="16"/>
      <c r="B1432" s="16"/>
      <c r="C1432" s="16"/>
      <c r="D1432" s="16"/>
      <c r="E1432" s="16"/>
      <c r="F1432" s="16"/>
      <c r="G1432" s="16"/>
      <c r="H1432" s="16"/>
      <c r="I1432" s="16"/>
      <c r="J1432" s="16"/>
      <c r="K1432" s="16"/>
      <c r="L1432" s="16"/>
      <c r="M1432" s="16"/>
      <c r="N1432" s="16"/>
      <c r="O1432" s="16"/>
    </row>
    <row r="1433" spans="1:15" ht="22.5" customHeight="1" thickTop="1" thickBot="1" x14ac:dyDescent="0.25">
      <c r="A1433" s="16"/>
      <c r="B1433" s="16"/>
      <c r="C1433" s="16"/>
      <c r="D1433" s="16"/>
      <c r="E1433" s="16"/>
      <c r="F1433" s="16"/>
      <c r="G1433" s="16"/>
      <c r="H1433" s="16"/>
      <c r="I1433" s="16"/>
      <c r="J1433" s="16"/>
      <c r="K1433" s="16"/>
      <c r="L1433" s="16"/>
      <c r="M1433" s="16"/>
      <c r="N1433" s="16"/>
      <c r="O1433" s="16"/>
    </row>
    <row r="1434" spans="1:15" ht="22.5" customHeight="1" thickTop="1" thickBot="1" x14ac:dyDescent="0.25">
      <c r="A1434" s="16"/>
      <c r="B1434" s="16"/>
      <c r="C1434" s="16"/>
      <c r="D1434" s="16"/>
      <c r="E1434" s="16"/>
      <c r="F1434" s="16"/>
      <c r="G1434" s="16"/>
      <c r="H1434" s="16"/>
      <c r="I1434" s="16"/>
      <c r="J1434" s="16"/>
      <c r="K1434" s="16"/>
      <c r="L1434" s="16"/>
      <c r="M1434" s="16"/>
      <c r="N1434" s="16"/>
      <c r="O1434" s="16"/>
    </row>
    <row r="1435" spans="1:15" ht="22.5" customHeight="1" thickTop="1" thickBot="1" x14ac:dyDescent="0.25">
      <c r="A1435" s="16"/>
      <c r="B1435" s="16"/>
      <c r="C1435" s="16"/>
      <c r="D1435" s="16"/>
      <c r="E1435" s="16"/>
      <c r="F1435" s="16"/>
      <c r="G1435" s="16"/>
      <c r="H1435" s="16"/>
      <c r="I1435" s="16"/>
      <c r="J1435" s="16"/>
      <c r="K1435" s="16"/>
      <c r="L1435" s="16"/>
      <c r="M1435" s="16"/>
      <c r="N1435" s="16"/>
      <c r="O1435" s="16"/>
    </row>
    <row r="1436" spans="1:15" ht="22.5" customHeight="1" thickTop="1" thickBot="1" x14ac:dyDescent="0.25">
      <c r="A1436" s="16"/>
      <c r="B1436" s="16"/>
      <c r="C1436" s="16"/>
      <c r="D1436" s="16"/>
      <c r="E1436" s="16"/>
      <c r="F1436" s="16"/>
      <c r="G1436" s="16"/>
      <c r="H1436" s="16"/>
      <c r="I1436" s="16"/>
      <c r="J1436" s="16"/>
      <c r="K1436" s="16"/>
      <c r="L1436" s="16"/>
      <c r="M1436" s="16"/>
      <c r="N1436" s="16"/>
      <c r="O1436" s="16"/>
    </row>
    <row r="1437" spans="1:15" ht="22.5" customHeight="1" thickTop="1" thickBot="1" x14ac:dyDescent="0.25">
      <c r="A1437" s="16"/>
      <c r="B1437" s="16"/>
      <c r="C1437" s="16"/>
      <c r="D1437" s="16"/>
      <c r="E1437" s="16"/>
      <c r="F1437" s="16"/>
      <c r="G1437" s="16"/>
      <c r="H1437" s="16"/>
      <c r="I1437" s="16"/>
      <c r="J1437" s="16"/>
      <c r="K1437" s="16"/>
      <c r="L1437" s="16"/>
      <c r="M1437" s="16"/>
      <c r="N1437" s="16"/>
      <c r="O1437" s="16"/>
    </row>
    <row r="1438" spans="1:15" ht="22.5" customHeight="1" thickTop="1" thickBot="1" x14ac:dyDescent="0.25">
      <c r="A1438" s="16"/>
      <c r="B1438" s="16"/>
      <c r="C1438" s="16"/>
      <c r="D1438" s="16"/>
      <c r="E1438" s="16"/>
      <c r="F1438" s="16"/>
      <c r="G1438" s="16"/>
      <c r="H1438" s="16"/>
      <c r="I1438" s="16"/>
      <c r="J1438" s="16"/>
      <c r="K1438" s="16"/>
      <c r="L1438" s="16"/>
      <c r="M1438" s="16"/>
      <c r="N1438" s="16"/>
      <c r="O1438" s="16"/>
    </row>
    <row r="1439" spans="1:15" ht="22.5" customHeight="1" thickTop="1" thickBot="1" x14ac:dyDescent="0.25">
      <c r="A1439" s="16"/>
      <c r="B1439" s="16"/>
      <c r="C1439" s="16"/>
      <c r="D1439" s="16"/>
      <c r="E1439" s="16"/>
      <c r="F1439" s="16"/>
      <c r="G1439" s="16"/>
      <c r="H1439" s="16"/>
      <c r="I1439" s="16"/>
      <c r="J1439" s="16"/>
      <c r="K1439" s="16"/>
      <c r="L1439" s="16"/>
      <c r="M1439" s="16"/>
      <c r="N1439" s="16"/>
      <c r="O1439" s="16"/>
    </row>
    <row r="1440" spans="1:15" ht="22.5" customHeight="1" thickTop="1" thickBot="1" x14ac:dyDescent="0.25">
      <c r="A1440" s="16"/>
      <c r="B1440" s="16"/>
      <c r="C1440" s="16"/>
      <c r="D1440" s="16"/>
      <c r="E1440" s="16"/>
      <c r="F1440" s="16"/>
      <c r="G1440" s="16"/>
      <c r="H1440" s="16"/>
      <c r="I1440" s="16"/>
      <c r="J1440" s="16"/>
      <c r="K1440" s="16"/>
      <c r="L1440" s="16"/>
      <c r="M1440" s="16"/>
      <c r="N1440" s="16"/>
      <c r="O1440" s="16"/>
    </row>
    <row r="1441" spans="1:15" ht="22.5" customHeight="1" thickTop="1" thickBot="1" x14ac:dyDescent="0.25">
      <c r="A1441" s="16"/>
      <c r="B1441" s="16"/>
      <c r="C1441" s="16"/>
      <c r="D1441" s="16"/>
      <c r="E1441" s="16"/>
      <c r="F1441" s="16"/>
      <c r="G1441" s="16"/>
      <c r="H1441" s="16"/>
      <c r="I1441" s="16"/>
      <c r="J1441" s="16"/>
      <c r="K1441" s="16"/>
      <c r="L1441" s="16"/>
      <c r="M1441" s="16"/>
      <c r="N1441" s="16"/>
      <c r="O1441" s="16"/>
    </row>
    <row r="1442" spans="1:15" ht="22.5" customHeight="1" thickTop="1" thickBot="1" x14ac:dyDescent="0.25">
      <c r="A1442" s="16"/>
      <c r="B1442" s="16"/>
      <c r="C1442" s="16"/>
      <c r="D1442" s="16"/>
      <c r="E1442" s="16"/>
      <c r="F1442" s="16"/>
      <c r="G1442" s="16"/>
      <c r="H1442" s="16"/>
      <c r="I1442" s="16"/>
      <c r="J1442" s="16"/>
      <c r="K1442" s="16"/>
      <c r="L1442" s="16"/>
      <c r="M1442" s="16"/>
      <c r="N1442" s="16"/>
      <c r="O1442" s="16"/>
    </row>
    <row r="1443" spans="1:15" ht="22.5" customHeight="1" thickTop="1" thickBot="1" x14ac:dyDescent="0.25">
      <c r="A1443" s="16"/>
      <c r="B1443" s="16"/>
      <c r="C1443" s="16"/>
      <c r="D1443" s="16"/>
      <c r="E1443" s="16"/>
      <c r="F1443" s="16"/>
      <c r="G1443" s="16"/>
      <c r="H1443" s="16"/>
      <c r="I1443" s="16"/>
      <c r="J1443" s="16"/>
      <c r="K1443" s="16"/>
      <c r="L1443" s="16"/>
      <c r="M1443" s="16"/>
      <c r="N1443" s="16"/>
      <c r="O1443" s="16"/>
    </row>
    <row r="1444" spans="1:15" ht="22.5" customHeight="1" thickTop="1" thickBot="1" x14ac:dyDescent="0.25">
      <c r="A1444" s="16"/>
      <c r="B1444" s="16"/>
      <c r="C1444" s="16"/>
      <c r="D1444" s="16"/>
      <c r="E1444" s="16"/>
      <c r="F1444" s="16"/>
      <c r="G1444" s="16"/>
      <c r="H1444" s="16"/>
      <c r="I1444" s="16"/>
      <c r="J1444" s="16"/>
      <c r="K1444" s="16"/>
      <c r="L1444" s="16"/>
      <c r="M1444" s="16"/>
      <c r="N1444" s="16"/>
      <c r="O1444" s="16"/>
    </row>
    <row r="1445" spans="1:15" ht="22.5" customHeight="1" thickTop="1" thickBot="1" x14ac:dyDescent="0.25">
      <c r="A1445" s="16"/>
      <c r="B1445" s="16"/>
      <c r="C1445" s="16"/>
      <c r="D1445" s="16"/>
      <c r="E1445" s="16"/>
      <c r="F1445" s="16"/>
      <c r="G1445" s="16"/>
      <c r="H1445" s="16"/>
      <c r="I1445" s="16"/>
      <c r="J1445" s="16"/>
      <c r="K1445" s="16"/>
      <c r="L1445" s="16"/>
      <c r="M1445" s="16"/>
      <c r="N1445" s="16"/>
      <c r="O1445" s="16"/>
    </row>
    <row r="1446" spans="1:15" ht="22.5" customHeight="1" thickTop="1" thickBot="1" x14ac:dyDescent="0.25">
      <c r="A1446" s="16"/>
      <c r="B1446" s="16"/>
      <c r="C1446" s="16"/>
      <c r="D1446" s="16"/>
      <c r="E1446" s="16"/>
      <c r="F1446" s="16"/>
      <c r="G1446" s="16"/>
      <c r="H1446" s="16"/>
      <c r="I1446" s="16"/>
      <c r="J1446" s="16"/>
      <c r="K1446" s="16"/>
      <c r="L1446" s="16"/>
      <c r="M1446" s="16"/>
      <c r="N1446" s="16"/>
      <c r="O1446" s="16"/>
    </row>
    <row r="1447" spans="1:15" ht="22.5" customHeight="1" thickTop="1" thickBot="1" x14ac:dyDescent="0.25">
      <c r="A1447" s="16"/>
      <c r="B1447" s="16"/>
      <c r="C1447" s="16"/>
      <c r="D1447" s="16"/>
      <c r="E1447" s="16"/>
      <c r="F1447" s="16"/>
      <c r="G1447" s="16"/>
      <c r="H1447" s="16"/>
      <c r="I1447" s="16"/>
      <c r="J1447" s="16"/>
      <c r="K1447" s="16"/>
      <c r="L1447" s="16"/>
      <c r="M1447" s="16"/>
      <c r="N1447" s="16"/>
      <c r="O1447" s="16"/>
    </row>
    <row r="1448" spans="1:15" ht="22.5" customHeight="1" thickTop="1" thickBot="1" x14ac:dyDescent="0.25">
      <c r="A1448" s="16"/>
      <c r="B1448" s="16"/>
      <c r="C1448" s="16"/>
      <c r="D1448" s="16"/>
      <c r="E1448" s="16"/>
      <c r="F1448" s="16"/>
      <c r="G1448" s="16"/>
      <c r="H1448" s="16"/>
      <c r="I1448" s="16"/>
      <c r="J1448" s="16"/>
      <c r="K1448" s="16"/>
      <c r="L1448" s="16"/>
      <c r="M1448" s="16"/>
      <c r="N1448" s="16"/>
      <c r="O1448" s="16"/>
    </row>
    <row r="1449" spans="1:15" ht="22.5" customHeight="1" thickTop="1" thickBot="1" x14ac:dyDescent="0.25">
      <c r="A1449" s="16"/>
      <c r="B1449" s="16"/>
      <c r="C1449" s="16"/>
      <c r="D1449" s="16"/>
      <c r="E1449" s="16"/>
      <c r="F1449" s="16"/>
      <c r="G1449" s="16"/>
      <c r="H1449" s="16"/>
      <c r="I1449" s="16"/>
      <c r="J1449" s="16"/>
      <c r="K1449" s="16"/>
      <c r="L1449" s="16"/>
      <c r="M1449" s="16"/>
      <c r="N1449" s="16"/>
      <c r="O1449" s="16"/>
    </row>
    <row r="1450" spans="1:15" ht="22.5" customHeight="1" thickTop="1" thickBot="1" x14ac:dyDescent="0.25">
      <c r="A1450" s="16"/>
      <c r="B1450" s="16"/>
      <c r="C1450" s="16"/>
      <c r="D1450" s="16"/>
      <c r="E1450" s="16"/>
      <c r="F1450" s="16"/>
      <c r="G1450" s="16"/>
      <c r="H1450" s="16"/>
      <c r="I1450" s="16"/>
      <c r="J1450" s="16"/>
      <c r="K1450" s="16"/>
      <c r="L1450" s="16"/>
      <c r="M1450" s="16"/>
      <c r="N1450" s="16"/>
      <c r="O1450" s="16"/>
    </row>
    <row r="1451" spans="1:15" ht="22.5" customHeight="1" thickTop="1" thickBot="1" x14ac:dyDescent="0.25">
      <c r="A1451" s="16"/>
      <c r="B1451" s="16"/>
      <c r="C1451" s="16"/>
      <c r="D1451" s="16"/>
      <c r="E1451" s="16"/>
      <c r="F1451" s="16"/>
      <c r="G1451" s="16"/>
      <c r="H1451" s="16"/>
      <c r="I1451" s="16"/>
      <c r="J1451" s="16"/>
      <c r="K1451" s="16"/>
      <c r="L1451" s="16"/>
      <c r="M1451" s="16"/>
      <c r="N1451" s="16"/>
      <c r="O1451" s="16"/>
    </row>
    <row r="1452" spans="1:15" ht="22.5" customHeight="1" thickTop="1" thickBot="1" x14ac:dyDescent="0.25">
      <c r="A1452" s="16"/>
      <c r="B1452" s="16"/>
      <c r="C1452" s="16"/>
      <c r="D1452" s="16"/>
      <c r="E1452" s="16"/>
      <c r="F1452" s="16"/>
      <c r="G1452" s="16"/>
      <c r="H1452" s="16"/>
      <c r="I1452" s="16"/>
      <c r="J1452" s="16"/>
      <c r="K1452" s="16"/>
      <c r="L1452" s="16"/>
      <c r="M1452" s="16"/>
      <c r="N1452" s="16"/>
      <c r="O1452" s="16"/>
    </row>
    <row r="1453" spans="1:15" ht="22.5" customHeight="1" thickTop="1" thickBot="1" x14ac:dyDescent="0.25">
      <c r="A1453" s="16"/>
      <c r="B1453" s="16"/>
      <c r="C1453" s="16"/>
      <c r="D1453" s="16"/>
      <c r="E1453" s="16"/>
      <c r="F1453" s="16"/>
      <c r="G1453" s="16"/>
      <c r="H1453" s="16"/>
      <c r="I1453" s="16"/>
      <c r="J1453" s="16"/>
      <c r="K1453" s="16"/>
      <c r="L1453" s="16"/>
      <c r="M1453" s="16"/>
      <c r="N1453" s="16"/>
      <c r="O1453" s="16"/>
    </row>
    <row r="1454" spans="1:15" ht="22.5" customHeight="1" thickTop="1" thickBot="1" x14ac:dyDescent="0.25">
      <c r="A1454" s="16"/>
      <c r="B1454" s="16"/>
      <c r="C1454" s="16"/>
      <c r="D1454" s="16"/>
      <c r="E1454" s="16"/>
      <c r="F1454" s="16"/>
      <c r="G1454" s="16"/>
      <c r="H1454" s="16"/>
      <c r="I1454" s="16"/>
      <c r="J1454" s="16"/>
      <c r="K1454" s="16"/>
      <c r="L1454" s="16"/>
      <c r="M1454" s="16"/>
      <c r="N1454" s="16"/>
      <c r="O1454" s="16"/>
    </row>
    <row r="1455" spans="1:15" ht="22.5" customHeight="1" thickTop="1" thickBot="1" x14ac:dyDescent="0.25">
      <c r="A1455" s="16"/>
      <c r="B1455" s="16"/>
      <c r="C1455" s="16"/>
      <c r="D1455" s="16"/>
      <c r="E1455" s="16"/>
      <c r="F1455" s="16"/>
      <c r="G1455" s="16"/>
      <c r="H1455" s="16"/>
      <c r="I1455" s="16"/>
      <c r="J1455" s="16"/>
      <c r="K1455" s="16"/>
      <c r="L1455" s="16"/>
      <c r="M1455" s="16"/>
      <c r="N1455" s="16"/>
      <c r="O1455" s="16"/>
    </row>
    <row r="1456" spans="1:15" ht="22.5" customHeight="1" thickTop="1" thickBot="1" x14ac:dyDescent="0.25">
      <c r="A1456" s="16"/>
      <c r="B1456" s="16"/>
      <c r="C1456" s="16"/>
      <c r="D1456" s="16"/>
      <c r="E1456" s="16"/>
      <c r="F1456" s="16"/>
      <c r="G1456" s="16"/>
      <c r="H1456" s="16"/>
      <c r="I1456" s="16"/>
      <c r="J1456" s="16"/>
      <c r="K1456" s="16"/>
      <c r="L1456" s="16"/>
      <c r="M1456" s="16"/>
      <c r="N1456" s="16"/>
      <c r="O1456" s="16"/>
    </row>
    <row r="1457" spans="1:15" ht="22.5" customHeight="1" thickTop="1" thickBot="1" x14ac:dyDescent="0.25">
      <c r="A1457" s="16"/>
      <c r="B1457" s="16"/>
      <c r="C1457" s="16"/>
      <c r="D1457" s="16"/>
      <c r="E1457" s="16"/>
      <c r="F1457" s="16"/>
      <c r="G1457" s="16"/>
      <c r="H1457" s="16"/>
      <c r="I1457" s="16"/>
      <c r="J1457" s="16"/>
      <c r="K1457" s="16"/>
      <c r="L1457" s="16"/>
      <c r="M1457" s="16"/>
      <c r="N1457" s="16"/>
      <c r="O1457" s="16"/>
    </row>
    <row r="1458" spans="1:15" ht="22.5" customHeight="1" thickTop="1" thickBot="1" x14ac:dyDescent="0.25">
      <c r="A1458" s="16"/>
      <c r="B1458" s="16"/>
      <c r="C1458" s="16"/>
      <c r="D1458" s="16"/>
      <c r="E1458" s="16"/>
      <c r="F1458" s="16"/>
      <c r="G1458" s="16"/>
      <c r="H1458" s="16"/>
      <c r="I1458" s="16"/>
      <c r="J1458" s="16"/>
      <c r="K1458" s="16"/>
      <c r="L1458" s="16"/>
      <c r="M1458" s="16"/>
      <c r="N1458" s="16"/>
      <c r="O1458" s="16"/>
    </row>
    <row r="1459" spans="1:15" ht="22.5" customHeight="1" thickTop="1" thickBot="1" x14ac:dyDescent="0.25">
      <c r="A1459" s="16"/>
      <c r="B1459" s="16"/>
      <c r="C1459" s="16"/>
      <c r="D1459" s="16"/>
      <c r="E1459" s="16"/>
      <c r="F1459" s="16"/>
      <c r="G1459" s="16"/>
      <c r="H1459" s="16"/>
      <c r="I1459" s="16"/>
      <c r="J1459" s="16"/>
      <c r="K1459" s="16"/>
      <c r="L1459" s="16"/>
      <c r="M1459" s="16"/>
      <c r="N1459" s="16"/>
      <c r="O1459" s="16"/>
    </row>
    <row r="1460" spans="1:15" ht="22.5" customHeight="1" thickTop="1" thickBot="1" x14ac:dyDescent="0.25">
      <c r="A1460" s="16"/>
      <c r="B1460" s="16"/>
      <c r="C1460" s="16"/>
      <c r="D1460" s="16"/>
      <c r="E1460" s="16"/>
      <c r="F1460" s="16"/>
      <c r="G1460" s="16"/>
      <c r="H1460" s="16"/>
      <c r="I1460" s="16"/>
      <c r="J1460" s="16"/>
      <c r="K1460" s="16"/>
      <c r="L1460" s="16"/>
      <c r="M1460" s="16"/>
      <c r="N1460" s="16"/>
      <c r="O1460" s="16"/>
    </row>
    <row r="1461" spans="1:15" ht="22.5" customHeight="1" thickTop="1" thickBot="1" x14ac:dyDescent="0.25">
      <c r="A1461" s="16"/>
      <c r="B1461" s="16"/>
      <c r="C1461" s="16"/>
      <c r="D1461" s="16"/>
      <c r="E1461" s="16"/>
      <c r="F1461" s="16"/>
      <c r="G1461" s="16"/>
      <c r="H1461" s="16"/>
      <c r="I1461" s="16"/>
      <c r="J1461" s="16"/>
      <c r="K1461" s="16"/>
      <c r="L1461" s="16"/>
      <c r="M1461" s="16"/>
      <c r="N1461" s="16"/>
      <c r="O1461" s="16"/>
    </row>
    <row r="1462" spans="1:15" ht="22.5" customHeight="1" thickTop="1" thickBot="1" x14ac:dyDescent="0.25">
      <c r="A1462" s="16"/>
      <c r="B1462" s="16"/>
      <c r="C1462" s="16"/>
      <c r="D1462" s="16"/>
      <c r="E1462" s="16"/>
      <c r="F1462" s="16"/>
      <c r="G1462" s="16"/>
      <c r="H1462" s="16"/>
      <c r="I1462" s="16"/>
      <c r="J1462" s="16"/>
      <c r="K1462" s="16"/>
      <c r="L1462" s="16"/>
      <c r="M1462" s="16"/>
      <c r="N1462" s="16"/>
      <c r="O1462" s="16"/>
    </row>
    <row r="1463" spans="1:15" ht="22.5" customHeight="1" thickTop="1" thickBot="1" x14ac:dyDescent="0.25">
      <c r="A1463" s="16"/>
      <c r="B1463" s="16"/>
      <c r="C1463" s="16"/>
      <c r="D1463" s="16"/>
      <c r="E1463" s="16"/>
      <c r="F1463" s="16"/>
      <c r="G1463" s="16"/>
      <c r="H1463" s="16"/>
      <c r="I1463" s="16"/>
      <c r="J1463" s="16"/>
      <c r="K1463" s="16"/>
      <c r="L1463" s="16"/>
      <c r="M1463" s="16"/>
      <c r="N1463" s="16"/>
      <c r="O1463" s="16"/>
    </row>
    <row r="1464" spans="1:15" ht="22.5" customHeight="1" thickTop="1" thickBot="1" x14ac:dyDescent="0.25">
      <c r="A1464" s="16"/>
      <c r="B1464" s="16"/>
      <c r="C1464" s="16"/>
      <c r="D1464" s="16"/>
      <c r="E1464" s="16"/>
      <c r="F1464" s="16"/>
      <c r="G1464" s="16"/>
      <c r="H1464" s="16"/>
      <c r="I1464" s="16"/>
      <c r="J1464" s="16"/>
      <c r="K1464" s="16"/>
      <c r="L1464" s="16"/>
      <c r="M1464" s="16"/>
      <c r="N1464" s="16"/>
      <c r="O1464" s="16"/>
    </row>
    <row r="1465" spans="1:15" ht="22.5" customHeight="1" thickTop="1" thickBot="1" x14ac:dyDescent="0.25">
      <c r="A1465" s="16"/>
      <c r="B1465" s="16"/>
      <c r="C1465" s="16"/>
      <c r="D1465" s="16"/>
      <c r="E1465" s="16"/>
      <c r="F1465" s="16"/>
      <c r="G1465" s="16"/>
      <c r="H1465" s="16"/>
      <c r="I1465" s="16"/>
      <c r="J1465" s="16"/>
      <c r="K1465" s="16"/>
      <c r="L1465" s="16"/>
      <c r="M1465" s="16"/>
      <c r="N1465" s="16"/>
      <c r="O1465" s="16"/>
    </row>
    <row r="1466" spans="1:15" ht="22.5" customHeight="1" thickTop="1" thickBot="1" x14ac:dyDescent="0.25">
      <c r="A1466" s="16"/>
      <c r="B1466" s="16"/>
      <c r="C1466" s="16"/>
      <c r="D1466" s="16"/>
      <c r="E1466" s="16"/>
      <c r="F1466" s="16"/>
      <c r="G1466" s="16"/>
      <c r="H1466" s="16"/>
      <c r="I1466" s="16"/>
      <c r="J1466" s="16"/>
      <c r="K1466" s="16"/>
      <c r="L1466" s="16"/>
      <c r="M1466" s="16"/>
      <c r="N1466" s="16"/>
      <c r="O1466" s="16"/>
    </row>
    <row r="1467" spans="1:15" ht="22.5" customHeight="1" thickTop="1" thickBot="1" x14ac:dyDescent="0.25">
      <c r="A1467" s="16"/>
      <c r="B1467" s="16"/>
      <c r="C1467" s="16"/>
      <c r="D1467" s="16"/>
      <c r="E1467" s="16"/>
      <c r="F1467" s="16"/>
      <c r="G1467" s="16"/>
      <c r="H1467" s="16"/>
      <c r="I1467" s="16"/>
      <c r="J1467" s="16"/>
      <c r="K1467" s="16"/>
      <c r="L1467" s="16"/>
      <c r="M1467" s="16"/>
      <c r="N1467" s="16"/>
      <c r="O1467" s="16"/>
    </row>
    <row r="1468" spans="1:15" ht="22.5" customHeight="1" thickTop="1" thickBot="1" x14ac:dyDescent="0.25">
      <c r="A1468" s="16"/>
      <c r="B1468" s="16"/>
      <c r="C1468" s="16"/>
      <c r="D1468" s="16"/>
      <c r="E1468" s="16"/>
      <c r="F1468" s="16"/>
      <c r="G1468" s="16"/>
      <c r="H1468" s="16"/>
      <c r="I1468" s="16"/>
      <c r="J1468" s="16"/>
      <c r="K1468" s="16"/>
      <c r="L1468" s="16"/>
      <c r="M1468" s="16"/>
      <c r="N1468" s="16"/>
      <c r="O1468" s="16"/>
    </row>
    <row r="1469" spans="1:15" ht="22.5" customHeight="1" thickTop="1" thickBot="1" x14ac:dyDescent="0.25">
      <c r="A1469" s="16"/>
      <c r="B1469" s="16"/>
      <c r="C1469" s="16"/>
      <c r="D1469" s="16"/>
      <c r="E1469" s="16"/>
      <c r="F1469" s="16"/>
      <c r="G1469" s="16"/>
      <c r="H1469" s="16"/>
      <c r="I1469" s="16"/>
      <c r="J1469" s="16"/>
      <c r="K1469" s="16"/>
      <c r="L1469" s="16"/>
      <c r="M1469" s="16"/>
      <c r="N1469" s="16"/>
      <c r="O1469" s="16"/>
    </row>
    <row r="1470" spans="1:15" ht="22.5" customHeight="1" thickTop="1" thickBot="1" x14ac:dyDescent="0.25">
      <c r="A1470" s="16"/>
      <c r="B1470" s="16"/>
      <c r="C1470" s="16"/>
      <c r="D1470" s="16"/>
      <c r="E1470" s="16"/>
      <c r="F1470" s="16"/>
      <c r="G1470" s="16"/>
      <c r="H1470" s="16"/>
      <c r="I1470" s="16"/>
      <c r="J1470" s="16"/>
      <c r="K1470" s="16"/>
      <c r="L1470" s="16"/>
      <c r="M1470" s="16"/>
      <c r="N1470" s="16"/>
      <c r="O1470" s="16"/>
    </row>
    <row r="1471" spans="1:15" ht="22.5" customHeight="1" thickTop="1" thickBot="1" x14ac:dyDescent="0.25">
      <c r="A1471" s="16"/>
      <c r="B1471" s="16"/>
      <c r="C1471" s="16"/>
      <c r="D1471" s="16"/>
      <c r="E1471" s="16"/>
      <c r="F1471" s="16"/>
      <c r="G1471" s="16"/>
      <c r="H1471" s="16"/>
      <c r="I1471" s="16"/>
      <c r="J1471" s="16"/>
      <c r="K1471" s="16"/>
      <c r="L1471" s="16"/>
      <c r="M1471" s="16"/>
      <c r="N1471" s="16"/>
      <c r="O1471" s="16"/>
    </row>
    <row r="1472" spans="1:15" ht="22.5" customHeight="1" thickTop="1" thickBot="1" x14ac:dyDescent="0.25">
      <c r="A1472" s="16"/>
      <c r="B1472" s="16"/>
      <c r="C1472" s="16"/>
      <c r="D1472" s="16"/>
      <c r="E1472" s="16"/>
      <c r="F1472" s="16"/>
      <c r="G1472" s="16"/>
      <c r="H1472" s="16"/>
      <c r="I1472" s="16"/>
      <c r="J1472" s="16"/>
      <c r="K1472" s="16"/>
      <c r="L1472" s="16"/>
      <c r="M1472" s="16"/>
      <c r="N1472" s="16"/>
      <c r="O1472" s="16"/>
    </row>
    <row r="1473" spans="1:15" ht="22.5" customHeight="1" thickTop="1" thickBot="1" x14ac:dyDescent="0.25">
      <c r="A1473" s="16"/>
      <c r="B1473" s="16"/>
      <c r="C1473" s="16"/>
      <c r="D1473" s="16"/>
      <c r="E1473" s="16"/>
      <c r="F1473" s="16"/>
      <c r="G1473" s="16"/>
      <c r="H1473" s="16"/>
      <c r="I1473" s="16"/>
      <c r="J1473" s="16"/>
      <c r="K1473" s="16"/>
      <c r="L1473" s="16"/>
      <c r="M1473" s="16"/>
      <c r="N1473" s="16"/>
      <c r="O1473" s="16"/>
    </row>
    <row r="1474" spans="1:15" ht="22.5" customHeight="1" thickTop="1" thickBot="1" x14ac:dyDescent="0.25">
      <c r="A1474" s="16"/>
      <c r="B1474" s="16"/>
      <c r="C1474" s="16"/>
      <c r="D1474" s="16"/>
      <c r="E1474" s="16"/>
      <c r="F1474" s="16"/>
      <c r="G1474" s="16"/>
      <c r="H1474" s="16"/>
      <c r="I1474" s="16"/>
      <c r="J1474" s="16"/>
      <c r="K1474" s="16"/>
      <c r="L1474" s="16"/>
      <c r="M1474" s="16"/>
      <c r="N1474" s="16"/>
      <c r="O1474" s="16"/>
    </row>
    <row r="1475" spans="1:15" ht="22.5" customHeight="1" thickTop="1" thickBot="1" x14ac:dyDescent="0.25">
      <c r="A1475" s="16"/>
      <c r="B1475" s="16"/>
      <c r="C1475" s="16"/>
      <c r="D1475" s="16"/>
      <c r="E1475" s="16"/>
      <c r="F1475" s="16"/>
      <c r="G1475" s="16"/>
      <c r="H1475" s="16"/>
      <c r="I1475" s="16"/>
      <c r="J1475" s="16"/>
      <c r="K1475" s="16"/>
      <c r="L1475" s="16"/>
      <c r="M1475" s="16"/>
      <c r="N1475" s="16"/>
      <c r="O1475" s="16"/>
    </row>
    <row r="1476" spans="1:15" ht="22.5" customHeight="1" thickTop="1" thickBot="1" x14ac:dyDescent="0.25">
      <c r="A1476" s="16"/>
      <c r="B1476" s="16"/>
      <c r="C1476" s="16"/>
      <c r="D1476" s="16"/>
      <c r="E1476" s="16"/>
      <c r="F1476" s="16"/>
      <c r="G1476" s="16"/>
      <c r="H1476" s="16"/>
      <c r="I1476" s="16"/>
      <c r="J1476" s="16"/>
      <c r="K1476" s="16"/>
      <c r="L1476" s="16"/>
      <c r="M1476" s="16"/>
      <c r="N1476" s="16"/>
      <c r="O1476" s="16"/>
    </row>
    <row r="1477" spans="1:15" ht="22.5" customHeight="1" thickTop="1" thickBot="1" x14ac:dyDescent="0.25">
      <c r="A1477" s="16"/>
      <c r="B1477" s="16"/>
      <c r="C1477" s="16"/>
      <c r="D1477" s="16"/>
      <c r="E1477" s="16"/>
      <c r="F1477" s="16"/>
      <c r="G1477" s="16"/>
      <c r="H1477" s="16"/>
      <c r="I1477" s="16"/>
      <c r="J1477" s="16"/>
      <c r="K1477" s="16"/>
      <c r="L1477" s="16"/>
      <c r="M1477" s="16"/>
      <c r="N1477" s="16"/>
      <c r="O1477" s="16"/>
    </row>
    <row r="1478" spans="1:15" ht="22.5" customHeight="1" thickTop="1" thickBot="1" x14ac:dyDescent="0.25">
      <c r="A1478" s="16"/>
      <c r="B1478" s="16"/>
      <c r="C1478" s="16"/>
      <c r="D1478" s="16"/>
      <c r="E1478" s="16"/>
      <c r="F1478" s="16"/>
      <c r="G1478" s="16"/>
      <c r="H1478" s="16"/>
      <c r="I1478" s="16"/>
      <c r="J1478" s="16"/>
      <c r="K1478" s="16"/>
      <c r="L1478" s="16"/>
      <c r="M1478" s="16"/>
      <c r="N1478" s="16"/>
      <c r="O1478" s="16"/>
    </row>
    <row r="1479" spans="1:15" ht="22.5" customHeight="1" thickTop="1" thickBot="1" x14ac:dyDescent="0.25">
      <c r="A1479" s="16"/>
      <c r="B1479" s="16"/>
      <c r="C1479" s="16"/>
      <c r="D1479" s="16"/>
      <c r="E1479" s="16"/>
      <c r="F1479" s="16"/>
      <c r="G1479" s="16"/>
      <c r="H1479" s="16"/>
      <c r="I1479" s="16"/>
      <c r="J1479" s="16"/>
      <c r="K1479" s="16"/>
      <c r="L1479" s="16"/>
      <c r="M1479" s="16"/>
      <c r="N1479" s="16"/>
      <c r="O1479" s="16"/>
    </row>
    <row r="1480" spans="1:15" ht="22.5" customHeight="1" thickTop="1" thickBot="1" x14ac:dyDescent="0.25">
      <c r="A1480" s="16"/>
      <c r="B1480" s="16"/>
      <c r="C1480" s="16"/>
      <c r="D1480" s="16"/>
      <c r="E1480" s="16"/>
      <c r="F1480" s="16"/>
      <c r="G1480" s="16"/>
      <c r="H1480" s="16"/>
      <c r="I1480" s="16"/>
      <c r="J1480" s="16"/>
      <c r="K1480" s="16"/>
      <c r="L1480" s="16"/>
      <c r="M1480" s="16"/>
      <c r="N1480" s="16"/>
      <c r="O1480" s="16"/>
    </row>
    <row r="1481" spans="1:15" ht="22.5" customHeight="1" thickTop="1" thickBot="1" x14ac:dyDescent="0.25">
      <c r="A1481" s="16"/>
      <c r="B1481" s="16"/>
      <c r="C1481" s="16"/>
      <c r="D1481" s="16"/>
      <c r="E1481" s="16"/>
      <c r="F1481" s="16"/>
      <c r="G1481" s="16"/>
      <c r="H1481" s="16"/>
      <c r="I1481" s="16"/>
      <c r="J1481" s="16"/>
      <c r="K1481" s="16"/>
      <c r="L1481" s="16"/>
      <c r="M1481" s="16"/>
      <c r="N1481" s="16"/>
      <c r="O1481" s="16"/>
    </row>
    <row r="1482" spans="1:15" ht="22.5" customHeight="1" thickTop="1" thickBot="1" x14ac:dyDescent="0.25">
      <c r="A1482" s="16"/>
      <c r="B1482" s="16"/>
      <c r="C1482" s="16"/>
      <c r="D1482" s="16"/>
      <c r="E1482" s="16"/>
      <c r="F1482" s="16"/>
      <c r="G1482" s="16"/>
      <c r="H1482" s="16"/>
      <c r="I1482" s="16"/>
      <c r="J1482" s="16"/>
      <c r="K1482" s="16"/>
      <c r="L1482" s="16"/>
      <c r="M1482" s="16"/>
      <c r="N1482" s="16"/>
      <c r="O1482" s="16"/>
    </row>
    <row r="1483" spans="1:15" ht="22.5" customHeight="1" thickTop="1" thickBot="1" x14ac:dyDescent="0.25">
      <c r="A1483" s="16"/>
      <c r="B1483" s="16"/>
      <c r="C1483" s="16"/>
      <c r="D1483" s="16"/>
      <c r="E1483" s="16"/>
      <c r="F1483" s="16"/>
      <c r="G1483" s="16"/>
      <c r="H1483" s="16"/>
      <c r="I1483" s="16"/>
      <c r="J1483" s="16"/>
      <c r="K1483" s="16"/>
      <c r="L1483" s="16"/>
      <c r="M1483" s="16"/>
      <c r="N1483" s="16"/>
      <c r="O1483" s="16"/>
    </row>
    <row r="1484" spans="1:15" ht="22.5" customHeight="1" thickTop="1" thickBot="1" x14ac:dyDescent="0.25">
      <c r="A1484" s="16"/>
      <c r="B1484" s="16"/>
      <c r="C1484" s="16"/>
      <c r="D1484" s="16"/>
      <c r="E1484" s="16"/>
      <c r="F1484" s="16"/>
      <c r="G1484" s="16"/>
      <c r="H1484" s="16"/>
      <c r="I1484" s="16"/>
      <c r="J1484" s="16"/>
      <c r="K1484" s="16"/>
      <c r="L1484" s="16"/>
      <c r="M1484" s="16"/>
      <c r="N1484" s="16"/>
      <c r="O1484" s="16"/>
    </row>
    <row r="1485" spans="1:15" ht="22.5" customHeight="1" thickTop="1" thickBot="1" x14ac:dyDescent="0.25">
      <c r="A1485" s="16"/>
      <c r="B1485" s="16"/>
      <c r="C1485" s="16"/>
      <c r="D1485" s="16"/>
      <c r="E1485" s="16"/>
      <c r="F1485" s="16"/>
      <c r="G1485" s="16"/>
      <c r="H1485" s="16"/>
      <c r="I1485" s="16"/>
      <c r="J1485" s="16"/>
      <c r="K1485" s="16"/>
      <c r="L1485" s="16"/>
      <c r="M1485" s="16"/>
      <c r="N1485" s="16"/>
      <c r="O1485" s="16"/>
    </row>
    <row r="1486" spans="1:15" ht="22.5" customHeight="1" thickTop="1" thickBot="1" x14ac:dyDescent="0.25">
      <c r="A1486" s="16"/>
      <c r="B1486" s="16"/>
      <c r="C1486" s="16"/>
      <c r="D1486" s="16"/>
      <c r="E1486" s="16"/>
      <c r="F1486" s="16"/>
      <c r="G1486" s="16"/>
      <c r="H1486" s="16"/>
      <c r="I1486" s="16"/>
      <c r="J1486" s="16"/>
      <c r="K1486" s="16"/>
      <c r="L1486" s="16"/>
      <c r="M1486" s="16"/>
      <c r="N1486" s="16"/>
      <c r="O1486" s="16"/>
    </row>
    <row r="1487" spans="1:15" ht="22.5" customHeight="1" thickTop="1" thickBot="1" x14ac:dyDescent="0.25">
      <c r="A1487" s="16"/>
      <c r="B1487" s="16"/>
      <c r="C1487" s="16"/>
      <c r="D1487" s="16"/>
      <c r="E1487" s="16"/>
      <c r="F1487" s="16"/>
      <c r="G1487" s="16"/>
      <c r="H1487" s="16"/>
      <c r="I1487" s="16"/>
      <c r="J1487" s="16"/>
      <c r="K1487" s="16"/>
      <c r="L1487" s="16"/>
      <c r="M1487" s="16"/>
      <c r="N1487" s="16"/>
      <c r="O1487" s="16"/>
    </row>
    <row r="1488" spans="1:15" ht="22.5" customHeight="1" thickTop="1" thickBot="1" x14ac:dyDescent="0.25">
      <c r="A1488" s="16"/>
      <c r="B1488" s="16"/>
      <c r="C1488" s="16"/>
      <c r="D1488" s="16"/>
      <c r="E1488" s="16"/>
      <c r="F1488" s="16"/>
      <c r="G1488" s="16"/>
      <c r="H1488" s="16"/>
      <c r="I1488" s="16"/>
      <c r="J1488" s="16"/>
      <c r="K1488" s="16"/>
      <c r="L1488" s="16"/>
      <c r="M1488" s="16"/>
      <c r="N1488" s="16"/>
      <c r="O1488" s="16"/>
    </row>
    <row r="1489" spans="1:15" ht="22.5" customHeight="1" thickTop="1" thickBot="1" x14ac:dyDescent="0.25">
      <c r="A1489" s="16"/>
      <c r="B1489" s="16"/>
      <c r="C1489" s="16"/>
      <c r="D1489" s="16"/>
      <c r="E1489" s="16"/>
      <c r="F1489" s="16"/>
      <c r="G1489" s="16"/>
      <c r="H1489" s="16"/>
      <c r="I1489" s="16"/>
      <c r="J1489" s="16"/>
      <c r="K1489" s="16"/>
      <c r="L1489" s="16"/>
      <c r="M1489" s="16"/>
      <c r="N1489" s="16"/>
      <c r="O1489" s="16"/>
    </row>
    <row r="1490" spans="1:15" ht="22.5" customHeight="1" thickTop="1" thickBot="1" x14ac:dyDescent="0.25">
      <c r="A1490" s="16"/>
      <c r="B1490" s="16"/>
      <c r="C1490" s="16"/>
      <c r="D1490" s="16"/>
      <c r="E1490" s="16"/>
      <c r="F1490" s="16"/>
      <c r="G1490" s="16"/>
      <c r="H1490" s="16"/>
      <c r="I1490" s="16"/>
      <c r="J1490" s="16"/>
      <c r="K1490" s="16"/>
      <c r="L1490" s="16"/>
      <c r="M1490" s="16"/>
      <c r="N1490" s="16"/>
      <c r="O1490" s="16"/>
    </row>
    <row r="1491" spans="1:15" ht="22.5" customHeight="1" thickTop="1" thickBot="1" x14ac:dyDescent="0.25">
      <c r="A1491" s="16"/>
      <c r="B1491" s="16"/>
      <c r="C1491" s="16"/>
      <c r="D1491" s="16"/>
      <c r="E1491" s="16"/>
      <c r="F1491" s="16"/>
      <c r="G1491" s="16"/>
      <c r="H1491" s="16"/>
      <c r="I1491" s="16"/>
      <c r="J1491" s="16"/>
      <c r="K1491" s="16"/>
      <c r="L1491" s="16"/>
      <c r="M1491" s="16"/>
      <c r="N1491" s="16"/>
      <c r="O1491" s="16"/>
    </row>
    <row r="1492" spans="1:15" ht="22.5" customHeight="1" thickTop="1" thickBot="1" x14ac:dyDescent="0.25">
      <c r="A1492" s="16"/>
      <c r="B1492" s="16"/>
      <c r="C1492" s="16"/>
      <c r="D1492" s="16"/>
      <c r="E1492" s="16"/>
      <c r="F1492" s="16"/>
      <c r="G1492" s="16"/>
      <c r="H1492" s="16"/>
      <c r="I1492" s="16"/>
      <c r="J1492" s="16"/>
      <c r="K1492" s="16"/>
      <c r="L1492" s="16"/>
      <c r="M1492" s="16"/>
      <c r="N1492" s="16"/>
      <c r="O1492" s="16"/>
    </row>
    <row r="1493" spans="1:15" ht="22.5" customHeight="1" thickTop="1" thickBot="1" x14ac:dyDescent="0.25">
      <c r="A1493" s="16"/>
      <c r="B1493" s="16"/>
      <c r="C1493" s="16"/>
      <c r="D1493" s="16"/>
      <c r="E1493" s="16"/>
      <c r="F1493" s="16"/>
      <c r="G1493" s="16"/>
      <c r="H1493" s="16"/>
      <c r="I1493" s="16"/>
      <c r="J1493" s="16"/>
      <c r="K1493" s="16"/>
      <c r="L1493" s="16"/>
      <c r="M1493" s="16"/>
      <c r="N1493" s="16"/>
      <c r="O1493" s="16"/>
    </row>
    <row r="1494" spans="1:15" ht="22.5" customHeight="1" thickTop="1" thickBot="1" x14ac:dyDescent="0.25">
      <c r="A1494" s="16"/>
      <c r="B1494" s="16"/>
      <c r="C1494" s="16"/>
      <c r="D1494" s="16"/>
      <c r="E1494" s="16"/>
      <c r="F1494" s="16"/>
      <c r="G1494" s="16"/>
      <c r="H1494" s="16"/>
      <c r="I1494" s="16"/>
      <c r="J1494" s="16"/>
      <c r="K1494" s="16"/>
      <c r="L1494" s="16"/>
      <c r="M1494" s="16"/>
      <c r="N1494" s="16"/>
      <c r="O1494" s="16"/>
    </row>
    <row r="1495" spans="1:15" ht="22.5" customHeight="1" thickTop="1" thickBot="1" x14ac:dyDescent="0.25">
      <c r="A1495" s="16"/>
      <c r="B1495" s="16"/>
      <c r="C1495" s="16"/>
      <c r="D1495" s="16"/>
      <c r="E1495" s="16"/>
      <c r="F1495" s="16"/>
      <c r="G1495" s="16"/>
      <c r="H1495" s="16"/>
      <c r="I1495" s="16"/>
      <c r="J1495" s="16"/>
      <c r="K1495" s="16"/>
      <c r="L1495" s="16"/>
      <c r="M1495" s="16"/>
      <c r="N1495" s="16"/>
      <c r="O1495" s="16"/>
    </row>
    <row r="1496" spans="1:15" ht="22.5" customHeight="1" thickTop="1" thickBot="1" x14ac:dyDescent="0.25">
      <c r="A1496" s="16"/>
      <c r="B1496" s="16"/>
      <c r="C1496" s="16"/>
      <c r="D1496" s="16"/>
      <c r="E1496" s="16"/>
      <c r="F1496" s="16"/>
      <c r="G1496" s="16"/>
      <c r="H1496" s="16"/>
      <c r="I1496" s="16"/>
      <c r="J1496" s="16"/>
      <c r="K1496" s="16"/>
      <c r="L1496" s="16"/>
      <c r="M1496" s="16"/>
      <c r="N1496" s="16"/>
      <c r="O1496" s="16"/>
    </row>
    <row r="1497" spans="1:15" ht="22.5" customHeight="1" thickTop="1" thickBot="1" x14ac:dyDescent="0.25">
      <c r="A1497" s="16"/>
      <c r="B1497" s="16"/>
      <c r="C1497" s="16"/>
      <c r="D1497" s="16"/>
      <c r="E1497" s="16"/>
      <c r="F1497" s="16"/>
      <c r="G1497" s="16"/>
      <c r="H1497" s="16"/>
      <c r="I1497" s="16"/>
      <c r="J1497" s="16"/>
      <c r="K1497" s="16"/>
      <c r="L1497" s="16"/>
      <c r="M1497" s="16"/>
      <c r="N1497" s="16"/>
      <c r="O1497" s="16"/>
    </row>
    <row r="1498" spans="1:15" ht="22.5" customHeight="1" thickTop="1" thickBot="1" x14ac:dyDescent="0.25">
      <c r="A1498" s="16"/>
      <c r="B1498" s="16"/>
      <c r="C1498" s="16"/>
      <c r="D1498" s="16"/>
      <c r="E1498" s="16"/>
      <c r="F1498" s="16"/>
      <c r="G1498" s="16"/>
      <c r="H1498" s="16"/>
      <c r="I1498" s="16"/>
      <c r="J1498" s="16"/>
      <c r="K1498" s="16"/>
      <c r="L1498" s="16"/>
      <c r="M1498" s="16"/>
      <c r="N1498" s="16"/>
      <c r="O1498" s="16"/>
    </row>
    <row r="1499" spans="1:15" ht="22.5" customHeight="1" thickTop="1" thickBot="1" x14ac:dyDescent="0.25">
      <c r="A1499" s="16"/>
      <c r="B1499" s="16"/>
      <c r="C1499" s="16"/>
      <c r="D1499" s="16"/>
      <c r="E1499" s="16"/>
      <c r="F1499" s="16"/>
      <c r="G1499" s="16"/>
      <c r="H1499" s="16"/>
      <c r="I1499" s="16"/>
      <c r="J1499" s="16"/>
      <c r="K1499" s="16"/>
      <c r="L1499" s="16"/>
      <c r="M1499" s="16"/>
      <c r="N1499" s="16"/>
      <c r="O1499" s="16"/>
    </row>
    <row r="1500" spans="1:15" ht="22.5" customHeight="1" thickTop="1" thickBot="1" x14ac:dyDescent="0.25">
      <c r="A1500" s="16"/>
      <c r="B1500" s="16"/>
      <c r="C1500" s="16"/>
      <c r="D1500" s="16"/>
      <c r="E1500" s="16"/>
      <c r="F1500" s="16"/>
      <c r="G1500" s="16"/>
      <c r="H1500" s="16"/>
      <c r="I1500" s="16"/>
      <c r="J1500" s="16"/>
      <c r="K1500" s="16"/>
      <c r="L1500" s="16"/>
      <c r="M1500" s="16"/>
      <c r="N1500" s="16"/>
      <c r="O1500" s="16"/>
    </row>
    <row r="1501" spans="1:15" ht="22.5" customHeight="1" thickTop="1" thickBot="1" x14ac:dyDescent="0.25">
      <c r="A1501" s="16"/>
      <c r="B1501" s="16"/>
      <c r="C1501" s="16"/>
      <c r="D1501" s="16"/>
      <c r="E1501" s="16"/>
      <c r="F1501" s="16"/>
      <c r="G1501" s="16"/>
      <c r="H1501" s="16"/>
      <c r="I1501" s="16"/>
      <c r="J1501" s="16"/>
      <c r="K1501" s="16"/>
      <c r="L1501" s="16"/>
      <c r="M1501" s="16"/>
      <c r="N1501" s="16"/>
      <c r="O1501" s="16"/>
    </row>
    <row r="1502" spans="1:15" ht="22.5" customHeight="1" thickTop="1" thickBot="1" x14ac:dyDescent="0.25">
      <c r="A1502" s="16"/>
      <c r="B1502" s="16"/>
      <c r="C1502" s="16"/>
      <c r="D1502" s="16"/>
      <c r="E1502" s="16"/>
      <c r="F1502" s="16"/>
      <c r="G1502" s="16"/>
      <c r="H1502" s="16"/>
      <c r="I1502" s="16"/>
      <c r="J1502" s="16"/>
      <c r="K1502" s="16"/>
      <c r="L1502" s="16"/>
      <c r="M1502" s="16"/>
      <c r="N1502" s="16"/>
      <c r="O1502" s="16"/>
    </row>
    <row r="1503" spans="1:15" ht="22.5" customHeight="1" thickTop="1" thickBot="1" x14ac:dyDescent="0.25">
      <c r="A1503" s="16"/>
      <c r="B1503" s="16"/>
      <c r="C1503" s="16"/>
      <c r="D1503" s="16"/>
      <c r="E1503" s="16"/>
      <c r="F1503" s="16"/>
      <c r="G1503" s="16"/>
      <c r="H1503" s="16"/>
      <c r="I1503" s="16"/>
      <c r="J1503" s="16"/>
      <c r="K1503" s="16"/>
      <c r="L1503" s="16"/>
      <c r="M1503" s="16"/>
      <c r="N1503" s="16"/>
      <c r="O1503" s="16"/>
    </row>
    <row r="1504" spans="1:15" ht="22.5" customHeight="1" thickTop="1" thickBot="1" x14ac:dyDescent="0.25">
      <c r="A1504" s="16"/>
      <c r="B1504" s="16"/>
      <c r="C1504" s="16"/>
      <c r="D1504" s="16"/>
      <c r="E1504" s="16"/>
      <c r="F1504" s="16"/>
      <c r="G1504" s="16"/>
      <c r="H1504" s="16"/>
      <c r="I1504" s="16"/>
      <c r="J1504" s="16"/>
      <c r="K1504" s="16"/>
      <c r="L1504" s="16"/>
      <c r="M1504" s="16"/>
      <c r="N1504" s="16"/>
      <c r="O1504" s="16"/>
    </row>
    <row r="1505" spans="1:15" ht="22.5" customHeight="1" thickTop="1" thickBot="1" x14ac:dyDescent="0.25">
      <c r="A1505" s="16"/>
      <c r="B1505" s="16"/>
      <c r="C1505" s="16"/>
      <c r="D1505" s="16"/>
      <c r="E1505" s="16"/>
      <c r="F1505" s="16"/>
      <c r="G1505" s="16"/>
      <c r="H1505" s="16"/>
      <c r="I1505" s="16"/>
      <c r="J1505" s="16"/>
      <c r="K1505" s="16"/>
      <c r="L1505" s="16"/>
      <c r="M1505" s="16"/>
      <c r="N1505" s="16"/>
      <c r="O1505" s="16"/>
    </row>
    <row r="1506" spans="1:15" ht="22.5" customHeight="1" thickTop="1" thickBot="1" x14ac:dyDescent="0.25">
      <c r="A1506" s="16"/>
      <c r="B1506" s="16"/>
      <c r="C1506" s="16"/>
      <c r="D1506" s="16"/>
      <c r="E1506" s="16"/>
      <c r="F1506" s="16"/>
      <c r="G1506" s="16"/>
      <c r="H1506" s="16"/>
      <c r="I1506" s="16"/>
      <c r="J1506" s="16"/>
      <c r="K1506" s="16"/>
      <c r="L1506" s="16"/>
      <c r="M1506" s="16"/>
      <c r="N1506" s="16"/>
      <c r="O1506" s="16"/>
    </row>
    <row r="1507" spans="1:15" ht="22.5" customHeight="1" thickTop="1" thickBot="1" x14ac:dyDescent="0.25">
      <c r="A1507" s="16"/>
      <c r="B1507" s="16"/>
      <c r="C1507" s="16"/>
      <c r="D1507" s="16"/>
      <c r="E1507" s="16"/>
      <c r="F1507" s="16"/>
      <c r="G1507" s="16"/>
      <c r="H1507" s="16"/>
      <c r="I1507" s="16"/>
      <c r="J1507" s="16"/>
      <c r="K1507" s="16"/>
      <c r="L1507" s="16"/>
      <c r="M1507" s="16"/>
      <c r="N1507" s="16"/>
      <c r="O1507" s="16"/>
    </row>
    <row r="1508" spans="1:15" ht="22.5" customHeight="1" thickTop="1" thickBot="1" x14ac:dyDescent="0.25">
      <c r="A1508" s="16"/>
      <c r="B1508" s="16"/>
      <c r="C1508" s="16"/>
      <c r="D1508" s="16"/>
      <c r="E1508" s="16"/>
      <c r="F1508" s="16"/>
      <c r="G1508" s="16"/>
      <c r="H1508" s="16"/>
      <c r="I1508" s="16"/>
      <c r="J1508" s="16"/>
      <c r="K1508" s="16"/>
      <c r="L1508" s="16"/>
      <c r="M1508" s="16"/>
      <c r="N1508" s="16"/>
      <c r="O1508" s="16"/>
    </row>
    <row r="1509" spans="1:15" ht="22.5" customHeight="1" thickTop="1" thickBot="1" x14ac:dyDescent="0.25">
      <c r="A1509" s="16"/>
      <c r="B1509" s="16"/>
      <c r="C1509" s="16"/>
      <c r="D1509" s="16"/>
      <c r="E1509" s="16"/>
      <c r="F1509" s="16"/>
      <c r="G1509" s="16"/>
      <c r="H1509" s="16"/>
      <c r="I1509" s="16"/>
      <c r="J1509" s="16"/>
      <c r="K1509" s="16"/>
      <c r="L1509" s="16"/>
      <c r="M1509" s="16"/>
      <c r="N1509" s="16"/>
      <c r="O1509" s="16"/>
    </row>
    <row r="1510" spans="1:15" ht="22.5" customHeight="1" thickTop="1" thickBot="1" x14ac:dyDescent="0.25">
      <c r="A1510" s="16"/>
      <c r="B1510" s="16"/>
      <c r="C1510" s="16"/>
      <c r="D1510" s="16"/>
      <c r="E1510" s="16"/>
      <c r="F1510" s="16"/>
      <c r="G1510" s="16"/>
      <c r="H1510" s="16"/>
      <c r="I1510" s="16"/>
      <c r="J1510" s="16"/>
      <c r="K1510" s="16"/>
      <c r="L1510" s="16"/>
      <c r="M1510" s="16"/>
      <c r="N1510" s="16"/>
      <c r="O1510" s="16"/>
    </row>
    <row r="1511" spans="1:15" ht="22.5" customHeight="1" thickTop="1" thickBot="1" x14ac:dyDescent="0.25">
      <c r="A1511" s="16"/>
      <c r="B1511" s="16"/>
      <c r="C1511" s="16"/>
      <c r="D1511" s="16"/>
      <c r="E1511" s="16"/>
      <c r="F1511" s="16"/>
      <c r="G1511" s="16"/>
      <c r="H1511" s="16"/>
      <c r="I1511" s="16"/>
      <c r="J1511" s="16"/>
      <c r="K1511" s="16"/>
      <c r="L1511" s="16"/>
      <c r="M1511" s="16"/>
      <c r="N1511" s="16"/>
      <c r="O1511" s="16"/>
    </row>
    <row r="1512" spans="1:15" ht="22.5" customHeight="1" thickTop="1" thickBot="1" x14ac:dyDescent="0.25">
      <c r="A1512" s="16"/>
      <c r="B1512" s="16"/>
      <c r="C1512" s="16"/>
      <c r="D1512" s="16"/>
      <c r="E1512" s="16"/>
      <c r="F1512" s="16"/>
      <c r="G1512" s="16"/>
      <c r="H1512" s="16"/>
      <c r="I1512" s="16"/>
      <c r="J1512" s="16"/>
      <c r="K1512" s="16"/>
      <c r="L1512" s="16"/>
      <c r="M1512" s="16"/>
      <c r="N1512" s="16"/>
      <c r="O1512" s="16"/>
    </row>
    <row r="1513" spans="1:15" ht="22.5" customHeight="1" thickTop="1" thickBot="1" x14ac:dyDescent="0.25">
      <c r="A1513" s="16"/>
      <c r="B1513" s="16"/>
      <c r="C1513" s="16"/>
      <c r="D1513" s="16"/>
      <c r="E1513" s="16"/>
      <c r="F1513" s="16"/>
      <c r="G1513" s="16"/>
      <c r="H1513" s="16"/>
      <c r="I1513" s="16"/>
      <c r="J1513" s="16"/>
      <c r="K1513" s="16"/>
      <c r="L1513" s="16"/>
      <c r="M1513" s="16"/>
      <c r="N1513" s="16"/>
      <c r="O1513" s="16"/>
    </row>
    <row r="1514" spans="1:15" ht="22.5" customHeight="1" thickTop="1" thickBot="1" x14ac:dyDescent="0.25">
      <c r="A1514" s="16"/>
      <c r="B1514" s="16"/>
      <c r="C1514" s="16"/>
      <c r="D1514" s="16"/>
      <c r="E1514" s="16"/>
      <c r="F1514" s="16"/>
      <c r="G1514" s="16"/>
      <c r="H1514" s="16"/>
      <c r="I1514" s="16"/>
      <c r="J1514" s="16"/>
      <c r="K1514" s="16"/>
      <c r="L1514" s="16"/>
      <c r="M1514" s="16"/>
      <c r="N1514" s="16"/>
      <c r="O1514" s="16"/>
    </row>
    <row r="1515" spans="1:15" ht="22.5" customHeight="1" thickTop="1" thickBot="1" x14ac:dyDescent="0.25">
      <c r="A1515" s="16"/>
      <c r="B1515" s="16"/>
      <c r="C1515" s="16"/>
      <c r="D1515" s="16"/>
      <c r="E1515" s="16"/>
      <c r="F1515" s="16"/>
      <c r="G1515" s="16"/>
      <c r="H1515" s="16"/>
      <c r="I1515" s="16"/>
      <c r="J1515" s="16"/>
      <c r="K1515" s="16"/>
      <c r="L1515" s="16"/>
      <c r="M1515" s="16"/>
      <c r="N1515" s="16"/>
      <c r="O1515" s="16"/>
    </row>
    <row r="1516" spans="1:15" ht="22.5" customHeight="1" thickTop="1" thickBot="1" x14ac:dyDescent="0.25">
      <c r="A1516" s="16"/>
      <c r="B1516" s="16"/>
      <c r="C1516" s="16"/>
      <c r="D1516" s="16"/>
      <c r="E1516" s="16"/>
      <c r="F1516" s="16"/>
      <c r="G1516" s="16"/>
      <c r="H1516" s="16"/>
      <c r="I1516" s="16"/>
      <c r="J1516" s="16"/>
      <c r="K1516" s="16"/>
      <c r="L1516" s="16"/>
      <c r="M1516" s="16"/>
      <c r="N1516" s="16"/>
      <c r="O1516" s="16"/>
    </row>
    <row r="1517" spans="1:15" ht="22.5" customHeight="1" thickTop="1" thickBot="1" x14ac:dyDescent="0.25">
      <c r="A1517" s="16"/>
      <c r="B1517" s="16"/>
      <c r="C1517" s="16"/>
      <c r="D1517" s="16"/>
      <c r="E1517" s="16"/>
      <c r="F1517" s="16"/>
      <c r="G1517" s="16"/>
      <c r="H1517" s="16"/>
      <c r="I1517" s="16"/>
      <c r="J1517" s="16"/>
      <c r="K1517" s="16"/>
      <c r="L1517" s="16"/>
      <c r="M1517" s="16"/>
      <c r="N1517" s="16"/>
      <c r="O1517" s="16"/>
    </row>
    <row r="1518" spans="1:15" ht="22.5" customHeight="1" thickTop="1" thickBot="1" x14ac:dyDescent="0.25">
      <c r="A1518" s="16"/>
      <c r="B1518" s="16"/>
      <c r="C1518" s="16"/>
      <c r="D1518" s="16"/>
      <c r="E1518" s="16"/>
      <c r="F1518" s="16"/>
      <c r="G1518" s="16"/>
      <c r="H1518" s="16"/>
      <c r="I1518" s="16"/>
      <c r="J1518" s="16"/>
      <c r="K1518" s="16"/>
      <c r="L1518" s="16"/>
      <c r="M1518" s="16"/>
      <c r="N1518" s="16"/>
      <c r="O1518" s="16"/>
    </row>
    <row r="1519" spans="1:15" ht="22.5" customHeight="1" thickTop="1" thickBot="1" x14ac:dyDescent="0.25">
      <c r="A1519" s="16"/>
      <c r="B1519" s="16"/>
      <c r="C1519" s="16"/>
      <c r="D1519" s="16"/>
      <c r="E1519" s="16"/>
      <c r="F1519" s="16"/>
      <c r="G1519" s="16"/>
      <c r="H1519" s="16"/>
      <c r="I1519" s="16"/>
      <c r="J1519" s="16"/>
      <c r="K1519" s="16"/>
      <c r="L1519" s="16"/>
      <c r="M1519" s="16"/>
      <c r="N1519" s="16"/>
      <c r="O1519" s="16"/>
    </row>
    <row r="1520" spans="1:15" ht="22.5" customHeight="1" thickTop="1" thickBot="1" x14ac:dyDescent="0.25">
      <c r="A1520" s="16"/>
      <c r="B1520" s="16"/>
      <c r="C1520" s="16"/>
      <c r="D1520" s="16"/>
      <c r="E1520" s="16"/>
      <c r="F1520" s="16"/>
      <c r="G1520" s="16"/>
      <c r="H1520" s="16"/>
      <c r="I1520" s="16"/>
      <c r="J1520" s="16"/>
      <c r="K1520" s="16"/>
      <c r="L1520" s="16"/>
      <c r="M1520" s="16"/>
      <c r="N1520" s="16"/>
      <c r="O1520" s="16"/>
    </row>
    <row r="1521" spans="1:15" ht="22.5" customHeight="1" thickTop="1" thickBot="1" x14ac:dyDescent="0.25">
      <c r="A1521" s="16"/>
      <c r="B1521" s="16"/>
      <c r="C1521" s="16"/>
      <c r="D1521" s="16"/>
      <c r="E1521" s="16"/>
      <c r="F1521" s="16"/>
      <c r="G1521" s="16"/>
      <c r="H1521" s="16"/>
      <c r="I1521" s="16"/>
      <c r="J1521" s="16"/>
      <c r="K1521" s="16"/>
      <c r="L1521" s="16"/>
      <c r="M1521" s="16"/>
      <c r="N1521" s="16"/>
      <c r="O1521" s="16"/>
    </row>
    <row r="1522" spans="1:15" ht="22.5" customHeight="1" thickTop="1" thickBot="1" x14ac:dyDescent="0.25">
      <c r="A1522" s="16"/>
      <c r="B1522" s="16"/>
      <c r="C1522" s="16"/>
      <c r="D1522" s="16"/>
      <c r="E1522" s="16"/>
      <c r="F1522" s="16"/>
      <c r="G1522" s="16"/>
      <c r="H1522" s="16"/>
      <c r="I1522" s="16"/>
      <c r="J1522" s="16"/>
      <c r="K1522" s="16"/>
      <c r="L1522" s="16"/>
      <c r="M1522" s="16"/>
      <c r="N1522" s="16"/>
      <c r="O1522" s="16"/>
    </row>
    <row r="1523" spans="1:15" ht="22.5" customHeight="1" thickTop="1" thickBot="1" x14ac:dyDescent="0.25">
      <c r="A1523" s="16"/>
      <c r="B1523" s="16"/>
      <c r="C1523" s="16"/>
      <c r="D1523" s="16"/>
      <c r="E1523" s="16"/>
      <c r="F1523" s="16"/>
      <c r="G1523" s="16"/>
      <c r="H1523" s="16"/>
      <c r="I1523" s="16"/>
      <c r="J1523" s="16"/>
      <c r="K1523" s="16"/>
      <c r="L1523" s="16"/>
      <c r="M1523" s="16"/>
      <c r="N1523" s="16"/>
      <c r="O1523" s="16"/>
    </row>
    <row r="1524" spans="1:15" ht="22.5" customHeight="1" thickTop="1" thickBot="1" x14ac:dyDescent="0.25">
      <c r="A1524" s="16"/>
      <c r="B1524" s="16"/>
      <c r="C1524" s="16"/>
      <c r="D1524" s="16"/>
      <c r="E1524" s="16"/>
      <c r="F1524" s="16"/>
      <c r="G1524" s="16"/>
      <c r="H1524" s="16"/>
      <c r="I1524" s="16"/>
      <c r="J1524" s="16"/>
      <c r="K1524" s="16"/>
      <c r="L1524" s="16"/>
      <c r="M1524" s="16"/>
      <c r="N1524" s="16"/>
      <c r="O1524" s="16"/>
    </row>
    <row r="1525" spans="1:15" ht="22.5" customHeight="1" thickTop="1" thickBot="1" x14ac:dyDescent="0.25">
      <c r="A1525" s="16"/>
      <c r="B1525" s="16"/>
      <c r="C1525" s="16"/>
      <c r="D1525" s="16"/>
      <c r="E1525" s="16"/>
      <c r="F1525" s="16"/>
      <c r="G1525" s="16"/>
      <c r="H1525" s="16"/>
      <c r="I1525" s="16"/>
      <c r="J1525" s="16"/>
      <c r="K1525" s="16"/>
      <c r="L1525" s="16"/>
      <c r="M1525" s="16"/>
      <c r="N1525" s="16"/>
      <c r="O1525" s="16"/>
    </row>
    <row r="1526" spans="1:15" ht="22.5" customHeight="1" thickTop="1" thickBot="1" x14ac:dyDescent="0.25">
      <c r="A1526" s="16"/>
      <c r="B1526" s="16"/>
      <c r="C1526" s="16"/>
      <c r="D1526" s="16"/>
      <c r="E1526" s="16"/>
      <c r="F1526" s="16"/>
      <c r="G1526" s="16"/>
      <c r="H1526" s="16"/>
      <c r="I1526" s="16"/>
      <c r="J1526" s="16"/>
      <c r="K1526" s="16"/>
      <c r="L1526" s="16"/>
      <c r="M1526" s="16"/>
      <c r="N1526" s="16"/>
      <c r="O1526" s="16"/>
    </row>
    <row r="1527" spans="1:15" ht="22.5" customHeight="1" thickTop="1" thickBot="1" x14ac:dyDescent="0.25">
      <c r="A1527" s="16"/>
      <c r="B1527" s="16"/>
      <c r="C1527" s="16"/>
      <c r="D1527" s="16"/>
      <c r="E1527" s="16"/>
      <c r="F1527" s="16"/>
      <c r="G1527" s="16"/>
      <c r="H1527" s="16"/>
      <c r="I1527" s="16"/>
      <c r="J1527" s="16"/>
      <c r="K1527" s="16"/>
      <c r="L1527" s="16"/>
      <c r="M1527" s="16"/>
      <c r="N1527" s="16"/>
      <c r="O1527" s="16"/>
    </row>
    <row r="1528" spans="1:15" ht="22.5" customHeight="1" thickTop="1" thickBot="1" x14ac:dyDescent="0.25">
      <c r="A1528" s="16"/>
      <c r="B1528" s="16"/>
      <c r="C1528" s="16"/>
      <c r="D1528" s="16"/>
      <c r="E1528" s="16"/>
      <c r="F1528" s="16"/>
      <c r="G1528" s="16"/>
      <c r="H1528" s="16"/>
      <c r="I1528" s="16"/>
      <c r="J1528" s="16"/>
      <c r="K1528" s="16"/>
      <c r="L1528" s="16"/>
      <c r="M1528" s="16"/>
      <c r="N1528" s="16"/>
      <c r="O1528" s="16"/>
    </row>
    <row r="1529" spans="1:15" ht="22.5" customHeight="1" thickTop="1" thickBot="1" x14ac:dyDescent="0.25">
      <c r="A1529" s="16"/>
      <c r="B1529" s="16"/>
      <c r="C1529" s="16"/>
      <c r="D1529" s="16"/>
      <c r="E1529" s="16"/>
      <c r="F1529" s="16"/>
      <c r="G1529" s="16"/>
      <c r="H1529" s="16"/>
      <c r="I1529" s="16"/>
      <c r="J1529" s="16"/>
      <c r="K1529" s="16"/>
      <c r="L1529" s="16"/>
      <c r="M1529" s="16"/>
      <c r="N1529" s="16"/>
      <c r="O1529" s="16"/>
    </row>
    <row r="1530" spans="1:15" ht="22.5" customHeight="1" thickTop="1" thickBot="1" x14ac:dyDescent="0.25">
      <c r="A1530" s="16"/>
      <c r="B1530" s="16"/>
      <c r="C1530" s="16"/>
      <c r="D1530" s="16"/>
      <c r="E1530" s="16"/>
      <c r="F1530" s="16"/>
      <c r="G1530" s="16"/>
      <c r="H1530" s="16"/>
      <c r="I1530" s="16"/>
      <c r="J1530" s="16"/>
      <c r="K1530" s="16"/>
      <c r="L1530" s="16"/>
      <c r="M1530" s="16"/>
      <c r="N1530" s="16"/>
      <c r="O1530" s="16"/>
    </row>
    <row r="1531" spans="1:15" ht="22.5" customHeight="1" thickTop="1" thickBot="1" x14ac:dyDescent="0.25">
      <c r="A1531" s="16"/>
      <c r="B1531" s="16"/>
      <c r="C1531" s="16"/>
      <c r="D1531" s="16"/>
      <c r="E1531" s="16"/>
      <c r="F1531" s="16"/>
      <c r="G1531" s="16"/>
      <c r="H1531" s="16"/>
      <c r="I1531" s="16"/>
      <c r="J1531" s="16"/>
      <c r="K1531" s="16"/>
      <c r="L1531" s="16"/>
      <c r="M1531" s="16"/>
      <c r="N1531" s="16"/>
      <c r="O1531" s="16"/>
    </row>
    <row r="1532" spans="1:15" ht="22.5" customHeight="1" thickTop="1" thickBot="1" x14ac:dyDescent="0.25">
      <c r="A1532" s="16"/>
      <c r="B1532" s="16"/>
      <c r="C1532" s="16"/>
      <c r="D1532" s="16"/>
      <c r="E1532" s="16"/>
      <c r="F1532" s="16"/>
      <c r="G1532" s="16"/>
      <c r="H1532" s="16"/>
      <c r="I1532" s="16"/>
      <c r="J1532" s="16"/>
      <c r="K1532" s="16"/>
      <c r="L1532" s="16"/>
      <c r="M1532" s="16"/>
      <c r="N1532" s="16"/>
      <c r="O1532" s="16"/>
    </row>
    <row r="1533" spans="1:15" ht="22.5" customHeight="1" thickTop="1" thickBot="1" x14ac:dyDescent="0.25">
      <c r="A1533" s="16"/>
      <c r="B1533" s="16"/>
      <c r="C1533" s="16"/>
      <c r="D1533" s="16"/>
      <c r="E1533" s="16"/>
      <c r="F1533" s="16"/>
      <c r="G1533" s="16"/>
      <c r="H1533" s="16"/>
      <c r="I1533" s="16"/>
      <c r="J1533" s="16"/>
      <c r="K1533" s="16"/>
      <c r="L1533" s="16"/>
      <c r="M1533" s="16"/>
      <c r="N1533" s="16"/>
      <c r="O1533" s="16"/>
    </row>
    <row r="1534" spans="1:15" ht="22.5" customHeight="1" thickTop="1" thickBot="1" x14ac:dyDescent="0.25">
      <c r="A1534" s="16"/>
      <c r="B1534" s="16"/>
      <c r="C1534" s="16"/>
      <c r="D1534" s="16"/>
      <c r="E1534" s="16"/>
      <c r="F1534" s="16"/>
      <c r="G1534" s="16"/>
      <c r="H1534" s="16"/>
      <c r="I1534" s="16"/>
      <c r="J1534" s="16"/>
      <c r="K1534" s="16"/>
      <c r="L1534" s="16"/>
      <c r="M1534" s="16"/>
      <c r="N1534" s="16"/>
      <c r="O1534" s="16"/>
    </row>
    <row r="1535" spans="1:15" ht="22.5" customHeight="1" thickTop="1" thickBot="1" x14ac:dyDescent="0.25">
      <c r="A1535" s="16"/>
      <c r="B1535" s="16"/>
      <c r="C1535" s="16"/>
      <c r="D1535" s="16"/>
      <c r="E1535" s="16"/>
      <c r="F1535" s="16"/>
      <c r="G1535" s="16"/>
      <c r="H1535" s="16"/>
      <c r="I1535" s="16"/>
      <c r="J1535" s="16"/>
      <c r="K1535" s="16"/>
      <c r="L1535" s="16"/>
      <c r="M1535" s="16"/>
      <c r="N1535" s="16"/>
      <c r="O1535" s="16"/>
    </row>
    <row r="1536" spans="1:15" ht="22.5" customHeight="1" thickTop="1" thickBot="1" x14ac:dyDescent="0.25">
      <c r="A1536" s="16"/>
      <c r="B1536" s="16"/>
      <c r="C1536" s="16"/>
      <c r="D1536" s="16"/>
      <c r="E1536" s="16"/>
      <c r="F1536" s="16"/>
      <c r="G1536" s="16"/>
      <c r="H1536" s="16"/>
      <c r="I1536" s="16"/>
      <c r="J1536" s="16"/>
      <c r="K1536" s="16"/>
      <c r="L1536" s="16"/>
      <c r="M1536" s="16"/>
      <c r="N1536" s="16"/>
      <c r="O1536" s="16"/>
    </row>
    <row r="1537" spans="1:15" ht="22.5" customHeight="1" thickTop="1" thickBot="1" x14ac:dyDescent="0.25">
      <c r="A1537" s="16"/>
      <c r="B1537" s="16"/>
      <c r="C1537" s="16"/>
      <c r="D1537" s="16"/>
      <c r="E1537" s="16"/>
      <c r="F1537" s="16"/>
      <c r="G1537" s="16"/>
      <c r="H1537" s="16"/>
      <c r="I1537" s="16"/>
      <c r="J1537" s="16"/>
      <c r="K1537" s="16"/>
      <c r="L1537" s="16"/>
      <c r="M1537" s="16"/>
      <c r="N1537" s="16"/>
      <c r="O1537" s="16"/>
    </row>
    <row r="1538" spans="1:15" ht="22.5" customHeight="1" thickTop="1" thickBot="1" x14ac:dyDescent="0.25">
      <c r="A1538" s="16"/>
      <c r="B1538" s="16"/>
      <c r="C1538" s="16"/>
      <c r="D1538" s="16"/>
      <c r="E1538" s="16"/>
      <c r="F1538" s="16"/>
      <c r="G1538" s="16"/>
      <c r="H1538" s="16"/>
      <c r="I1538" s="16"/>
      <c r="J1538" s="16"/>
      <c r="K1538" s="16"/>
      <c r="L1538" s="16"/>
      <c r="M1538" s="16"/>
      <c r="N1538" s="16"/>
      <c r="O1538" s="16"/>
    </row>
    <row r="1539" spans="1:15" ht="22.5" customHeight="1" thickTop="1" thickBot="1" x14ac:dyDescent="0.25">
      <c r="A1539" s="16"/>
      <c r="B1539" s="16"/>
      <c r="C1539" s="16"/>
      <c r="D1539" s="16"/>
      <c r="E1539" s="16"/>
      <c r="F1539" s="16"/>
      <c r="G1539" s="16"/>
      <c r="H1539" s="16"/>
      <c r="I1539" s="16"/>
      <c r="J1539" s="16"/>
      <c r="K1539" s="16"/>
      <c r="L1539" s="16"/>
      <c r="M1539" s="16"/>
      <c r="N1539" s="16"/>
      <c r="O1539" s="16"/>
    </row>
    <row r="1540" spans="1:15" ht="22.5" customHeight="1" thickTop="1" thickBot="1" x14ac:dyDescent="0.25">
      <c r="A1540" s="16"/>
      <c r="B1540" s="16"/>
      <c r="C1540" s="16"/>
      <c r="D1540" s="16"/>
      <c r="E1540" s="16"/>
      <c r="F1540" s="16"/>
      <c r="G1540" s="16"/>
      <c r="H1540" s="16"/>
      <c r="I1540" s="16"/>
      <c r="J1540" s="16"/>
      <c r="K1540" s="16"/>
      <c r="L1540" s="16"/>
      <c r="M1540" s="16"/>
      <c r="N1540" s="16"/>
      <c r="O1540" s="16"/>
    </row>
    <row r="1541" spans="1:15" ht="22.5" customHeight="1" thickTop="1" thickBot="1" x14ac:dyDescent="0.25">
      <c r="A1541" s="16"/>
      <c r="B1541" s="16"/>
      <c r="C1541" s="16"/>
      <c r="D1541" s="16"/>
      <c r="E1541" s="16"/>
      <c r="F1541" s="16"/>
      <c r="G1541" s="16"/>
      <c r="H1541" s="16"/>
      <c r="I1541" s="16"/>
      <c r="J1541" s="16"/>
      <c r="K1541" s="16"/>
      <c r="L1541" s="16"/>
      <c r="M1541" s="16"/>
      <c r="N1541" s="16"/>
      <c r="O1541" s="16"/>
    </row>
    <row r="1542" spans="1:15" ht="22.5" customHeight="1" thickTop="1" thickBot="1" x14ac:dyDescent="0.25">
      <c r="A1542" s="16"/>
      <c r="B1542" s="16"/>
      <c r="C1542" s="16"/>
      <c r="D1542" s="16"/>
      <c r="E1542" s="16"/>
      <c r="F1542" s="16"/>
      <c r="G1542" s="16"/>
      <c r="H1542" s="16"/>
      <c r="I1542" s="16"/>
      <c r="J1542" s="16"/>
      <c r="K1542" s="16"/>
      <c r="L1542" s="16"/>
      <c r="M1542" s="16"/>
      <c r="N1542" s="16"/>
      <c r="O1542" s="16"/>
    </row>
    <row r="1543" spans="1:15" ht="22.5" customHeight="1" thickTop="1" thickBot="1" x14ac:dyDescent="0.25">
      <c r="A1543" s="16"/>
      <c r="B1543" s="16"/>
      <c r="C1543" s="16"/>
      <c r="D1543" s="16"/>
      <c r="E1543" s="16"/>
      <c r="F1543" s="16"/>
      <c r="G1543" s="16"/>
      <c r="H1543" s="16"/>
      <c r="I1543" s="16"/>
      <c r="J1543" s="16"/>
      <c r="K1543" s="16"/>
      <c r="L1543" s="16"/>
      <c r="M1543" s="16"/>
      <c r="N1543" s="16"/>
      <c r="O1543" s="16"/>
    </row>
    <row r="1544" spans="1:15" ht="22.5" customHeight="1" thickTop="1" thickBot="1" x14ac:dyDescent="0.25">
      <c r="A1544" s="16"/>
      <c r="B1544" s="16"/>
      <c r="C1544" s="16"/>
      <c r="D1544" s="16"/>
      <c r="E1544" s="16"/>
      <c r="F1544" s="16"/>
      <c r="G1544" s="16"/>
      <c r="H1544" s="16"/>
      <c r="I1544" s="16"/>
      <c r="J1544" s="16"/>
      <c r="K1544" s="16"/>
      <c r="L1544" s="16"/>
      <c r="M1544" s="16"/>
      <c r="N1544" s="16"/>
      <c r="O1544" s="16"/>
    </row>
    <row r="1545" spans="1:15" ht="22.5" customHeight="1" thickTop="1" thickBot="1" x14ac:dyDescent="0.25">
      <c r="A1545" s="16"/>
      <c r="B1545" s="16"/>
      <c r="C1545" s="16"/>
      <c r="D1545" s="16"/>
      <c r="E1545" s="16"/>
      <c r="F1545" s="16"/>
      <c r="G1545" s="16"/>
      <c r="H1545" s="16"/>
      <c r="I1545" s="16"/>
      <c r="J1545" s="16"/>
      <c r="K1545" s="16"/>
      <c r="L1545" s="16"/>
      <c r="M1545" s="16"/>
      <c r="N1545" s="16"/>
      <c r="O1545" s="16"/>
    </row>
    <row r="1546" spans="1:15" ht="22.5" customHeight="1" thickTop="1" thickBot="1" x14ac:dyDescent="0.25">
      <c r="A1546" s="16"/>
      <c r="B1546" s="16"/>
      <c r="C1546" s="16"/>
      <c r="D1546" s="16"/>
      <c r="E1546" s="16"/>
      <c r="F1546" s="16"/>
      <c r="G1546" s="16"/>
      <c r="H1546" s="16"/>
      <c r="I1546" s="16"/>
      <c r="J1546" s="16"/>
      <c r="K1546" s="16"/>
      <c r="L1546" s="16"/>
      <c r="M1546" s="16"/>
      <c r="N1546" s="16"/>
      <c r="O1546" s="16"/>
    </row>
    <row r="1547" spans="1:15" ht="22.5" customHeight="1" thickTop="1" thickBot="1" x14ac:dyDescent="0.25">
      <c r="A1547" s="16"/>
      <c r="B1547" s="16"/>
      <c r="C1547" s="16"/>
      <c r="D1547" s="16"/>
      <c r="E1547" s="16"/>
      <c r="F1547" s="16"/>
      <c r="G1547" s="16"/>
      <c r="H1547" s="16"/>
      <c r="I1547" s="16"/>
      <c r="J1547" s="16"/>
      <c r="K1547" s="16"/>
      <c r="L1547" s="16"/>
      <c r="M1547" s="16"/>
      <c r="N1547" s="16"/>
      <c r="O1547" s="16"/>
    </row>
    <row r="1548" spans="1:15" ht="22.5" customHeight="1" thickTop="1" thickBot="1" x14ac:dyDescent="0.25">
      <c r="A1548" s="16"/>
      <c r="B1548" s="16"/>
      <c r="C1548" s="16"/>
      <c r="D1548" s="16"/>
      <c r="E1548" s="16"/>
      <c r="F1548" s="16"/>
      <c r="G1548" s="16"/>
      <c r="H1548" s="16"/>
      <c r="I1548" s="16"/>
      <c r="J1548" s="16"/>
      <c r="K1548" s="16"/>
      <c r="L1548" s="16"/>
      <c r="M1548" s="16"/>
      <c r="N1548" s="16"/>
      <c r="O1548" s="16"/>
    </row>
    <row r="1549" spans="1:15" ht="22.5" customHeight="1" thickTop="1" thickBot="1" x14ac:dyDescent="0.25">
      <c r="A1549" s="16"/>
      <c r="B1549" s="16"/>
      <c r="C1549" s="16"/>
      <c r="D1549" s="16"/>
      <c r="E1549" s="16"/>
      <c r="F1549" s="16"/>
      <c r="G1549" s="16"/>
      <c r="H1549" s="16"/>
      <c r="I1549" s="16"/>
      <c r="J1549" s="16"/>
      <c r="K1549" s="16"/>
      <c r="L1549" s="16"/>
      <c r="M1549" s="16"/>
      <c r="N1549" s="16"/>
      <c r="O1549" s="16"/>
    </row>
    <row r="1550" spans="1:15" ht="22.5" customHeight="1" thickTop="1" thickBot="1" x14ac:dyDescent="0.25">
      <c r="A1550" s="16"/>
      <c r="B1550" s="16"/>
      <c r="C1550" s="16"/>
      <c r="D1550" s="16"/>
      <c r="E1550" s="16"/>
      <c r="F1550" s="16"/>
      <c r="G1550" s="16"/>
      <c r="H1550" s="16"/>
      <c r="I1550" s="16"/>
      <c r="J1550" s="16"/>
      <c r="K1550" s="16"/>
      <c r="L1550" s="16"/>
      <c r="M1550" s="16"/>
      <c r="N1550" s="16"/>
      <c r="O1550" s="16"/>
    </row>
    <row r="1551" spans="1:15" ht="22.5" customHeight="1" thickTop="1" thickBot="1" x14ac:dyDescent="0.25">
      <c r="A1551" s="16"/>
      <c r="B1551" s="16"/>
      <c r="C1551" s="16"/>
      <c r="D1551" s="16"/>
      <c r="E1551" s="16"/>
      <c r="F1551" s="16"/>
      <c r="G1551" s="16"/>
      <c r="H1551" s="16"/>
      <c r="I1551" s="16"/>
      <c r="J1551" s="16"/>
      <c r="K1551" s="16"/>
      <c r="L1551" s="16"/>
      <c r="M1551" s="16"/>
      <c r="N1551" s="16"/>
      <c r="O1551" s="16"/>
    </row>
    <row r="1552" spans="1:15" ht="22.5" customHeight="1" thickTop="1" thickBot="1" x14ac:dyDescent="0.25">
      <c r="A1552" s="16"/>
      <c r="B1552" s="16"/>
      <c r="C1552" s="16"/>
      <c r="D1552" s="16"/>
      <c r="E1552" s="16"/>
      <c r="F1552" s="16"/>
      <c r="G1552" s="16"/>
      <c r="H1552" s="16"/>
      <c r="I1552" s="16"/>
      <c r="J1552" s="16"/>
      <c r="K1552" s="16"/>
      <c r="L1552" s="16"/>
      <c r="M1552" s="16"/>
      <c r="N1552" s="16"/>
      <c r="O1552" s="16"/>
    </row>
    <row r="1553" spans="1:15" ht="22.5" customHeight="1" thickTop="1" thickBot="1" x14ac:dyDescent="0.25">
      <c r="A1553" s="16"/>
      <c r="B1553" s="16"/>
      <c r="C1553" s="16"/>
      <c r="D1553" s="16"/>
      <c r="E1553" s="16"/>
      <c r="F1553" s="16"/>
      <c r="G1553" s="16"/>
      <c r="H1553" s="16"/>
      <c r="I1553" s="16"/>
      <c r="J1553" s="16"/>
      <c r="K1553" s="16"/>
      <c r="L1553" s="16"/>
      <c r="M1553" s="16"/>
      <c r="N1553" s="16"/>
      <c r="O1553" s="16"/>
    </row>
    <row r="1554" spans="1:15" ht="22.5" customHeight="1" thickTop="1" thickBot="1" x14ac:dyDescent="0.25">
      <c r="A1554" s="16"/>
      <c r="B1554" s="16"/>
      <c r="C1554" s="16"/>
      <c r="D1554" s="16"/>
      <c r="E1554" s="16"/>
      <c r="F1554" s="16"/>
      <c r="G1554" s="16"/>
      <c r="H1554" s="16"/>
      <c r="I1554" s="16"/>
      <c r="J1554" s="16"/>
      <c r="K1554" s="16"/>
      <c r="L1554" s="16"/>
      <c r="M1554" s="16"/>
      <c r="N1554" s="16"/>
      <c r="O1554" s="16"/>
    </row>
    <row r="1555" spans="1:15" ht="22.5" customHeight="1" thickTop="1" thickBot="1" x14ac:dyDescent="0.25">
      <c r="A1555" s="16"/>
      <c r="B1555" s="16"/>
      <c r="C1555" s="16"/>
      <c r="D1555" s="16"/>
      <c r="E1555" s="16"/>
      <c r="F1555" s="16"/>
      <c r="G1555" s="16"/>
      <c r="H1555" s="16"/>
      <c r="I1555" s="16"/>
      <c r="J1555" s="16"/>
      <c r="K1555" s="16"/>
      <c r="L1555" s="16"/>
      <c r="M1555" s="16"/>
      <c r="N1555" s="16"/>
      <c r="O1555" s="16"/>
    </row>
    <row r="1556" spans="1:15" ht="22.5" customHeight="1" thickTop="1" thickBot="1" x14ac:dyDescent="0.25">
      <c r="A1556" s="16"/>
      <c r="B1556" s="16"/>
      <c r="C1556" s="16"/>
      <c r="D1556" s="16"/>
      <c r="E1556" s="16"/>
      <c r="F1556" s="16"/>
      <c r="G1556" s="16"/>
      <c r="H1556" s="16"/>
      <c r="I1556" s="16"/>
      <c r="J1556" s="16"/>
      <c r="K1556" s="16"/>
      <c r="L1556" s="16"/>
      <c r="M1556" s="16"/>
      <c r="N1556" s="16"/>
      <c r="O1556" s="16"/>
    </row>
    <row r="1557" spans="1:15" ht="22.5" customHeight="1" thickTop="1" thickBot="1" x14ac:dyDescent="0.25">
      <c r="A1557" s="16"/>
      <c r="B1557" s="16"/>
      <c r="C1557" s="16"/>
      <c r="D1557" s="16"/>
      <c r="E1557" s="16"/>
      <c r="F1557" s="16"/>
      <c r="G1557" s="16"/>
      <c r="H1557" s="16"/>
      <c r="I1557" s="16"/>
      <c r="J1557" s="16"/>
      <c r="K1557" s="16"/>
      <c r="L1557" s="16"/>
      <c r="M1557" s="16"/>
      <c r="N1557" s="16"/>
      <c r="O1557" s="16"/>
    </row>
    <row r="1558" spans="1:15" ht="22.5" customHeight="1" thickTop="1" thickBot="1" x14ac:dyDescent="0.25">
      <c r="A1558" s="16"/>
      <c r="B1558" s="16"/>
      <c r="C1558" s="16"/>
      <c r="D1558" s="16"/>
      <c r="E1558" s="16"/>
      <c r="F1558" s="16"/>
      <c r="G1558" s="16"/>
      <c r="H1558" s="16"/>
      <c r="I1558" s="16"/>
      <c r="J1558" s="16"/>
      <c r="K1558" s="16"/>
      <c r="L1558" s="16"/>
      <c r="M1558" s="16"/>
      <c r="N1558" s="16"/>
      <c r="O1558" s="16"/>
    </row>
    <row r="1559" spans="1:15" ht="22.5" customHeight="1" thickTop="1" thickBot="1" x14ac:dyDescent="0.25">
      <c r="A1559" s="16"/>
      <c r="B1559" s="16"/>
      <c r="C1559" s="16"/>
      <c r="D1559" s="16"/>
      <c r="E1559" s="16"/>
      <c r="F1559" s="16"/>
      <c r="G1559" s="16"/>
      <c r="H1559" s="16"/>
      <c r="I1559" s="16"/>
      <c r="J1559" s="16"/>
      <c r="K1559" s="16"/>
      <c r="L1559" s="16"/>
      <c r="M1559" s="16"/>
      <c r="N1559" s="16"/>
      <c r="O1559" s="16"/>
    </row>
    <row r="1560" spans="1:15" ht="22.5" customHeight="1" thickTop="1" thickBot="1" x14ac:dyDescent="0.25">
      <c r="A1560" s="16"/>
      <c r="B1560" s="16"/>
      <c r="C1560" s="16"/>
      <c r="D1560" s="16"/>
      <c r="E1560" s="16"/>
      <c r="F1560" s="16"/>
      <c r="G1560" s="16"/>
      <c r="H1560" s="16"/>
      <c r="I1560" s="16"/>
      <c r="J1560" s="16"/>
      <c r="K1560" s="16"/>
      <c r="L1560" s="16"/>
      <c r="M1560" s="16"/>
      <c r="N1560" s="16"/>
      <c r="O1560" s="16"/>
    </row>
    <row r="1561" spans="1:15" ht="22.5" customHeight="1" thickTop="1" thickBot="1" x14ac:dyDescent="0.25">
      <c r="A1561" s="16"/>
      <c r="B1561" s="16"/>
      <c r="C1561" s="16"/>
      <c r="D1561" s="16"/>
      <c r="E1561" s="16"/>
      <c r="F1561" s="16"/>
      <c r="G1561" s="16"/>
      <c r="H1561" s="16"/>
      <c r="I1561" s="16"/>
      <c r="J1561" s="16"/>
      <c r="K1561" s="16"/>
      <c r="L1561" s="16"/>
      <c r="M1561" s="16"/>
      <c r="N1561" s="16"/>
      <c r="O1561" s="16"/>
    </row>
    <row r="1562" spans="1:15" ht="22.5" customHeight="1" thickTop="1" thickBot="1" x14ac:dyDescent="0.25">
      <c r="A1562" s="16"/>
      <c r="B1562" s="16"/>
      <c r="C1562" s="16"/>
      <c r="D1562" s="16"/>
      <c r="E1562" s="16"/>
      <c r="F1562" s="16"/>
      <c r="G1562" s="16"/>
      <c r="H1562" s="16"/>
      <c r="I1562" s="16"/>
      <c r="J1562" s="16"/>
      <c r="K1562" s="16"/>
      <c r="L1562" s="16"/>
      <c r="M1562" s="16"/>
      <c r="N1562" s="16"/>
      <c r="O1562" s="16"/>
    </row>
    <row r="1563" spans="1:15" ht="22.5" customHeight="1" thickTop="1" thickBot="1" x14ac:dyDescent="0.25">
      <c r="A1563" s="16"/>
      <c r="B1563" s="16"/>
      <c r="C1563" s="16"/>
      <c r="D1563" s="16"/>
      <c r="E1563" s="16"/>
      <c r="F1563" s="16"/>
      <c r="G1563" s="16"/>
      <c r="H1563" s="16"/>
      <c r="I1563" s="16"/>
      <c r="J1563" s="16"/>
      <c r="K1563" s="16"/>
      <c r="L1563" s="16"/>
      <c r="M1563" s="16"/>
      <c r="N1563" s="16"/>
      <c r="O1563" s="16"/>
    </row>
    <row r="1564" spans="1:15" ht="22.5" customHeight="1" thickTop="1" thickBot="1" x14ac:dyDescent="0.25">
      <c r="A1564" s="16"/>
      <c r="B1564" s="16"/>
      <c r="C1564" s="16"/>
      <c r="D1564" s="16"/>
      <c r="E1564" s="16"/>
      <c r="F1564" s="16"/>
      <c r="G1564" s="16"/>
      <c r="H1564" s="16"/>
      <c r="I1564" s="16"/>
      <c r="J1564" s="16"/>
      <c r="K1564" s="16"/>
      <c r="L1564" s="16"/>
      <c r="M1564" s="16"/>
      <c r="N1564" s="16"/>
      <c r="O1564" s="16"/>
    </row>
    <row r="1565" spans="1:15" ht="22.5" customHeight="1" thickTop="1" thickBot="1" x14ac:dyDescent="0.25">
      <c r="A1565" s="16"/>
      <c r="B1565" s="16"/>
      <c r="C1565" s="16"/>
      <c r="D1565" s="16"/>
      <c r="E1565" s="16"/>
      <c r="F1565" s="16"/>
      <c r="G1565" s="16"/>
      <c r="H1565" s="16"/>
      <c r="I1565" s="16"/>
      <c r="J1565" s="16"/>
      <c r="K1565" s="16"/>
      <c r="L1565" s="16"/>
      <c r="M1565" s="16"/>
      <c r="N1565" s="16"/>
      <c r="O1565" s="16"/>
    </row>
    <row r="1566" spans="1:15" ht="22.5" customHeight="1" thickTop="1" thickBot="1" x14ac:dyDescent="0.25">
      <c r="A1566" s="16"/>
      <c r="B1566" s="16"/>
      <c r="C1566" s="16"/>
      <c r="D1566" s="16"/>
      <c r="E1566" s="16"/>
      <c r="F1566" s="16"/>
      <c r="G1566" s="16"/>
      <c r="H1566" s="16"/>
      <c r="I1566" s="16"/>
      <c r="J1566" s="16"/>
      <c r="K1566" s="16"/>
      <c r="L1566" s="16"/>
      <c r="M1566" s="16"/>
      <c r="N1566" s="16"/>
      <c r="O1566" s="16"/>
    </row>
    <row r="1567" spans="1:15" ht="22.5" customHeight="1" thickTop="1" thickBot="1" x14ac:dyDescent="0.25">
      <c r="A1567" s="16"/>
      <c r="B1567" s="16"/>
      <c r="C1567" s="16"/>
      <c r="D1567" s="16"/>
      <c r="E1567" s="16"/>
      <c r="F1567" s="16"/>
      <c r="G1567" s="16"/>
      <c r="H1567" s="16"/>
      <c r="I1567" s="16"/>
      <c r="J1567" s="16"/>
      <c r="K1567" s="16"/>
      <c r="L1567" s="16"/>
      <c r="M1567" s="16"/>
      <c r="N1567" s="16"/>
      <c r="O1567" s="16"/>
    </row>
    <row r="1568" spans="1:15" ht="22.5" customHeight="1" thickTop="1" thickBot="1" x14ac:dyDescent="0.25">
      <c r="A1568" s="16"/>
      <c r="B1568" s="16"/>
      <c r="C1568" s="16"/>
      <c r="D1568" s="16"/>
      <c r="E1568" s="16"/>
      <c r="F1568" s="16"/>
      <c r="G1568" s="16"/>
      <c r="H1568" s="16"/>
      <c r="I1568" s="16"/>
      <c r="J1568" s="16"/>
      <c r="K1568" s="16"/>
      <c r="L1568" s="16"/>
      <c r="M1568" s="16"/>
      <c r="N1568" s="16"/>
      <c r="O1568" s="16"/>
    </row>
    <row r="1569" spans="1:15" ht="22.5" customHeight="1" thickTop="1" thickBot="1" x14ac:dyDescent="0.25">
      <c r="A1569" s="16"/>
      <c r="B1569" s="16"/>
      <c r="C1569" s="16"/>
      <c r="D1569" s="16"/>
      <c r="E1569" s="16"/>
      <c r="F1569" s="16"/>
      <c r="G1569" s="16"/>
      <c r="H1569" s="16"/>
      <c r="I1569" s="16"/>
      <c r="J1569" s="16"/>
      <c r="K1569" s="16"/>
      <c r="L1569" s="16"/>
      <c r="M1569" s="16"/>
      <c r="N1569" s="16"/>
      <c r="O1569" s="16"/>
    </row>
    <row r="1570" spans="1:15" ht="22.5" customHeight="1" thickTop="1" thickBot="1" x14ac:dyDescent="0.25">
      <c r="A1570" s="16"/>
      <c r="B1570" s="16"/>
      <c r="C1570" s="16"/>
      <c r="D1570" s="16"/>
      <c r="E1570" s="16"/>
      <c r="F1570" s="16"/>
      <c r="G1570" s="16"/>
      <c r="H1570" s="16"/>
      <c r="I1570" s="16"/>
      <c r="J1570" s="16"/>
      <c r="K1570" s="16"/>
      <c r="L1570" s="16"/>
      <c r="M1570" s="16"/>
      <c r="N1570" s="16"/>
      <c r="O1570" s="16"/>
    </row>
    <row r="1571" spans="1:15" ht="22.5" customHeight="1" thickTop="1" thickBot="1" x14ac:dyDescent="0.25">
      <c r="A1571" s="16"/>
      <c r="B1571" s="16"/>
      <c r="C1571" s="16"/>
      <c r="D1571" s="16"/>
      <c r="E1571" s="16"/>
      <c r="F1571" s="16"/>
      <c r="G1571" s="16"/>
      <c r="H1571" s="16"/>
      <c r="I1571" s="16"/>
      <c r="J1571" s="16"/>
      <c r="K1571" s="16"/>
      <c r="L1571" s="16"/>
      <c r="M1571" s="16"/>
      <c r="N1571" s="16"/>
      <c r="O1571" s="16"/>
    </row>
    <row r="1572" spans="1:15" ht="22.5" customHeight="1" thickTop="1" thickBot="1" x14ac:dyDescent="0.25">
      <c r="A1572" s="16"/>
      <c r="B1572" s="16"/>
      <c r="C1572" s="16"/>
      <c r="D1572" s="16"/>
      <c r="E1572" s="16"/>
      <c r="F1572" s="16"/>
      <c r="G1572" s="16"/>
      <c r="H1572" s="16"/>
      <c r="I1572" s="16"/>
      <c r="J1572" s="16"/>
      <c r="K1572" s="16"/>
      <c r="L1572" s="16"/>
      <c r="M1572" s="16"/>
      <c r="N1572" s="16"/>
      <c r="O1572" s="16"/>
    </row>
    <row r="1573" spans="1:15" ht="22.5" customHeight="1" thickTop="1" thickBot="1" x14ac:dyDescent="0.25">
      <c r="A1573" s="16"/>
      <c r="B1573" s="16"/>
      <c r="C1573" s="16"/>
      <c r="D1573" s="16"/>
      <c r="E1573" s="16"/>
      <c r="F1573" s="16"/>
      <c r="G1573" s="16"/>
      <c r="H1573" s="16"/>
      <c r="I1573" s="16"/>
      <c r="J1573" s="16"/>
      <c r="K1573" s="16"/>
      <c r="L1573" s="16"/>
      <c r="M1573" s="16"/>
      <c r="N1573" s="16"/>
      <c r="O1573" s="16"/>
    </row>
    <row r="1574" spans="1:15" ht="22.5" customHeight="1" thickTop="1" thickBot="1" x14ac:dyDescent="0.25">
      <c r="A1574" s="16"/>
      <c r="B1574" s="16"/>
      <c r="C1574" s="16"/>
      <c r="D1574" s="16"/>
      <c r="E1574" s="16"/>
      <c r="F1574" s="16"/>
      <c r="G1574" s="16"/>
      <c r="H1574" s="16"/>
      <c r="I1574" s="16"/>
      <c r="J1574" s="16"/>
      <c r="K1574" s="16"/>
      <c r="L1574" s="16"/>
      <c r="M1574" s="16"/>
      <c r="N1574" s="16"/>
      <c r="O1574" s="16"/>
    </row>
    <row r="1575" spans="1:15" ht="22.5" customHeight="1" thickTop="1" thickBot="1" x14ac:dyDescent="0.25">
      <c r="A1575" s="16"/>
      <c r="B1575" s="16"/>
      <c r="C1575" s="16"/>
      <c r="D1575" s="16"/>
      <c r="E1575" s="16"/>
      <c r="F1575" s="16"/>
      <c r="G1575" s="16"/>
      <c r="H1575" s="16"/>
      <c r="I1575" s="16"/>
      <c r="J1575" s="16"/>
      <c r="K1575" s="16"/>
      <c r="L1575" s="16"/>
      <c r="M1575" s="16"/>
      <c r="N1575" s="16"/>
      <c r="O1575" s="16"/>
    </row>
    <row r="1576" spans="1:15" ht="22.5" customHeight="1" thickTop="1" thickBot="1" x14ac:dyDescent="0.25">
      <c r="A1576" s="16"/>
      <c r="B1576" s="16"/>
      <c r="C1576" s="16"/>
      <c r="D1576" s="16"/>
      <c r="E1576" s="16"/>
      <c r="F1576" s="16"/>
      <c r="G1576" s="16"/>
      <c r="H1576" s="16"/>
      <c r="I1576" s="16"/>
      <c r="J1576" s="16"/>
      <c r="K1576" s="16"/>
      <c r="L1576" s="16"/>
      <c r="M1576" s="16"/>
      <c r="N1576" s="16"/>
      <c r="O1576" s="16"/>
    </row>
    <row r="1577" spans="1:15" ht="22.5" customHeight="1" thickTop="1" thickBot="1" x14ac:dyDescent="0.25">
      <c r="A1577" s="16"/>
      <c r="B1577" s="16"/>
      <c r="C1577" s="16"/>
      <c r="D1577" s="16"/>
      <c r="E1577" s="16"/>
      <c r="F1577" s="16"/>
      <c r="G1577" s="16"/>
      <c r="H1577" s="16"/>
      <c r="I1577" s="16"/>
      <c r="J1577" s="16"/>
      <c r="K1577" s="16"/>
      <c r="L1577" s="16"/>
      <c r="M1577" s="16"/>
      <c r="N1577" s="16"/>
      <c r="O1577" s="16"/>
    </row>
    <row r="1578" spans="1:15" ht="22.5" customHeight="1" thickTop="1" thickBot="1" x14ac:dyDescent="0.25">
      <c r="A1578" s="16"/>
      <c r="B1578" s="16"/>
      <c r="C1578" s="16"/>
      <c r="D1578" s="16"/>
      <c r="E1578" s="16"/>
      <c r="F1578" s="16"/>
      <c r="G1578" s="16"/>
      <c r="H1578" s="16"/>
      <c r="I1578" s="16"/>
      <c r="J1578" s="16"/>
      <c r="K1578" s="16"/>
      <c r="L1578" s="16"/>
      <c r="M1578" s="16"/>
      <c r="N1578" s="16"/>
      <c r="O1578" s="16"/>
    </row>
    <row r="1579" spans="1:15" ht="22.5" customHeight="1" thickTop="1" thickBot="1" x14ac:dyDescent="0.25">
      <c r="A1579" s="16"/>
      <c r="B1579" s="16"/>
      <c r="C1579" s="16"/>
      <c r="D1579" s="16"/>
      <c r="E1579" s="16"/>
      <c r="F1579" s="16"/>
      <c r="G1579" s="16"/>
      <c r="H1579" s="16"/>
      <c r="I1579" s="16"/>
      <c r="J1579" s="16"/>
      <c r="K1579" s="16"/>
      <c r="L1579" s="16"/>
      <c r="M1579" s="16"/>
      <c r="N1579" s="16"/>
      <c r="O1579" s="16"/>
    </row>
    <row r="1580" spans="1:15" ht="22.5" customHeight="1" thickTop="1" thickBot="1" x14ac:dyDescent="0.25">
      <c r="A1580" s="16"/>
      <c r="B1580" s="16"/>
      <c r="C1580" s="16"/>
      <c r="D1580" s="16"/>
      <c r="E1580" s="16"/>
      <c r="F1580" s="16"/>
      <c r="G1580" s="16"/>
      <c r="H1580" s="16"/>
      <c r="I1580" s="16"/>
      <c r="J1580" s="16"/>
      <c r="K1580" s="16"/>
      <c r="L1580" s="16"/>
      <c r="M1580" s="16"/>
      <c r="N1580" s="16"/>
      <c r="O1580" s="16"/>
    </row>
    <row r="1581" spans="1:15" ht="22.5" customHeight="1" thickTop="1" thickBot="1" x14ac:dyDescent="0.25">
      <c r="A1581" s="16"/>
      <c r="B1581" s="16"/>
      <c r="C1581" s="16"/>
      <c r="D1581" s="16"/>
      <c r="E1581" s="16"/>
      <c r="F1581" s="16"/>
      <c r="G1581" s="16"/>
      <c r="H1581" s="16"/>
      <c r="I1581" s="16"/>
      <c r="J1581" s="16"/>
      <c r="K1581" s="16"/>
      <c r="L1581" s="16"/>
      <c r="M1581" s="16"/>
      <c r="N1581" s="16"/>
      <c r="O1581" s="16"/>
    </row>
    <row r="1582" spans="1:15" ht="22.5" customHeight="1" thickTop="1" thickBot="1" x14ac:dyDescent="0.25">
      <c r="A1582" s="16"/>
      <c r="B1582" s="16"/>
      <c r="C1582" s="16"/>
      <c r="D1582" s="16"/>
      <c r="E1582" s="16"/>
      <c r="F1582" s="16"/>
      <c r="G1582" s="16"/>
      <c r="H1582" s="16"/>
      <c r="I1582" s="16"/>
      <c r="J1582" s="16"/>
      <c r="K1582" s="16"/>
      <c r="L1582" s="16"/>
      <c r="M1582" s="16"/>
      <c r="N1582" s="16"/>
      <c r="O1582" s="16"/>
    </row>
    <row r="1583" spans="1:15" ht="22.5" customHeight="1" thickTop="1" thickBot="1" x14ac:dyDescent="0.25">
      <c r="A1583" s="16"/>
      <c r="B1583" s="16"/>
      <c r="C1583" s="16"/>
      <c r="D1583" s="16"/>
      <c r="E1583" s="16"/>
      <c r="F1583" s="16"/>
      <c r="G1583" s="16"/>
      <c r="H1583" s="16"/>
      <c r="I1583" s="16"/>
      <c r="J1583" s="16"/>
      <c r="K1583" s="16"/>
      <c r="L1583" s="16"/>
      <c r="M1583" s="16"/>
      <c r="N1583" s="16"/>
      <c r="O1583" s="16"/>
    </row>
    <row r="1584" spans="1:15" ht="22.5" customHeight="1" thickTop="1" thickBot="1" x14ac:dyDescent="0.25">
      <c r="A1584" s="16"/>
      <c r="B1584" s="16"/>
      <c r="C1584" s="16"/>
      <c r="D1584" s="16"/>
      <c r="E1584" s="16"/>
      <c r="F1584" s="16"/>
      <c r="G1584" s="16"/>
      <c r="H1584" s="16"/>
      <c r="I1584" s="16"/>
      <c r="J1584" s="16"/>
      <c r="K1584" s="16"/>
      <c r="L1584" s="16"/>
      <c r="M1584" s="16"/>
      <c r="N1584" s="16"/>
      <c r="O1584" s="16"/>
    </row>
    <row r="1585" spans="1:15" ht="22.5" customHeight="1" thickTop="1" thickBot="1" x14ac:dyDescent="0.25">
      <c r="A1585" s="16"/>
      <c r="B1585" s="16"/>
      <c r="C1585" s="16"/>
      <c r="D1585" s="16"/>
      <c r="E1585" s="16"/>
      <c r="F1585" s="16"/>
      <c r="G1585" s="16"/>
      <c r="H1585" s="16"/>
      <c r="I1585" s="16"/>
      <c r="J1585" s="16"/>
      <c r="K1585" s="16"/>
      <c r="L1585" s="16"/>
      <c r="M1585" s="16"/>
      <c r="N1585" s="16"/>
      <c r="O1585" s="16"/>
    </row>
    <row r="1586" spans="1:15" ht="22.5" customHeight="1" thickTop="1" thickBot="1" x14ac:dyDescent="0.25">
      <c r="A1586" s="16"/>
      <c r="B1586" s="16"/>
      <c r="C1586" s="16"/>
      <c r="D1586" s="16"/>
      <c r="E1586" s="16"/>
      <c r="F1586" s="16"/>
      <c r="G1586" s="16"/>
      <c r="H1586" s="16"/>
      <c r="I1586" s="16"/>
      <c r="J1586" s="16"/>
      <c r="K1586" s="16"/>
      <c r="L1586" s="16"/>
      <c r="M1586" s="16"/>
      <c r="N1586" s="16"/>
      <c r="O1586" s="16"/>
    </row>
    <row r="1587" spans="1:15" ht="22.5" customHeight="1" thickTop="1" thickBot="1" x14ac:dyDescent="0.25">
      <c r="A1587" s="16"/>
      <c r="B1587" s="16"/>
      <c r="C1587" s="16"/>
      <c r="D1587" s="16"/>
      <c r="E1587" s="16"/>
      <c r="F1587" s="16"/>
      <c r="G1587" s="16"/>
      <c r="H1587" s="16"/>
      <c r="I1587" s="16"/>
      <c r="J1587" s="16"/>
      <c r="K1587" s="16"/>
      <c r="L1587" s="16"/>
      <c r="M1587" s="16"/>
      <c r="N1587" s="16"/>
      <c r="O1587" s="16"/>
    </row>
    <row r="1588" spans="1:15" ht="22.5" customHeight="1" thickTop="1" thickBot="1" x14ac:dyDescent="0.25">
      <c r="A1588" s="16"/>
      <c r="B1588" s="16"/>
      <c r="C1588" s="16"/>
      <c r="D1588" s="16"/>
      <c r="E1588" s="16"/>
      <c r="F1588" s="16"/>
      <c r="G1588" s="16"/>
      <c r="H1588" s="16"/>
      <c r="I1588" s="16"/>
      <c r="J1588" s="16"/>
      <c r="K1588" s="16"/>
      <c r="L1588" s="16"/>
      <c r="M1588" s="16"/>
      <c r="N1588" s="16"/>
      <c r="O1588" s="16"/>
    </row>
    <row r="1589" spans="1:15" ht="22.5" customHeight="1" thickTop="1" thickBot="1" x14ac:dyDescent="0.25">
      <c r="A1589" s="16"/>
      <c r="B1589" s="16"/>
      <c r="C1589" s="16"/>
      <c r="D1589" s="16"/>
      <c r="E1589" s="16"/>
      <c r="F1589" s="16"/>
      <c r="G1589" s="16"/>
      <c r="H1589" s="16"/>
      <c r="I1589" s="16"/>
      <c r="J1589" s="16"/>
      <c r="K1589" s="16"/>
      <c r="L1589" s="16"/>
      <c r="M1589" s="16"/>
      <c r="N1589" s="16"/>
      <c r="O1589" s="16"/>
    </row>
    <row r="1590" spans="1:15" ht="22.5" customHeight="1" thickTop="1" thickBot="1" x14ac:dyDescent="0.25">
      <c r="A1590" s="16"/>
      <c r="B1590" s="16"/>
      <c r="C1590" s="16"/>
      <c r="D1590" s="16"/>
      <c r="E1590" s="16"/>
      <c r="F1590" s="16"/>
      <c r="G1590" s="16"/>
      <c r="H1590" s="16"/>
      <c r="I1590" s="16"/>
      <c r="J1590" s="16"/>
      <c r="K1590" s="16"/>
      <c r="L1590" s="16"/>
      <c r="M1590" s="16"/>
      <c r="N1590" s="16"/>
      <c r="O1590" s="16"/>
    </row>
    <row r="1591" spans="1:15" ht="22.5" customHeight="1" thickTop="1" thickBot="1" x14ac:dyDescent="0.25">
      <c r="A1591" s="16"/>
      <c r="B1591" s="16"/>
      <c r="C1591" s="16"/>
      <c r="D1591" s="16"/>
      <c r="E1591" s="16"/>
      <c r="F1591" s="16"/>
      <c r="G1591" s="16"/>
      <c r="H1591" s="16"/>
      <c r="I1591" s="16"/>
      <c r="J1591" s="16"/>
      <c r="K1591" s="16"/>
      <c r="L1591" s="16"/>
      <c r="M1591" s="16"/>
      <c r="N1591" s="16"/>
      <c r="O1591" s="16"/>
    </row>
    <row r="1592" spans="1:15" ht="22.5" customHeight="1" thickTop="1" thickBot="1" x14ac:dyDescent="0.25">
      <c r="A1592" s="16"/>
      <c r="B1592" s="16"/>
      <c r="C1592" s="16"/>
      <c r="D1592" s="16"/>
      <c r="E1592" s="16"/>
      <c r="F1592" s="16"/>
      <c r="G1592" s="16"/>
      <c r="H1592" s="16"/>
      <c r="I1592" s="16"/>
      <c r="J1592" s="16"/>
      <c r="K1592" s="16"/>
      <c r="L1592" s="16"/>
      <c r="M1592" s="16"/>
      <c r="N1592" s="16"/>
      <c r="O1592" s="16"/>
    </row>
    <row r="1593" spans="1:15" ht="22.5" customHeight="1" thickTop="1" thickBot="1" x14ac:dyDescent="0.25">
      <c r="A1593" s="16"/>
      <c r="B1593" s="16"/>
      <c r="C1593" s="16"/>
      <c r="D1593" s="16"/>
      <c r="E1593" s="16"/>
      <c r="F1593" s="16"/>
      <c r="G1593" s="16"/>
      <c r="H1593" s="16"/>
      <c r="I1593" s="16"/>
      <c r="J1593" s="16"/>
      <c r="K1593" s="16"/>
      <c r="L1593" s="16"/>
      <c r="M1593" s="16"/>
      <c r="N1593" s="16"/>
      <c r="O1593" s="16"/>
    </row>
    <row r="1594" spans="1:15" ht="22.5" customHeight="1" thickTop="1" thickBot="1" x14ac:dyDescent="0.25">
      <c r="A1594" s="16"/>
      <c r="B1594" s="16"/>
      <c r="C1594" s="16"/>
      <c r="D1594" s="16"/>
      <c r="E1594" s="16"/>
      <c r="F1594" s="16"/>
      <c r="G1594" s="16"/>
      <c r="H1594" s="16"/>
      <c r="I1594" s="16"/>
      <c r="J1594" s="16"/>
      <c r="K1594" s="16"/>
      <c r="L1594" s="16"/>
      <c r="M1594" s="16"/>
      <c r="N1594" s="16"/>
      <c r="O1594" s="16"/>
    </row>
    <row r="1595" spans="1:15" ht="22.5" customHeight="1" thickTop="1" thickBot="1" x14ac:dyDescent="0.25">
      <c r="A1595" s="16"/>
      <c r="B1595" s="16"/>
      <c r="C1595" s="16"/>
      <c r="D1595" s="16"/>
      <c r="E1595" s="16"/>
      <c r="F1595" s="16"/>
      <c r="G1595" s="16"/>
      <c r="H1595" s="16"/>
      <c r="I1595" s="16"/>
      <c r="J1595" s="16"/>
      <c r="K1595" s="16"/>
      <c r="L1595" s="16"/>
      <c r="M1595" s="16"/>
      <c r="N1595" s="16"/>
      <c r="O1595" s="16"/>
    </row>
    <row r="1596" spans="1:15" ht="22.5" customHeight="1" thickTop="1" thickBot="1" x14ac:dyDescent="0.25">
      <c r="A1596" s="16"/>
      <c r="B1596" s="16"/>
      <c r="C1596" s="16"/>
      <c r="D1596" s="16"/>
      <c r="E1596" s="16"/>
      <c r="F1596" s="16"/>
      <c r="G1596" s="16"/>
      <c r="H1596" s="16"/>
      <c r="I1596" s="16"/>
      <c r="J1596" s="16"/>
      <c r="K1596" s="16"/>
      <c r="L1596" s="16"/>
      <c r="M1596" s="16"/>
      <c r="N1596" s="16"/>
      <c r="O1596" s="16"/>
    </row>
    <row r="1597" spans="1:15" ht="22.5" customHeight="1" thickTop="1" thickBot="1" x14ac:dyDescent="0.25">
      <c r="A1597" s="16"/>
      <c r="B1597" s="16"/>
      <c r="C1597" s="16"/>
      <c r="D1597" s="16"/>
      <c r="E1597" s="16"/>
      <c r="F1597" s="16"/>
      <c r="G1597" s="16"/>
      <c r="H1597" s="16"/>
      <c r="I1597" s="16"/>
      <c r="J1597" s="16"/>
      <c r="K1597" s="16"/>
      <c r="L1597" s="16"/>
      <c r="M1597" s="16"/>
      <c r="N1597" s="16"/>
      <c r="O1597" s="16"/>
    </row>
    <row r="1598" spans="1:15" ht="22.5" customHeight="1" thickTop="1" thickBot="1" x14ac:dyDescent="0.25">
      <c r="A1598" s="16"/>
      <c r="B1598" s="16"/>
      <c r="C1598" s="16"/>
      <c r="D1598" s="16"/>
      <c r="E1598" s="16"/>
      <c r="F1598" s="16"/>
      <c r="G1598" s="16"/>
      <c r="H1598" s="16"/>
      <c r="I1598" s="16"/>
      <c r="J1598" s="16"/>
      <c r="K1598" s="16"/>
      <c r="L1598" s="16"/>
      <c r="M1598" s="16"/>
      <c r="N1598" s="16"/>
      <c r="O1598" s="16"/>
    </row>
    <row r="1599" spans="1:15" ht="22.5" customHeight="1" thickTop="1" thickBot="1" x14ac:dyDescent="0.25">
      <c r="A1599" s="16"/>
      <c r="B1599" s="16"/>
      <c r="C1599" s="16"/>
      <c r="D1599" s="16"/>
      <c r="E1599" s="16"/>
      <c r="F1599" s="16"/>
      <c r="G1599" s="16"/>
      <c r="H1599" s="16"/>
      <c r="I1599" s="16"/>
      <c r="J1599" s="16"/>
      <c r="K1599" s="16"/>
      <c r="L1599" s="16"/>
      <c r="M1599" s="16"/>
      <c r="N1599" s="16"/>
      <c r="O1599" s="16"/>
    </row>
    <row r="1600" spans="1:15" ht="22.5" customHeight="1" thickTop="1" thickBot="1" x14ac:dyDescent="0.25">
      <c r="A1600" s="16"/>
      <c r="B1600" s="16"/>
      <c r="C1600" s="16"/>
      <c r="D1600" s="16"/>
      <c r="E1600" s="16"/>
      <c r="F1600" s="16"/>
      <c r="G1600" s="16"/>
      <c r="H1600" s="16"/>
      <c r="I1600" s="16"/>
      <c r="J1600" s="16"/>
      <c r="K1600" s="16"/>
      <c r="L1600" s="16"/>
      <c r="M1600" s="16"/>
      <c r="N1600" s="16"/>
      <c r="O1600" s="16"/>
    </row>
    <row r="1601" spans="1:15" ht="22.5" customHeight="1" thickTop="1" thickBot="1" x14ac:dyDescent="0.25">
      <c r="A1601" s="16"/>
      <c r="B1601" s="16"/>
      <c r="C1601" s="16"/>
      <c r="D1601" s="16"/>
      <c r="E1601" s="16"/>
      <c r="F1601" s="16"/>
      <c r="G1601" s="16"/>
      <c r="H1601" s="16"/>
      <c r="I1601" s="16"/>
      <c r="J1601" s="16"/>
      <c r="K1601" s="16"/>
      <c r="L1601" s="16"/>
      <c r="M1601" s="16"/>
      <c r="N1601" s="16"/>
      <c r="O1601" s="16"/>
    </row>
    <row r="1602" spans="1:15" ht="22.5" customHeight="1" thickTop="1" thickBot="1" x14ac:dyDescent="0.25">
      <c r="A1602" s="16"/>
      <c r="B1602" s="16"/>
      <c r="C1602" s="16"/>
      <c r="D1602" s="16"/>
      <c r="E1602" s="16"/>
      <c r="F1602" s="16"/>
      <c r="G1602" s="16"/>
      <c r="H1602" s="16"/>
      <c r="I1602" s="16"/>
      <c r="J1602" s="16"/>
      <c r="K1602" s="16"/>
      <c r="L1602" s="16"/>
      <c r="M1602" s="16"/>
      <c r="N1602" s="16"/>
      <c r="O1602" s="16"/>
    </row>
    <row r="1603" spans="1:15" ht="22.5" customHeight="1" thickTop="1" thickBot="1" x14ac:dyDescent="0.25">
      <c r="A1603" s="16"/>
      <c r="B1603" s="16"/>
      <c r="C1603" s="16"/>
      <c r="D1603" s="16"/>
      <c r="E1603" s="16"/>
      <c r="F1603" s="16"/>
      <c r="G1603" s="16"/>
      <c r="H1603" s="16"/>
      <c r="I1603" s="16"/>
      <c r="J1603" s="16"/>
      <c r="K1603" s="16"/>
      <c r="L1603" s="16"/>
      <c r="M1603" s="16"/>
      <c r="N1603" s="16"/>
      <c r="O1603" s="16"/>
    </row>
    <row r="1604" spans="1:15" ht="22.5" customHeight="1" thickTop="1" thickBot="1" x14ac:dyDescent="0.25">
      <c r="A1604" s="16"/>
      <c r="B1604" s="16"/>
      <c r="C1604" s="16"/>
      <c r="D1604" s="16"/>
      <c r="E1604" s="16"/>
      <c r="F1604" s="16"/>
      <c r="G1604" s="16"/>
      <c r="H1604" s="16"/>
      <c r="I1604" s="16"/>
      <c r="J1604" s="16"/>
      <c r="K1604" s="16"/>
      <c r="L1604" s="16"/>
      <c r="M1604" s="16"/>
      <c r="N1604" s="16"/>
      <c r="O1604" s="16"/>
    </row>
    <row r="1605" spans="1:15" ht="22.5" customHeight="1" thickTop="1" thickBot="1" x14ac:dyDescent="0.25">
      <c r="A1605" s="16"/>
      <c r="B1605" s="16"/>
      <c r="C1605" s="16"/>
      <c r="D1605" s="16"/>
      <c r="E1605" s="16"/>
      <c r="F1605" s="16"/>
      <c r="G1605" s="16"/>
      <c r="H1605" s="16"/>
      <c r="I1605" s="16"/>
      <c r="J1605" s="16"/>
      <c r="K1605" s="16"/>
      <c r="L1605" s="16"/>
      <c r="M1605" s="16"/>
      <c r="N1605" s="16"/>
      <c r="O1605" s="16"/>
    </row>
    <row r="1606" spans="1:15" ht="22.5" customHeight="1" thickTop="1" thickBot="1" x14ac:dyDescent="0.25">
      <c r="A1606" s="16"/>
      <c r="B1606" s="16"/>
      <c r="C1606" s="16"/>
      <c r="D1606" s="16"/>
      <c r="E1606" s="16"/>
      <c r="F1606" s="16"/>
      <c r="G1606" s="16"/>
      <c r="H1606" s="16"/>
      <c r="I1606" s="16"/>
      <c r="J1606" s="16"/>
      <c r="K1606" s="16"/>
      <c r="L1606" s="16"/>
      <c r="M1606" s="16"/>
      <c r="N1606" s="16"/>
      <c r="O1606" s="16"/>
    </row>
    <row r="1607" spans="1:15" ht="22.5" customHeight="1" thickTop="1" thickBot="1" x14ac:dyDescent="0.25">
      <c r="A1607" s="16"/>
      <c r="B1607" s="16"/>
      <c r="C1607" s="16"/>
      <c r="D1607" s="16"/>
      <c r="E1607" s="16"/>
      <c r="F1607" s="16"/>
      <c r="G1607" s="16"/>
      <c r="H1607" s="16"/>
      <c r="I1607" s="16"/>
      <c r="J1607" s="16"/>
      <c r="K1607" s="16"/>
      <c r="L1607" s="16"/>
      <c r="M1607" s="16"/>
      <c r="N1607" s="16"/>
      <c r="O1607" s="16"/>
    </row>
    <row r="1608" spans="1:15" ht="22.5" customHeight="1" thickTop="1" thickBot="1" x14ac:dyDescent="0.25">
      <c r="A1608" s="16"/>
      <c r="B1608" s="16"/>
      <c r="C1608" s="16"/>
      <c r="D1608" s="16"/>
      <c r="E1608" s="16"/>
      <c r="F1608" s="16"/>
      <c r="G1608" s="16"/>
      <c r="H1608" s="16"/>
      <c r="I1608" s="16"/>
      <c r="J1608" s="16"/>
      <c r="K1608" s="16"/>
      <c r="L1608" s="16"/>
      <c r="M1608" s="16"/>
      <c r="N1608" s="16"/>
      <c r="O1608" s="16"/>
    </row>
    <row r="1609" spans="1:15" ht="22.5" customHeight="1" thickTop="1" thickBot="1" x14ac:dyDescent="0.25">
      <c r="A1609" s="16"/>
      <c r="B1609" s="16"/>
      <c r="C1609" s="16"/>
      <c r="D1609" s="16"/>
      <c r="E1609" s="16"/>
      <c r="F1609" s="16"/>
      <c r="G1609" s="16"/>
      <c r="H1609" s="16"/>
      <c r="I1609" s="16"/>
      <c r="J1609" s="16"/>
      <c r="K1609" s="16"/>
      <c r="L1609" s="16"/>
      <c r="M1609" s="16"/>
      <c r="N1609" s="16"/>
      <c r="O1609" s="16"/>
    </row>
    <row r="1610" spans="1:15" ht="22.5" customHeight="1" thickTop="1" thickBot="1" x14ac:dyDescent="0.25">
      <c r="A1610" s="16"/>
      <c r="B1610" s="16"/>
      <c r="C1610" s="16"/>
      <c r="D1610" s="16"/>
      <c r="E1610" s="16"/>
      <c r="F1610" s="16"/>
      <c r="G1610" s="16"/>
      <c r="H1610" s="16"/>
      <c r="I1610" s="16"/>
      <c r="J1610" s="16"/>
      <c r="K1610" s="16"/>
      <c r="L1610" s="16"/>
      <c r="M1610" s="16"/>
      <c r="N1610" s="16"/>
      <c r="O1610" s="16"/>
    </row>
    <row r="1611" spans="1:15" ht="22.5" customHeight="1" thickTop="1" thickBot="1" x14ac:dyDescent="0.25">
      <c r="A1611" s="16"/>
      <c r="B1611" s="16"/>
      <c r="C1611" s="16"/>
      <c r="D1611" s="16"/>
      <c r="E1611" s="16"/>
      <c r="F1611" s="16"/>
      <c r="G1611" s="16"/>
      <c r="H1611" s="16"/>
      <c r="I1611" s="16"/>
      <c r="J1611" s="16"/>
      <c r="K1611" s="16"/>
      <c r="L1611" s="16"/>
      <c r="M1611" s="16"/>
      <c r="N1611" s="16"/>
      <c r="O1611" s="16"/>
    </row>
    <row r="1612" spans="1:15" ht="22.5" customHeight="1" thickTop="1" thickBot="1" x14ac:dyDescent="0.25">
      <c r="A1612" s="16"/>
      <c r="B1612" s="16"/>
      <c r="C1612" s="16"/>
      <c r="D1612" s="16"/>
      <c r="E1612" s="16"/>
      <c r="F1612" s="16"/>
      <c r="G1612" s="16"/>
      <c r="H1612" s="16"/>
      <c r="I1612" s="16"/>
      <c r="J1612" s="16"/>
      <c r="K1612" s="16"/>
      <c r="L1612" s="16"/>
      <c r="M1612" s="16"/>
      <c r="N1612" s="16"/>
      <c r="O1612" s="16"/>
    </row>
    <row r="1613" spans="1:15" ht="22.5" customHeight="1" thickTop="1" thickBot="1" x14ac:dyDescent="0.25">
      <c r="A1613" s="16"/>
      <c r="B1613" s="16"/>
      <c r="C1613" s="16"/>
      <c r="D1613" s="16"/>
      <c r="E1613" s="16"/>
      <c r="F1613" s="16"/>
      <c r="G1613" s="16"/>
      <c r="H1613" s="16"/>
      <c r="I1613" s="16"/>
      <c r="J1613" s="16"/>
      <c r="K1613" s="16"/>
      <c r="L1613" s="16"/>
      <c r="M1613" s="16"/>
      <c r="N1613" s="16"/>
      <c r="O1613" s="16"/>
    </row>
    <row r="1614" spans="1:15" ht="22.5" customHeight="1" thickTop="1" thickBot="1" x14ac:dyDescent="0.25">
      <c r="A1614" s="16"/>
      <c r="B1614" s="16"/>
      <c r="C1614" s="16"/>
      <c r="D1614" s="16"/>
      <c r="E1614" s="16"/>
      <c r="F1614" s="16"/>
      <c r="G1614" s="16"/>
      <c r="H1614" s="16"/>
      <c r="I1614" s="16"/>
      <c r="J1614" s="16"/>
      <c r="K1614" s="16"/>
      <c r="L1614" s="16"/>
      <c r="M1614" s="16"/>
      <c r="N1614" s="16"/>
      <c r="O1614" s="16"/>
    </row>
    <row r="1615" spans="1:15" ht="22.5" customHeight="1" thickTop="1" thickBot="1" x14ac:dyDescent="0.25">
      <c r="A1615" s="16"/>
      <c r="B1615" s="16"/>
      <c r="C1615" s="16"/>
      <c r="D1615" s="16"/>
      <c r="E1615" s="16"/>
      <c r="F1615" s="16"/>
      <c r="G1615" s="16"/>
      <c r="H1615" s="16"/>
      <c r="I1615" s="16"/>
      <c r="J1615" s="16"/>
      <c r="K1615" s="16"/>
      <c r="L1615" s="16"/>
      <c r="M1615" s="16"/>
      <c r="N1615" s="16"/>
      <c r="O1615" s="16"/>
    </row>
    <row r="1616" spans="1:15" ht="22.5" customHeight="1" thickTop="1" thickBot="1" x14ac:dyDescent="0.25">
      <c r="A1616" s="16"/>
      <c r="B1616" s="16"/>
      <c r="C1616" s="16"/>
      <c r="D1616" s="16"/>
      <c r="E1616" s="16"/>
      <c r="F1616" s="16"/>
      <c r="G1616" s="16"/>
      <c r="H1616" s="16"/>
      <c r="I1616" s="16"/>
      <c r="J1616" s="16"/>
      <c r="K1616" s="16"/>
      <c r="L1616" s="16"/>
      <c r="M1616" s="16"/>
      <c r="N1616" s="16"/>
      <c r="O1616" s="16"/>
    </row>
    <row r="1617" spans="1:15" ht="22.5" customHeight="1" thickTop="1" thickBot="1" x14ac:dyDescent="0.25">
      <c r="A1617" s="16"/>
      <c r="B1617" s="16"/>
      <c r="C1617" s="16"/>
      <c r="D1617" s="16"/>
      <c r="E1617" s="16"/>
      <c r="F1617" s="16"/>
      <c r="G1617" s="16"/>
      <c r="H1617" s="16"/>
      <c r="I1617" s="16"/>
      <c r="J1617" s="16"/>
      <c r="K1617" s="16"/>
      <c r="L1617" s="16"/>
      <c r="M1617" s="16"/>
      <c r="N1617" s="16"/>
      <c r="O1617" s="16"/>
    </row>
    <row r="1618" spans="1:15" ht="22.5" customHeight="1" thickTop="1" thickBot="1" x14ac:dyDescent="0.25">
      <c r="A1618" s="16"/>
      <c r="B1618" s="16"/>
      <c r="C1618" s="16"/>
      <c r="D1618" s="16"/>
      <c r="E1618" s="16"/>
      <c r="F1618" s="16"/>
      <c r="G1618" s="16"/>
      <c r="H1618" s="16"/>
      <c r="I1618" s="16"/>
      <c r="J1618" s="16"/>
      <c r="K1618" s="16"/>
      <c r="L1618" s="16"/>
      <c r="M1618" s="16"/>
      <c r="N1618" s="16"/>
      <c r="O1618" s="16"/>
    </row>
    <row r="1619" spans="1:15" ht="22.5" customHeight="1" thickTop="1" x14ac:dyDescent="0.2"/>
    <row r="1620" spans="1:15" ht="22.5" customHeight="1" x14ac:dyDescent="0.2"/>
    <row r="1621" spans="1:15" ht="22.5" customHeight="1" x14ac:dyDescent="0.2"/>
    <row r="1622" spans="1:15" ht="22.5" customHeight="1" x14ac:dyDescent="0.2"/>
    <row r="1623" spans="1:15" ht="22.5" customHeight="1" x14ac:dyDescent="0.2"/>
    <row r="1624" spans="1:15" ht="22.5" customHeight="1" x14ac:dyDescent="0.2"/>
    <row r="1625" spans="1:15" ht="22.5" customHeight="1" x14ac:dyDescent="0.2"/>
    <row r="1626" spans="1:15" ht="22.5" customHeight="1" x14ac:dyDescent="0.2"/>
    <row r="1627" spans="1:15" ht="22.5" customHeight="1" x14ac:dyDescent="0.2"/>
    <row r="1628" spans="1:15" ht="22.5" customHeight="1" x14ac:dyDescent="0.2"/>
    <row r="1629" spans="1:15" ht="22.5" customHeight="1" x14ac:dyDescent="0.2"/>
    <row r="1630" spans="1:15" ht="22.5" customHeight="1" x14ac:dyDescent="0.2"/>
    <row r="1631" spans="1:15" ht="22.5" customHeight="1" x14ac:dyDescent="0.2"/>
    <row r="1632" spans="1:15" ht="22.5" customHeight="1" x14ac:dyDescent="0.2"/>
    <row r="1633" ht="22.5" customHeight="1" x14ac:dyDescent="0.2"/>
    <row r="1634" ht="22.5" customHeight="1" x14ac:dyDescent="0.2"/>
    <row r="1635" ht="22.5" customHeight="1" x14ac:dyDescent="0.2"/>
    <row r="1636" ht="22.5" customHeight="1" x14ac:dyDescent="0.2"/>
    <row r="1637" ht="22.5" customHeight="1" x14ac:dyDescent="0.2"/>
    <row r="1638" ht="22.5" customHeight="1" x14ac:dyDescent="0.2"/>
    <row r="1639" ht="22.5" customHeight="1" x14ac:dyDescent="0.2"/>
    <row r="1640" ht="22.5" customHeight="1" x14ac:dyDescent="0.2"/>
    <row r="1641" ht="22.5" customHeight="1" x14ac:dyDescent="0.2"/>
    <row r="1642" ht="22.5" customHeight="1" x14ac:dyDescent="0.2"/>
    <row r="1643" ht="22.5" customHeight="1" x14ac:dyDescent="0.2"/>
    <row r="1644" ht="22.5" customHeight="1" x14ac:dyDescent="0.2"/>
    <row r="1645" ht="22.5" customHeight="1" x14ac:dyDescent="0.2"/>
    <row r="1646" ht="22.5" customHeight="1" x14ac:dyDescent="0.2"/>
    <row r="1647" ht="22.5" customHeight="1" x14ac:dyDescent="0.2"/>
    <row r="1648" ht="22.5" customHeight="1" x14ac:dyDescent="0.2"/>
    <row r="1649" ht="22.5" customHeight="1" x14ac:dyDescent="0.2"/>
    <row r="1650" ht="22.5" customHeight="1" x14ac:dyDescent="0.2"/>
    <row r="1651" ht="22.5" customHeight="1" x14ac:dyDescent="0.2"/>
    <row r="1652" ht="22.5" customHeight="1" x14ac:dyDescent="0.2"/>
    <row r="1653" ht="22.5" customHeight="1" x14ac:dyDescent="0.2"/>
    <row r="1654" ht="22.5" customHeight="1" x14ac:dyDescent="0.2"/>
    <row r="1655" ht="22.5" customHeight="1" x14ac:dyDescent="0.2"/>
    <row r="1656" ht="22.5" customHeight="1" x14ac:dyDescent="0.2"/>
    <row r="1657" ht="22.5" customHeight="1" x14ac:dyDescent="0.2"/>
    <row r="1658" ht="22.5" customHeight="1" x14ac:dyDescent="0.2"/>
    <row r="1659" ht="22.5" customHeight="1" x14ac:dyDescent="0.2"/>
    <row r="1660" ht="22.5" customHeight="1" x14ac:dyDescent="0.2"/>
    <row r="1661" ht="22.5" customHeight="1" x14ac:dyDescent="0.2"/>
    <row r="1662" ht="22.5" customHeight="1" x14ac:dyDescent="0.2"/>
    <row r="1663" ht="22.5" customHeight="1" x14ac:dyDescent="0.2"/>
    <row r="1664" ht="22.5" customHeight="1" x14ac:dyDescent="0.2"/>
    <row r="1665" ht="22.5" customHeight="1" x14ac:dyDescent="0.2"/>
    <row r="1666" ht="22.5" customHeight="1" x14ac:dyDescent="0.2"/>
    <row r="1667" ht="22.5" customHeight="1" x14ac:dyDescent="0.2"/>
    <row r="1668" ht="22.5" customHeight="1" x14ac:dyDescent="0.2"/>
    <row r="1669" ht="22.5" customHeight="1" x14ac:dyDescent="0.2"/>
    <row r="1670" ht="22.5" customHeight="1" x14ac:dyDescent="0.2"/>
    <row r="1671" ht="22.5" customHeight="1" x14ac:dyDescent="0.2"/>
    <row r="1672" ht="22.5" customHeight="1" x14ac:dyDescent="0.2"/>
    <row r="1673" ht="22.5" customHeight="1" x14ac:dyDescent="0.2"/>
    <row r="1674" ht="22.5" customHeight="1" x14ac:dyDescent="0.2"/>
    <row r="1675" ht="22.5" customHeight="1" x14ac:dyDescent="0.2"/>
    <row r="1676" ht="22.5" customHeight="1" x14ac:dyDescent="0.2"/>
    <row r="1677" ht="22.5" customHeight="1" x14ac:dyDescent="0.2"/>
    <row r="1678" ht="22.5" customHeight="1" x14ac:dyDescent="0.2"/>
    <row r="1679" ht="22.5" customHeight="1" x14ac:dyDescent="0.2"/>
    <row r="1680" ht="22.5" customHeight="1" x14ac:dyDescent="0.2"/>
    <row r="1681" ht="22.5" customHeight="1" x14ac:dyDescent="0.2"/>
    <row r="1682" ht="22.5" customHeight="1" x14ac:dyDescent="0.2"/>
    <row r="1683" ht="22.5" customHeight="1" x14ac:dyDescent="0.2"/>
    <row r="1684" ht="22.5" customHeight="1" x14ac:dyDescent="0.2"/>
    <row r="1685" ht="22.5" customHeight="1" x14ac:dyDescent="0.2"/>
    <row r="1686" ht="22.5" customHeight="1" x14ac:dyDescent="0.2"/>
    <row r="1687" ht="22.5" customHeight="1" x14ac:dyDescent="0.2"/>
    <row r="1688" ht="22.5" customHeight="1" x14ac:dyDescent="0.2"/>
    <row r="1689" ht="22.5" customHeight="1" x14ac:dyDescent="0.2"/>
    <row r="1690" ht="22.5" customHeight="1" x14ac:dyDescent="0.2"/>
    <row r="1691" ht="22.5" customHeight="1" x14ac:dyDescent="0.2"/>
    <row r="1692" ht="22.5" customHeight="1" x14ac:dyDescent="0.2"/>
    <row r="1693" ht="22.5" customHeight="1" x14ac:dyDescent="0.2"/>
    <row r="1694" ht="22.5" customHeight="1" x14ac:dyDescent="0.2"/>
    <row r="1695" ht="22.5" customHeight="1" x14ac:dyDescent="0.2"/>
    <row r="1696" ht="22.5" customHeight="1" x14ac:dyDescent="0.2"/>
    <row r="1697" ht="22.5" customHeight="1" x14ac:dyDescent="0.2"/>
    <row r="1698" ht="22.5" customHeight="1" x14ac:dyDescent="0.2"/>
    <row r="1699" ht="22.5" customHeight="1" x14ac:dyDescent="0.2"/>
    <row r="1700" ht="22.5" customHeight="1" x14ac:dyDescent="0.2"/>
    <row r="1701" ht="22.5" customHeight="1" x14ac:dyDescent="0.2"/>
    <row r="1702" ht="22.5" customHeight="1" x14ac:dyDescent="0.2"/>
    <row r="1703" ht="22.5" customHeight="1" x14ac:dyDescent="0.2"/>
    <row r="1704" ht="22.5" customHeight="1" x14ac:dyDescent="0.2"/>
    <row r="1705" ht="22.5" customHeight="1" x14ac:dyDescent="0.2"/>
    <row r="1706" ht="22.5" customHeight="1" x14ac:dyDescent="0.2"/>
    <row r="1707" ht="22.5" customHeight="1" x14ac:dyDescent="0.2"/>
    <row r="1708" ht="22.5" customHeight="1" x14ac:dyDescent="0.2"/>
    <row r="1709" ht="22.5" customHeight="1" x14ac:dyDescent="0.2"/>
    <row r="1710" ht="22.5" customHeight="1" x14ac:dyDescent="0.2"/>
    <row r="1711" ht="22.5" customHeight="1" x14ac:dyDescent="0.2"/>
    <row r="1712" ht="22.5" customHeight="1" x14ac:dyDescent="0.2"/>
    <row r="1713" ht="22.5" customHeight="1" x14ac:dyDescent="0.2"/>
    <row r="1714" ht="22.5" customHeight="1" x14ac:dyDescent="0.2"/>
    <row r="1715" ht="22.5" customHeight="1" x14ac:dyDescent="0.2"/>
    <row r="1716" ht="22.5" customHeight="1" x14ac:dyDescent="0.2"/>
    <row r="1717" ht="22.5" customHeight="1" x14ac:dyDescent="0.2"/>
    <row r="1718" ht="22.5" customHeight="1" x14ac:dyDescent="0.2"/>
    <row r="1719" ht="22.5" customHeight="1" x14ac:dyDescent="0.2"/>
    <row r="1720" ht="22.5" customHeight="1" x14ac:dyDescent="0.2"/>
    <row r="1721" ht="22.5" customHeight="1" x14ac:dyDescent="0.2"/>
    <row r="1722" ht="22.5" customHeight="1" x14ac:dyDescent="0.2"/>
    <row r="1723" ht="22.5" customHeight="1" x14ac:dyDescent="0.2"/>
    <row r="1724" ht="22.5" customHeight="1" x14ac:dyDescent="0.2"/>
    <row r="1725" ht="22.5" customHeight="1" x14ac:dyDescent="0.2"/>
    <row r="1726" ht="22.5" customHeight="1" x14ac:dyDescent="0.2"/>
    <row r="1727" ht="22.5" customHeight="1" x14ac:dyDescent="0.2"/>
    <row r="1728" ht="22.5" customHeight="1" x14ac:dyDescent="0.2"/>
    <row r="1729" ht="22.5" customHeight="1" x14ac:dyDescent="0.2"/>
    <row r="1730" ht="22.5" customHeight="1" x14ac:dyDescent="0.2"/>
    <row r="1731" ht="22.5" customHeight="1" x14ac:dyDescent="0.2"/>
    <row r="1732" ht="22.5" customHeight="1" x14ac:dyDescent="0.2"/>
    <row r="1733" ht="22.5" customHeight="1" x14ac:dyDescent="0.2"/>
    <row r="1734" ht="22.5" customHeight="1" x14ac:dyDescent="0.2"/>
    <row r="1735" ht="22.5" customHeight="1" x14ac:dyDescent="0.2"/>
    <row r="1736" ht="22.5" customHeight="1" x14ac:dyDescent="0.2"/>
    <row r="1737" ht="22.5" customHeight="1" x14ac:dyDescent="0.2"/>
    <row r="1738" ht="22.5" customHeight="1" x14ac:dyDescent="0.2"/>
    <row r="1739" ht="22.5" customHeight="1" x14ac:dyDescent="0.2"/>
    <row r="1740" ht="22.5" customHeight="1" x14ac:dyDescent="0.2"/>
    <row r="1741" ht="22.5" customHeight="1" x14ac:dyDescent="0.2"/>
    <row r="1742" ht="22.5" customHeight="1" x14ac:dyDescent="0.2"/>
    <row r="1743" ht="22.5" customHeight="1" x14ac:dyDescent="0.2"/>
    <row r="1744" ht="22.5" customHeight="1" x14ac:dyDescent="0.2"/>
    <row r="1745" ht="22.5" customHeight="1" x14ac:dyDescent="0.2"/>
    <row r="1746" ht="22.5" customHeight="1" x14ac:dyDescent="0.2"/>
    <row r="1747" ht="22.5" customHeight="1" x14ac:dyDescent="0.2"/>
    <row r="1748" ht="22.5" customHeight="1" x14ac:dyDescent="0.2"/>
    <row r="1749" ht="22.5" customHeight="1" x14ac:dyDescent="0.2"/>
    <row r="1750" ht="22.5" customHeight="1" x14ac:dyDescent="0.2"/>
    <row r="1751" ht="22.5" customHeight="1" x14ac:dyDescent="0.2"/>
    <row r="1752" ht="22.5" customHeight="1" x14ac:dyDescent="0.2"/>
    <row r="1753" ht="22.5" customHeight="1" x14ac:dyDescent="0.2"/>
    <row r="1754" ht="22.5" customHeight="1" x14ac:dyDescent="0.2"/>
    <row r="1755" ht="22.5" customHeight="1" x14ac:dyDescent="0.2"/>
    <row r="1756" ht="22.5" customHeight="1" x14ac:dyDescent="0.2"/>
    <row r="1757" ht="22.5" customHeight="1" x14ac:dyDescent="0.2"/>
    <row r="1758" ht="22.5" customHeight="1" x14ac:dyDescent="0.2"/>
    <row r="1759" ht="22.5" customHeight="1" x14ac:dyDescent="0.2"/>
    <row r="1760" ht="22.5" customHeight="1" x14ac:dyDescent="0.2"/>
    <row r="1761" ht="22.5" customHeight="1" x14ac:dyDescent="0.2"/>
    <row r="1762" ht="22.5" customHeight="1" x14ac:dyDescent="0.2"/>
    <row r="1763" ht="22.5" customHeight="1" x14ac:dyDescent="0.2"/>
    <row r="1764" ht="22.5" customHeight="1" x14ac:dyDescent="0.2"/>
    <row r="1765" ht="22.5" customHeight="1" x14ac:dyDescent="0.2"/>
    <row r="1766" ht="22.5" customHeight="1" x14ac:dyDescent="0.2"/>
    <row r="1767" ht="22.5" customHeight="1" x14ac:dyDescent="0.2"/>
    <row r="1768" ht="22.5" customHeight="1" x14ac:dyDescent="0.2"/>
    <row r="1769" ht="22.5" customHeight="1" x14ac:dyDescent="0.2"/>
    <row r="1770" ht="22.5" customHeight="1" x14ac:dyDescent="0.2"/>
    <row r="1771" ht="22.5" customHeight="1" x14ac:dyDescent="0.2"/>
    <row r="1772" ht="22.5" customHeight="1" x14ac:dyDescent="0.2"/>
    <row r="1773" ht="22.5" customHeight="1" x14ac:dyDescent="0.2"/>
    <row r="1774" ht="22.5" customHeight="1" x14ac:dyDescent="0.2"/>
    <row r="1775" ht="22.5" customHeight="1" x14ac:dyDescent="0.2"/>
    <row r="1776" ht="22.5" customHeight="1" x14ac:dyDescent="0.2"/>
    <row r="1777" ht="22.5" customHeight="1" x14ac:dyDescent="0.2"/>
    <row r="1778" ht="22.5" customHeight="1" x14ac:dyDescent="0.2"/>
    <row r="1779" ht="22.5" customHeight="1" x14ac:dyDescent="0.2"/>
    <row r="1780" ht="22.5" customHeight="1" x14ac:dyDescent="0.2"/>
    <row r="1781" ht="22.5" customHeight="1" x14ac:dyDescent="0.2"/>
    <row r="1782" ht="22.5" customHeight="1" x14ac:dyDescent="0.2"/>
    <row r="1783" ht="22.5" customHeight="1" x14ac:dyDescent="0.2"/>
    <row r="1784" ht="22.5" customHeight="1" x14ac:dyDescent="0.2"/>
    <row r="1785" ht="22.5" customHeight="1" x14ac:dyDescent="0.2"/>
    <row r="1786" ht="22.5" customHeight="1" x14ac:dyDescent="0.2"/>
    <row r="1787" ht="22.5" customHeight="1" x14ac:dyDescent="0.2"/>
    <row r="1788" ht="22.5" customHeight="1" x14ac:dyDescent="0.2"/>
    <row r="1789" ht="22.5" customHeight="1" x14ac:dyDescent="0.2"/>
    <row r="1790" ht="22.5" customHeight="1" x14ac:dyDescent="0.2"/>
    <row r="1791" ht="22.5" customHeight="1" x14ac:dyDescent="0.2"/>
    <row r="1792" ht="22.5" customHeight="1" x14ac:dyDescent="0.2"/>
    <row r="1793" ht="22.5" customHeight="1" x14ac:dyDescent="0.2"/>
    <row r="1794" ht="22.5" customHeight="1" x14ac:dyDescent="0.2"/>
    <row r="1795" ht="22.5" customHeight="1" x14ac:dyDescent="0.2"/>
    <row r="1796" ht="22.5" customHeight="1" x14ac:dyDescent="0.2"/>
    <row r="1797" ht="22.5" customHeight="1" x14ac:dyDescent="0.2"/>
    <row r="1798" ht="22.5" customHeight="1" x14ac:dyDescent="0.2"/>
    <row r="1799" ht="22.5" customHeight="1" x14ac:dyDescent="0.2"/>
    <row r="1800" ht="22.5" customHeight="1" x14ac:dyDescent="0.2"/>
    <row r="1801" ht="22.5" customHeight="1" x14ac:dyDescent="0.2"/>
    <row r="1802" ht="22.5" customHeight="1" x14ac:dyDescent="0.2"/>
    <row r="1803" ht="22.5" customHeight="1" x14ac:dyDescent="0.2"/>
    <row r="1804" ht="22.5" customHeight="1" x14ac:dyDescent="0.2"/>
    <row r="1805" ht="22.5" customHeight="1" x14ac:dyDescent="0.2"/>
    <row r="1806" ht="22.5" customHeight="1" x14ac:dyDescent="0.2"/>
    <row r="1807" ht="22.5" customHeight="1" x14ac:dyDescent="0.2"/>
    <row r="1808" ht="22.5" customHeight="1" x14ac:dyDescent="0.2"/>
    <row r="1809" ht="22.5" customHeight="1" x14ac:dyDescent="0.2"/>
    <row r="1810" ht="22.5" customHeight="1" x14ac:dyDescent="0.2"/>
    <row r="1811" ht="22.5" customHeight="1" x14ac:dyDescent="0.2"/>
    <row r="1812" ht="22.5" customHeight="1" x14ac:dyDescent="0.2"/>
    <row r="1813" ht="22.5" customHeight="1" x14ac:dyDescent="0.2"/>
    <row r="1814" ht="22.5" customHeight="1" x14ac:dyDescent="0.2"/>
    <row r="1815" ht="22.5" customHeight="1" x14ac:dyDescent="0.2"/>
    <row r="1816" ht="22.5" customHeight="1" x14ac:dyDescent="0.2"/>
    <row r="1817" ht="22.5" customHeight="1" x14ac:dyDescent="0.2"/>
    <row r="1818" ht="22.5" customHeight="1" x14ac:dyDescent="0.2"/>
    <row r="1819" ht="22.5" customHeight="1" x14ac:dyDescent="0.2"/>
    <row r="1820" ht="22.5" customHeight="1" x14ac:dyDescent="0.2"/>
    <row r="1821" ht="22.5" customHeight="1" x14ac:dyDescent="0.2"/>
    <row r="1822" ht="22.5" customHeight="1" x14ac:dyDescent="0.2"/>
    <row r="1823" ht="22.5" customHeight="1" x14ac:dyDescent="0.2"/>
    <row r="1824" ht="22.5" customHeight="1" x14ac:dyDescent="0.2"/>
    <row r="1825" ht="22.5" customHeight="1" x14ac:dyDescent="0.2"/>
    <row r="1826" ht="22.5" customHeight="1" x14ac:dyDescent="0.2"/>
    <row r="1827" ht="22.5" customHeight="1" x14ac:dyDescent="0.2"/>
    <row r="1828" ht="22.5" customHeight="1" x14ac:dyDescent="0.2"/>
    <row r="1829" ht="22.5" customHeight="1" x14ac:dyDescent="0.2"/>
    <row r="1830" ht="22.5" customHeight="1" x14ac:dyDescent="0.2"/>
    <row r="1831" ht="22.5" customHeight="1" x14ac:dyDescent="0.2"/>
    <row r="1832" ht="22.5" customHeight="1" x14ac:dyDescent="0.2"/>
    <row r="1833" ht="22.5" customHeight="1" x14ac:dyDescent="0.2"/>
    <row r="1834" ht="22.5" customHeight="1" x14ac:dyDescent="0.2"/>
    <row r="1835" ht="22.5" customHeight="1" x14ac:dyDescent="0.2"/>
    <row r="1836" ht="22.5" customHeight="1" x14ac:dyDescent="0.2"/>
    <row r="1837" ht="22.5" customHeight="1" x14ac:dyDescent="0.2"/>
    <row r="1838" ht="22.5" customHeight="1" x14ac:dyDescent="0.2"/>
    <row r="1839" ht="22.5" customHeight="1" x14ac:dyDescent="0.2"/>
    <row r="1840" ht="22.5" customHeight="1" x14ac:dyDescent="0.2"/>
    <row r="1841" ht="22.5" customHeight="1" x14ac:dyDescent="0.2"/>
    <row r="1842" ht="22.5" customHeight="1" x14ac:dyDescent="0.2"/>
    <row r="1843" ht="22.5" customHeight="1" x14ac:dyDescent="0.2"/>
    <row r="1844" ht="22.5" customHeight="1" x14ac:dyDescent="0.2"/>
    <row r="1845" ht="22.5" customHeight="1" x14ac:dyDescent="0.2"/>
    <row r="1846" ht="22.5" customHeight="1" x14ac:dyDescent="0.2"/>
    <row r="1847" ht="22.5" customHeight="1" x14ac:dyDescent="0.2"/>
    <row r="1848" ht="22.5" customHeight="1" x14ac:dyDescent="0.2"/>
    <row r="1849" ht="22.5" customHeight="1" x14ac:dyDescent="0.2"/>
    <row r="1850" ht="22.5" customHeight="1" x14ac:dyDescent="0.2"/>
    <row r="1851" ht="22.5" customHeight="1" x14ac:dyDescent="0.2"/>
    <row r="1852" ht="22.5" customHeight="1" x14ac:dyDescent="0.2"/>
    <row r="1853" ht="22.5" customHeight="1" x14ac:dyDescent="0.2"/>
    <row r="1854" ht="22.5" customHeight="1" x14ac:dyDescent="0.2"/>
    <row r="1855" ht="22.5" customHeight="1" x14ac:dyDescent="0.2"/>
    <row r="1856" ht="22.5" customHeight="1" x14ac:dyDescent="0.2"/>
    <row r="1857" ht="22.5" customHeight="1" x14ac:dyDescent="0.2"/>
    <row r="1858" ht="22.5" customHeight="1" x14ac:dyDescent="0.2"/>
    <row r="1859" ht="22.5" customHeight="1" x14ac:dyDescent="0.2"/>
    <row r="1860" ht="22.5" customHeight="1" x14ac:dyDescent="0.2"/>
    <row r="1861" ht="22.5" customHeight="1" x14ac:dyDescent="0.2"/>
    <row r="1862" ht="22.5" customHeight="1" x14ac:dyDescent="0.2"/>
    <row r="1863" ht="22.5" customHeight="1" x14ac:dyDescent="0.2"/>
    <row r="1864" ht="22.5" customHeight="1" x14ac:dyDescent="0.2"/>
    <row r="1865" ht="22.5" customHeight="1" x14ac:dyDescent="0.2"/>
    <row r="1866" ht="22.5" customHeight="1" x14ac:dyDescent="0.2"/>
    <row r="1867" ht="22.5" customHeight="1" x14ac:dyDescent="0.2"/>
    <row r="1868" ht="22.5" customHeight="1" x14ac:dyDescent="0.2"/>
    <row r="1869" ht="22.5" customHeight="1" x14ac:dyDescent="0.2"/>
    <row r="1870" ht="22.5" customHeight="1" x14ac:dyDescent="0.2"/>
    <row r="1871" ht="22.5" customHeight="1" x14ac:dyDescent="0.2"/>
    <row r="1872" ht="22.5" customHeight="1" x14ac:dyDescent="0.2"/>
    <row r="1873" ht="22.5" customHeight="1" x14ac:dyDescent="0.2"/>
    <row r="1874" ht="22.5" customHeight="1" x14ac:dyDescent="0.2"/>
    <row r="1875" ht="22.5" customHeight="1" x14ac:dyDescent="0.2"/>
    <row r="1876" ht="22.5" customHeight="1" x14ac:dyDescent="0.2"/>
    <row r="1877" ht="22.5" customHeight="1" x14ac:dyDescent="0.2"/>
    <row r="1878" ht="22.5" customHeight="1" x14ac:dyDescent="0.2"/>
    <row r="1879" ht="22.5" customHeight="1" x14ac:dyDescent="0.2"/>
    <row r="1880" ht="22.5" customHeight="1" x14ac:dyDescent="0.2"/>
    <row r="1881" ht="22.5" customHeight="1" x14ac:dyDescent="0.2"/>
    <row r="1882" ht="22.5" customHeight="1" x14ac:dyDescent="0.2"/>
    <row r="1883" ht="22.5" customHeight="1" x14ac:dyDescent="0.2"/>
    <row r="1884" ht="22.5" customHeight="1" x14ac:dyDescent="0.2"/>
    <row r="1885" ht="22.5" customHeight="1" x14ac:dyDescent="0.2"/>
    <row r="1886" ht="22.5" customHeight="1" x14ac:dyDescent="0.2"/>
    <row r="1887" ht="22.5" customHeight="1" x14ac:dyDescent="0.2"/>
    <row r="1888" ht="22.5" customHeight="1" x14ac:dyDescent="0.2"/>
    <row r="1889" ht="22.5" customHeight="1" x14ac:dyDescent="0.2"/>
    <row r="1890" ht="22.5" customHeight="1" x14ac:dyDescent="0.2"/>
    <row r="1891" ht="22.5" customHeight="1" x14ac:dyDescent="0.2"/>
    <row r="1892" ht="22.5" customHeight="1" x14ac:dyDescent="0.2"/>
    <row r="1893" ht="22.5" customHeight="1" x14ac:dyDescent="0.2"/>
    <row r="1894" ht="22.5" customHeight="1" x14ac:dyDescent="0.2"/>
    <row r="1895" ht="22.5" customHeight="1" x14ac:dyDescent="0.2"/>
    <row r="1896" ht="22.5" customHeight="1" x14ac:dyDescent="0.2"/>
    <row r="1897" ht="22.5" customHeight="1" x14ac:dyDescent="0.2"/>
    <row r="1898" ht="22.5" customHeight="1" x14ac:dyDescent="0.2"/>
    <row r="1899" ht="22.5" customHeight="1" x14ac:dyDescent="0.2"/>
    <row r="1900" ht="22.5" customHeight="1" x14ac:dyDescent="0.2"/>
    <row r="1901" ht="22.5" customHeight="1" x14ac:dyDescent="0.2"/>
    <row r="1902" ht="22.5" customHeight="1" x14ac:dyDescent="0.2"/>
    <row r="1903" ht="22.5" customHeight="1" x14ac:dyDescent="0.2"/>
    <row r="1904" ht="22.5" customHeight="1" x14ac:dyDescent="0.2"/>
    <row r="1905" ht="22.5" customHeight="1" x14ac:dyDescent="0.2"/>
    <row r="1906" ht="22.5" customHeight="1" x14ac:dyDescent="0.2"/>
    <row r="1907" ht="22.5" customHeight="1" x14ac:dyDescent="0.2"/>
    <row r="1908" ht="22.5" customHeight="1" x14ac:dyDescent="0.2"/>
    <row r="1909" ht="22.5" customHeight="1" x14ac:dyDescent="0.2"/>
    <row r="1910" ht="22.5" customHeight="1" x14ac:dyDescent="0.2"/>
    <row r="1911" ht="22.5" customHeight="1" x14ac:dyDescent="0.2"/>
    <row r="1912" ht="22.5" customHeight="1" x14ac:dyDescent="0.2"/>
    <row r="1913" ht="22.5" customHeight="1" x14ac:dyDescent="0.2"/>
    <row r="1914" ht="22.5" customHeight="1" x14ac:dyDescent="0.2"/>
    <row r="1915" ht="22.5" customHeight="1" x14ac:dyDescent="0.2"/>
    <row r="1916" ht="22.5" customHeight="1" x14ac:dyDescent="0.2"/>
    <row r="1917" ht="22.5" customHeight="1" x14ac:dyDescent="0.2"/>
    <row r="1918" ht="22.5" customHeight="1" x14ac:dyDescent="0.2"/>
    <row r="1919" ht="22.5" customHeight="1" x14ac:dyDescent="0.2"/>
    <row r="1920" ht="22.5" customHeight="1" x14ac:dyDescent="0.2"/>
    <row r="1921" ht="22.5" customHeight="1" x14ac:dyDescent="0.2"/>
    <row r="1922" ht="22.5" customHeight="1" x14ac:dyDescent="0.2"/>
    <row r="1923" ht="22.5" customHeight="1" x14ac:dyDescent="0.2"/>
    <row r="1924" ht="22.5" customHeight="1" x14ac:dyDescent="0.2"/>
    <row r="1925" ht="22.5" customHeight="1" x14ac:dyDescent="0.2"/>
    <row r="1926" ht="22.5" customHeight="1" x14ac:dyDescent="0.2"/>
    <row r="1927" ht="22.5" customHeight="1" x14ac:dyDescent="0.2"/>
    <row r="1928" ht="22.5" customHeight="1" x14ac:dyDescent="0.2"/>
    <row r="1929" ht="22.5" customHeight="1" x14ac:dyDescent="0.2"/>
    <row r="1930" ht="22.5" customHeight="1" x14ac:dyDescent="0.2"/>
    <row r="1931" ht="22.5" customHeight="1" x14ac:dyDescent="0.2"/>
    <row r="1932" ht="22.5" customHeight="1" x14ac:dyDescent="0.2"/>
    <row r="1933" ht="22.5" customHeight="1" x14ac:dyDescent="0.2"/>
    <row r="1934" ht="22.5" customHeight="1" x14ac:dyDescent="0.2"/>
    <row r="1935" ht="22.5" customHeight="1" x14ac:dyDescent="0.2"/>
    <row r="1936" ht="22.5" customHeight="1" x14ac:dyDescent="0.2"/>
    <row r="1937" ht="22.5" customHeight="1" x14ac:dyDescent="0.2"/>
    <row r="1938" ht="22.5" customHeight="1" x14ac:dyDescent="0.2"/>
    <row r="1939" ht="22.5" customHeight="1" x14ac:dyDescent="0.2"/>
    <row r="1940" ht="22.5" customHeight="1" x14ac:dyDescent="0.2"/>
    <row r="1941" ht="22.5" customHeight="1" x14ac:dyDescent="0.2"/>
    <row r="1942" ht="22.5" customHeight="1" x14ac:dyDescent="0.2"/>
    <row r="1943" ht="22.5" customHeight="1" x14ac:dyDescent="0.2"/>
    <row r="1944" ht="22.5" customHeight="1" x14ac:dyDescent="0.2"/>
    <row r="1945" ht="22.5" customHeight="1" x14ac:dyDescent="0.2"/>
    <row r="1946" ht="22.5" customHeight="1" x14ac:dyDescent="0.2"/>
    <row r="1947" ht="22.5" customHeight="1" x14ac:dyDescent="0.2"/>
    <row r="1948" ht="22.5" customHeight="1" x14ac:dyDescent="0.2"/>
    <row r="1949" ht="22.5" customHeight="1" x14ac:dyDescent="0.2"/>
    <row r="1950" ht="22.5" customHeight="1" x14ac:dyDescent="0.2"/>
    <row r="1951" ht="22.5" customHeight="1" x14ac:dyDescent="0.2"/>
    <row r="1952" ht="22.5" customHeight="1" x14ac:dyDescent="0.2"/>
    <row r="1953" ht="22.5" customHeight="1" x14ac:dyDescent="0.2"/>
    <row r="1954" ht="22.5" customHeight="1" x14ac:dyDescent="0.2"/>
    <row r="1955" ht="22.5" customHeight="1" x14ac:dyDescent="0.2"/>
    <row r="1956" ht="22.5" customHeight="1" x14ac:dyDescent="0.2"/>
    <row r="1957" ht="22.5" customHeight="1" x14ac:dyDescent="0.2"/>
    <row r="1958" ht="22.5" customHeight="1" x14ac:dyDescent="0.2"/>
    <row r="1959" ht="22.5" customHeight="1" x14ac:dyDescent="0.2"/>
    <row r="1960" ht="22.5" customHeight="1" x14ac:dyDescent="0.2"/>
    <row r="1961" ht="22.5" customHeight="1" x14ac:dyDescent="0.2"/>
    <row r="1962" ht="22.5" customHeight="1" x14ac:dyDescent="0.2"/>
    <row r="1963" ht="22.5" customHeight="1" x14ac:dyDescent="0.2"/>
    <row r="1964" ht="22.5" customHeight="1" x14ac:dyDescent="0.2"/>
    <row r="1965" ht="22.5" customHeight="1" x14ac:dyDescent="0.2"/>
    <row r="1966" ht="22.5" customHeight="1" x14ac:dyDescent="0.2"/>
    <row r="1967" ht="22.5" customHeight="1" x14ac:dyDescent="0.2"/>
    <row r="1968" ht="22.5" customHeight="1" x14ac:dyDescent="0.2"/>
    <row r="1969" ht="22.5" customHeight="1" x14ac:dyDescent="0.2"/>
    <row r="1970" ht="22.5" customHeight="1" x14ac:dyDescent="0.2"/>
    <row r="1971" ht="22.5" customHeight="1" x14ac:dyDescent="0.2"/>
    <row r="1972" ht="22.5" customHeight="1" x14ac:dyDescent="0.2"/>
    <row r="1973" ht="22.5" customHeight="1" x14ac:dyDescent="0.2"/>
    <row r="1974" ht="22.5" customHeight="1" x14ac:dyDescent="0.2"/>
    <row r="1975" ht="22.5" customHeight="1" x14ac:dyDescent="0.2"/>
    <row r="1976" ht="22.5" customHeight="1" x14ac:dyDescent="0.2"/>
    <row r="1977" ht="22.5" customHeight="1" x14ac:dyDescent="0.2"/>
    <row r="1978" ht="22.5" customHeight="1" x14ac:dyDescent="0.2"/>
    <row r="1979" ht="22.5" customHeight="1" x14ac:dyDescent="0.2"/>
    <row r="1980" ht="22.5" customHeight="1" x14ac:dyDescent="0.2"/>
    <row r="1981" ht="22.5" customHeight="1" x14ac:dyDescent="0.2"/>
    <row r="1982" ht="22.5" customHeight="1" x14ac:dyDescent="0.2"/>
    <row r="1983" ht="22.5" customHeight="1" x14ac:dyDescent="0.2"/>
    <row r="1984" ht="22.5" customHeight="1" x14ac:dyDescent="0.2"/>
    <row r="1985" ht="22.5" customHeight="1" x14ac:dyDescent="0.2"/>
    <row r="1986" ht="22.5" customHeight="1" x14ac:dyDescent="0.2"/>
    <row r="1987" ht="22.5" customHeight="1" x14ac:dyDescent="0.2"/>
    <row r="1988" ht="22.5" customHeight="1" x14ac:dyDescent="0.2"/>
    <row r="1989" ht="22.5" customHeight="1" x14ac:dyDescent="0.2"/>
    <row r="1990" ht="22.5" customHeight="1" x14ac:dyDescent="0.2"/>
    <row r="1991" ht="22.5" customHeight="1" x14ac:dyDescent="0.2"/>
    <row r="1992" ht="22.5" customHeight="1" x14ac:dyDescent="0.2"/>
    <row r="1993" ht="22.5" customHeight="1" x14ac:dyDescent="0.2"/>
    <row r="1994" ht="22.5" customHeight="1" x14ac:dyDescent="0.2"/>
    <row r="1995" ht="22.5" customHeight="1" x14ac:dyDescent="0.2"/>
    <row r="1996" ht="22.5" customHeight="1" x14ac:dyDescent="0.2"/>
    <row r="1997" ht="22.5" customHeight="1" x14ac:dyDescent="0.2"/>
    <row r="1998" ht="22.5" customHeight="1" x14ac:dyDescent="0.2"/>
    <row r="1999" ht="22.5" customHeight="1" x14ac:dyDescent="0.2"/>
    <row r="2000" ht="22.5" customHeight="1" x14ac:dyDescent="0.2"/>
    <row r="2001" ht="22.5" customHeight="1" x14ac:dyDescent="0.2"/>
    <row r="2002" ht="22.5" customHeight="1" x14ac:dyDescent="0.2"/>
    <row r="2003" ht="22.5" customHeight="1" x14ac:dyDescent="0.2"/>
    <row r="2004" ht="22.5" customHeight="1" x14ac:dyDescent="0.2"/>
    <row r="2005" ht="22.5" customHeight="1" x14ac:dyDescent="0.2"/>
    <row r="2006" ht="22.5" customHeight="1" x14ac:dyDescent="0.2"/>
    <row r="2007" ht="22.5" customHeight="1" x14ac:dyDescent="0.2"/>
    <row r="2008" ht="22.5" customHeight="1" x14ac:dyDescent="0.2"/>
    <row r="2009" ht="22.5" customHeight="1" x14ac:dyDescent="0.2"/>
    <row r="2010" ht="22.5" customHeight="1" x14ac:dyDescent="0.2"/>
    <row r="2011" ht="22.5" customHeight="1" x14ac:dyDescent="0.2"/>
    <row r="2012" ht="22.5" customHeight="1" x14ac:dyDescent="0.2"/>
    <row r="2013" ht="22.5" customHeight="1" x14ac:dyDescent="0.2"/>
    <row r="2014" ht="22.5" customHeight="1" x14ac:dyDescent="0.2"/>
    <row r="2015" ht="22.5" customHeight="1" x14ac:dyDescent="0.2"/>
    <row r="2016" ht="22.5" customHeight="1" x14ac:dyDescent="0.2"/>
    <row r="2017" ht="22.5" customHeight="1" x14ac:dyDescent="0.2"/>
    <row r="2018" ht="22.5" customHeight="1" x14ac:dyDescent="0.2"/>
    <row r="2019" ht="22.5" customHeight="1" x14ac:dyDescent="0.2"/>
    <row r="2020" ht="22.5" customHeight="1" x14ac:dyDescent="0.2"/>
    <row r="2021" ht="22.5" customHeight="1" x14ac:dyDescent="0.2"/>
    <row r="2022" ht="22.5" customHeight="1" x14ac:dyDescent="0.2"/>
    <row r="2023" ht="22.5" customHeight="1" x14ac:dyDescent="0.2"/>
    <row r="2024" ht="22.5" customHeight="1" x14ac:dyDescent="0.2"/>
    <row r="2025" ht="22.5" customHeight="1" x14ac:dyDescent="0.2"/>
    <row r="2026" ht="22.5" customHeight="1" x14ac:dyDescent="0.2"/>
    <row r="2027" ht="22.5" customHeight="1" x14ac:dyDescent="0.2"/>
    <row r="2028" ht="22.5" customHeight="1" x14ac:dyDescent="0.2"/>
    <row r="2029" ht="22.5" customHeight="1" x14ac:dyDescent="0.2"/>
    <row r="2030" ht="22.5" customHeight="1" x14ac:dyDescent="0.2"/>
    <row r="2031" ht="22.5" customHeight="1" x14ac:dyDescent="0.2"/>
    <row r="2032" ht="22.5" customHeight="1" x14ac:dyDescent="0.2"/>
    <row r="2033" ht="22.5" customHeight="1" x14ac:dyDescent="0.2"/>
    <row r="2034" ht="22.5" customHeight="1" x14ac:dyDescent="0.2"/>
    <row r="2035" ht="22.5" customHeight="1" x14ac:dyDescent="0.2"/>
    <row r="2036" ht="22.5" customHeight="1" x14ac:dyDescent="0.2"/>
    <row r="2037" ht="22.5" customHeight="1" x14ac:dyDescent="0.2"/>
    <row r="2038" ht="22.5" customHeight="1" x14ac:dyDescent="0.2"/>
    <row r="2039" ht="22.5" customHeight="1" x14ac:dyDescent="0.2"/>
    <row r="2040" ht="22.5" customHeight="1" x14ac:dyDescent="0.2"/>
    <row r="2041" ht="22.5" customHeight="1" x14ac:dyDescent="0.2"/>
    <row r="2042" ht="22.5" customHeight="1" x14ac:dyDescent="0.2"/>
    <row r="2043" ht="22.5" customHeight="1" x14ac:dyDescent="0.2"/>
    <row r="2044" ht="22.5" customHeight="1" x14ac:dyDescent="0.2"/>
    <row r="2045" ht="22.5" customHeight="1" x14ac:dyDescent="0.2"/>
    <row r="2046" ht="22.5" customHeight="1" x14ac:dyDescent="0.2"/>
    <row r="2047" ht="22.5" customHeight="1" x14ac:dyDescent="0.2"/>
    <row r="2048" ht="22.5" customHeight="1" x14ac:dyDescent="0.2"/>
    <row r="2049" ht="22.5" customHeight="1" x14ac:dyDescent="0.2"/>
    <row r="2050" ht="22.5" customHeight="1" x14ac:dyDescent="0.2"/>
    <row r="2051" ht="22.5" customHeight="1" x14ac:dyDescent="0.2"/>
    <row r="2052" ht="22.5" customHeight="1" x14ac:dyDescent="0.2"/>
    <row r="2053" ht="22.5" customHeight="1" x14ac:dyDescent="0.2"/>
    <row r="2054" ht="22.5" customHeight="1" x14ac:dyDescent="0.2"/>
    <row r="2055" ht="22.5" customHeight="1" x14ac:dyDescent="0.2"/>
    <row r="2056" ht="22.5" customHeight="1" x14ac:dyDescent="0.2"/>
    <row r="2057" ht="22.5" customHeight="1" x14ac:dyDescent="0.2"/>
    <row r="2058" ht="22.5" customHeight="1" x14ac:dyDescent="0.2"/>
    <row r="2059" ht="22.5" customHeight="1" x14ac:dyDescent="0.2"/>
    <row r="2060" ht="22.5" customHeight="1" x14ac:dyDescent="0.2"/>
    <row r="2061" ht="22.5" customHeight="1" x14ac:dyDescent="0.2"/>
    <row r="2062" ht="22.5" customHeight="1" x14ac:dyDescent="0.2"/>
    <row r="2063" ht="22.5" customHeight="1" x14ac:dyDescent="0.2"/>
    <row r="2064" ht="22.5" customHeight="1" x14ac:dyDescent="0.2"/>
    <row r="2065" ht="22.5" customHeight="1" x14ac:dyDescent="0.2"/>
    <row r="2066" ht="22.5" customHeight="1" x14ac:dyDescent="0.2"/>
    <row r="2067" ht="22.5" customHeight="1" x14ac:dyDescent="0.2"/>
    <row r="2068" ht="22.5" customHeight="1" x14ac:dyDescent="0.2"/>
    <row r="2069" ht="22.5" customHeight="1" x14ac:dyDescent="0.2"/>
    <row r="2070" ht="22.5" customHeight="1" x14ac:dyDescent="0.2"/>
    <row r="2071" ht="22.5" customHeight="1" x14ac:dyDescent="0.2"/>
    <row r="2072" ht="22.5" customHeight="1" x14ac:dyDescent="0.2"/>
    <row r="2073" ht="22.5" customHeight="1" x14ac:dyDescent="0.2"/>
    <row r="2074" ht="22.5" customHeight="1" x14ac:dyDescent="0.2"/>
    <row r="2075" ht="22.5" customHeight="1" x14ac:dyDescent="0.2"/>
    <row r="2076" ht="22.5" customHeight="1" x14ac:dyDescent="0.2"/>
    <row r="2077" ht="22.5" customHeight="1" x14ac:dyDescent="0.2"/>
    <row r="2078" ht="22.5" customHeight="1" x14ac:dyDescent="0.2"/>
    <row r="2079" ht="22.5" customHeight="1" x14ac:dyDescent="0.2"/>
    <row r="2080" ht="22.5" customHeight="1" x14ac:dyDescent="0.2"/>
    <row r="2081" ht="22.5" customHeight="1" x14ac:dyDescent="0.2"/>
    <row r="2082" ht="22.5" customHeight="1" x14ac:dyDescent="0.2"/>
    <row r="2083" ht="22.5" customHeight="1" x14ac:dyDescent="0.2"/>
    <row r="2084" ht="22.5" customHeight="1" x14ac:dyDescent="0.2"/>
    <row r="2085" ht="22.5" customHeight="1" x14ac:dyDescent="0.2"/>
    <row r="2086" ht="22.5" customHeight="1" x14ac:dyDescent="0.2"/>
    <row r="2087" ht="22.5" customHeight="1" x14ac:dyDescent="0.2"/>
    <row r="2088" ht="22.5" customHeight="1" x14ac:dyDescent="0.2"/>
    <row r="2089" ht="22.5" customHeight="1" x14ac:dyDescent="0.2"/>
    <row r="2090" ht="22.5" customHeight="1" x14ac:dyDescent="0.2"/>
    <row r="2091" ht="22.5" customHeight="1" x14ac:dyDescent="0.2"/>
    <row r="2092" ht="22.5" customHeight="1" x14ac:dyDescent="0.2"/>
    <row r="2093" ht="22.5" customHeight="1" x14ac:dyDescent="0.2"/>
    <row r="2094" ht="22.5" customHeight="1" x14ac:dyDescent="0.2"/>
    <row r="2095" ht="22.5" customHeight="1" x14ac:dyDescent="0.2"/>
    <row r="2096" ht="22.5" customHeight="1" x14ac:dyDescent="0.2"/>
    <row r="2097" ht="22.5" customHeight="1" x14ac:dyDescent="0.2"/>
    <row r="2098" ht="22.5" customHeight="1" x14ac:dyDescent="0.2"/>
    <row r="2099" ht="22.5" customHeight="1" x14ac:dyDescent="0.2"/>
    <row r="2100" ht="22.5" customHeight="1" x14ac:dyDescent="0.2"/>
    <row r="2101" ht="22.5" customHeight="1" x14ac:dyDescent="0.2"/>
    <row r="2102" ht="22.5" customHeight="1" x14ac:dyDescent="0.2"/>
    <row r="2103" ht="22.5" customHeight="1" x14ac:dyDescent="0.2"/>
    <row r="2104" ht="22.5" customHeight="1" x14ac:dyDescent="0.2"/>
    <row r="2105" ht="22.5" customHeight="1" x14ac:dyDescent="0.2"/>
    <row r="2106" ht="22.5" customHeight="1" x14ac:dyDescent="0.2"/>
    <row r="2107" ht="22.5" customHeight="1" x14ac:dyDescent="0.2"/>
    <row r="2108" ht="22.5" customHeight="1" x14ac:dyDescent="0.2"/>
    <row r="2109" ht="22.5" customHeight="1" x14ac:dyDescent="0.2"/>
    <row r="2110" ht="22.5" customHeight="1" x14ac:dyDescent="0.2"/>
    <row r="2111" ht="22.5" customHeight="1" x14ac:dyDescent="0.2"/>
    <row r="2112" ht="22.5" customHeight="1" x14ac:dyDescent="0.2"/>
    <row r="2113" ht="22.5" customHeight="1" x14ac:dyDescent="0.2"/>
    <row r="2114" ht="22.5" customHeight="1" x14ac:dyDescent="0.2"/>
    <row r="2115" ht="22.5" customHeight="1" x14ac:dyDescent="0.2"/>
    <row r="2116" ht="22.5" customHeight="1" x14ac:dyDescent="0.2"/>
    <row r="2117" ht="22.5" customHeight="1" x14ac:dyDescent="0.2"/>
    <row r="2118" ht="22.5" customHeight="1" x14ac:dyDescent="0.2"/>
    <row r="2119" ht="22.5" customHeight="1" x14ac:dyDescent="0.2"/>
    <row r="2120" ht="22.5" customHeight="1" x14ac:dyDescent="0.2"/>
    <row r="2121" ht="22.5" customHeight="1" x14ac:dyDescent="0.2"/>
    <row r="2122" ht="22.5" customHeight="1" x14ac:dyDescent="0.2"/>
    <row r="2123" ht="22.5" customHeight="1" x14ac:dyDescent="0.2"/>
    <row r="2124" ht="22.5" customHeight="1" x14ac:dyDescent="0.2"/>
    <row r="2125" ht="22.5" customHeight="1" x14ac:dyDescent="0.2"/>
    <row r="2126" ht="22.5" customHeight="1" x14ac:dyDescent="0.2"/>
    <row r="2127" ht="22.5" customHeight="1" x14ac:dyDescent="0.2"/>
    <row r="2128" ht="22.5" customHeight="1" x14ac:dyDescent="0.2"/>
    <row r="2129" ht="22.5" customHeight="1" x14ac:dyDescent="0.2"/>
    <row r="2130" ht="22.5" customHeight="1" x14ac:dyDescent="0.2"/>
    <row r="2131" ht="22.5" customHeight="1" x14ac:dyDescent="0.2"/>
    <row r="2132" ht="22.5" customHeight="1" x14ac:dyDescent="0.2"/>
    <row r="2133" ht="22.5" customHeight="1" x14ac:dyDescent="0.2"/>
    <row r="2134" ht="22.5" customHeight="1" x14ac:dyDescent="0.2"/>
    <row r="2135" ht="22.5" customHeight="1" x14ac:dyDescent="0.2"/>
    <row r="2136" ht="22.5" customHeight="1" x14ac:dyDescent="0.2"/>
    <row r="2137" ht="22.5" customHeight="1" x14ac:dyDescent="0.2"/>
    <row r="2138" ht="22.5" customHeight="1" x14ac:dyDescent="0.2"/>
    <row r="2139" ht="22.5" customHeight="1" x14ac:dyDescent="0.2"/>
    <row r="2140" ht="22.5" customHeight="1" x14ac:dyDescent="0.2"/>
    <row r="2141" ht="22.5" customHeight="1" x14ac:dyDescent="0.2"/>
    <row r="2142" ht="22.5" customHeight="1" x14ac:dyDescent="0.2"/>
    <row r="2143" ht="22.5" customHeight="1" x14ac:dyDescent="0.2"/>
    <row r="2144" ht="22.5" customHeight="1" x14ac:dyDescent="0.2"/>
    <row r="2145" ht="22.5" customHeight="1" x14ac:dyDescent="0.2"/>
    <row r="2146" ht="22.5" customHeight="1" x14ac:dyDescent="0.2"/>
    <row r="2147" ht="22.5" customHeight="1" x14ac:dyDescent="0.2"/>
    <row r="2148" ht="22.5" customHeight="1" x14ac:dyDescent="0.2"/>
    <row r="2149" ht="22.5" customHeight="1" x14ac:dyDescent="0.2"/>
    <row r="2150" ht="22.5" customHeight="1" x14ac:dyDescent="0.2"/>
    <row r="2151" ht="22.5" customHeight="1" x14ac:dyDescent="0.2"/>
    <row r="2152" ht="22.5" customHeight="1" x14ac:dyDescent="0.2"/>
    <row r="2153" ht="22.5" customHeight="1" x14ac:dyDescent="0.2"/>
    <row r="2154" ht="22.5" customHeight="1" x14ac:dyDescent="0.2"/>
    <row r="2155" ht="22.5" customHeight="1" x14ac:dyDescent="0.2"/>
    <row r="2156" ht="22.5" customHeight="1" x14ac:dyDescent="0.2"/>
    <row r="2157" ht="22.5" customHeight="1" x14ac:dyDescent="0.2"/>
    <row r="2158" ht="22.5" customHeight="1" x14ac:dyDescent="0.2"/>
    <row r="2159" ht="22.5" customHeight="1" x14ac:dyDescent="0.2"/>
    <row r="2160" ht="22.5" customHeight="1" x14ac:dyDescent="0.2"/>
    <row r="2161" ht="22.5" customHeight="1" x14ac:dyDescent="0.2"/>
    <row r="2162" ht="22.5" customHeight="1" x14ac:dyDescent="0.2"/>
    <row r="2163" ht="22.5" customHeight="1" x14ac:dyDescent="0.2"/>
    <row r="2164" ht="22.5" customHeight="1" x14ac:dyDescent="0.2"/>
    <row r="2165" ht="22.5" customHeight="1" x14ac:dyDescent="0.2"/>
    <row r="2166" ht="22.5" customHeight="1" x14ac:dyDescent="0.2"/>
    <row r="2167" ht="22.5" customHeight="1" x14ac:dyDescent="0.2"/>
    <row r="2168" ht="22.5" customHeight="1" x14ac:dyDescent="0.2"/>
    <row r="2169" ht="22.5" customHeight="1" x14ac:dyDescent="0.2"/>
    <row r="2170" ht="22.5" customHeight="1" x14ac:dyDescent="0.2"/>
    <row r="2171" ht="22.5" customHeight="1" x14ac:dyDescent="0.2"/>
    <row r="2172" ht="22.5" customHeight="1" x14ac:dyDescent="0.2"/>
    <row r="2173" ht="22.5" customHeight="1" x14ac:dyDescent="0.2"/>
    <row r="2174" ht="22.5" customHeight="1" x14ac:dyDescent="0.2"/>
    <row r="2175" ht="22.5" customHeight="1" x14ac:dyDescent="0.2"/>
    <row r="2176" ht="22.5" customHeight="1" x14ac:dyDescent="0.2"/>
    <row r="2177" ht="22.5" customHeight="1" x14ac:dyDescent="0.2"/>
    <row r="2178" ht="22.5" customHeight="1" x14ac:dyDescent="0.2"/>
    <row r="2179" ht="22.5" customHeight="1" x14ac:dyDescent="0.2"/>
    <row r="2180" ht="22.5" customHeight="1" x14ac:dyDescent="0.2"/>
    <row r="2181" ht="22.5" customHeight="1" x14ac:dyDescent="0.2"/>
    <row r="2182" ht="22.5" customHeight="1" x14ac:dyDescent="0.2"/>
    <row r="2183" ht="22.5" customHeight="1" x14ac:dyDescent="0.2"/>
    <row r="2184" ht="22.5" customHeight="1" x14ac:dyDescent="0.2"/>
    <row r="2185" ht="22.5" customHeight="1" x14ac:dyDescent="0.2"/>
    <row r="2186" ht="22.5" customHeight="1" x14ac:dyDescent="0.2"/>
    <row r="2187" ht="22.5" customHeight="1" x14ac:dyDescent="0.2"/>
    <row r="2188" ht="22.5" customHeight="1" x14ac:dyDescent="0.2"/>
    <row r="2189" ht="22.5" customHeight="1" x14ac:dyDescent="0.2"/>
    <row r="2190" ht="22.5" customHeight="1" x14ac:dyDescent="0.2"/>
    <row r="2191" ht="22.5" customHeight="1" x14ac:dyDescent="0.2"/>
    <row r="2192" ht="22.5" customHeight="1" x14ac:dyDescent="0.2"/>
    <row r="2193" ht="22.5" customHeight="1" x14ac:dyDescent="0.2"/>
    <row r="2194" ht="22.5" customHeight="1" x14ac:dyDescent="0.2"/>
    <row r="2195" ht="22.5" customHeight="1" x14ac:dyDescent="0.2"/>
    <row r="2196" ht="22.5" customHeight="1" x14ac:dyDescent="0.2"/>
    <row r="2197" ht="22.5" customHeight="1" x14ac:dyDescent="0.2"/>
    <row r="2198" ht="22.5" customHeight="1" x14ac:dyDescent="0.2"/>
    <row r="2199" ht="22.5" customHeight="1" x14ac:dyDescent="0.2"/>
    <row r="2200" ht="22.5" customHeight="1" x14ac:dyDescent="0.2"/>
    <row r="2201" ht="22.5" customHeight="1" x14ac:dyDescent="0.2"/>
    <row r="2202" ht="22.5" customHeight="1" x14ac:dyDescent="0.2"/>
    <row r="2203" ht="22.5" customHeight="1" x14ac:dyDescent="0.2"/>
    <row r="2204" ht="22.5" customHeight="1" x14ac:dyDescent="0.2"/>
    <row r="2205" ht="22.5" customHeight="1" x14ac:dyDescent="0.2"/>
    <row r="2206" ht="22.5" customHeight="1" x14ac:dyDescent="0.2"/>
    <row r="2207" ht="22.5" customHeight="1" x14ac:dyDescent="0.2"/>
    <row r="2208" ht="22.5" customHeight="1" x14ac:dyDescent="0.2"/>
    <row r="2209" ht="22.5" customHeight="1" x14ac:dyDescent="0.2"/>
    <row r="2210" ht="22.5" customHeight="1" x14ac:dyDescent="0.2"/>
    <row r="2211" ht="22.5" customHeight="1" x14ac:dyDescent="0.2"/>
    <row r="2212" ht="22.5" customHeight="1" x14ac:dyDescent="0.2"/>
    <row r="2213" ht="22.5" customHeight="1" x14ac:dyDescent="0.2"/>
    <row r="2214" ht="22.5" customHeight="1" x14ac:dyDescent="0.2"/>
    <row r="2215" ht="22.5" customHeight="1" x14ac:dyDescent="0.2"/>
    <row r="2216" ht="22.5" customHeight="1" x14ac:dyDescent="0.2"/>
    <row r="2217" ht="22.5" customHeight="1" x14ac:dyDescent="0.2"/>
    <row r="2218" ht="22.5" customHeight="1" x14ac:dyDescent="0.2"/>
    <row r="2219" ht="22.5" customHeight="1" x14ac:dyDescent="0.2"/>
    <row r="2220" ht="22.5" customHeight="1" x14ac:dyDescent="0.2"/>
    <row r="2221" ht="22.5" customHeight="1" x14ac:dyDescent="0.2"/>
    <row r="2222" ht="22.5" customHeight="1" x14ac:dyDescent="0.2"/>
    <row r="2223" ht="22.5" customHeight="1" x14ac:dyDescent="0.2"/>
    <row r="2224" ht="22.5" customHeight="1" x14ac:dyDescent="0.2"/>
    <row r="2225" ht="22.5" customHeight="1" x14ac:dyDescent="0.2"/>
    <row r="2226" ht="22.5" customHeight="1" x14ac:dyDescent="0.2"/>
    <row r="2227" ht="22.5" customHeight="1" x14ac:dyDescent="0.2"/>
    <row r="2228" ht="22.5" customHeight="1" x14ac:dyDescent="0.2"/>
    <row r="2229" ht="22.5" customHeight="1" x14ac:dyDescent="0.2"/>
    <row r="2230" ht="22.5" customHeight="1" x14ac:dyDescent="0.2"/>
    <row r="2231" ht="22.5" customHeight="1" x14ac:dyDescent="0.2"/>
    <row r="2232" ht="22.5" customHeight="1" x14ac:dyDescent="0.2"/>
    <row r="2233" ht="22.5" customHeight="1" x14ac:dyDescent="0.2"/>
    <row r="2234" ht="22.5" customHeight="1" x14ac:dyDescent="0.2"/>
    <row r="2235" ht="22.5" customHeight="1" x14ac:dyDescent="0.2"/>
    <row r="2236" ht="22.5" customHeight="1" x14ac:dyDescent="0.2"/>
    <row r="2237" ht="22.5" customHeight="1" x14ac:dyDescent="0.2"/>
    <row r="2238" ht="22.5" customHeight="1" x14ac:dyDescent="0.2"/>
    <row r="2239" ht="22.5" customHeight="1" x14ac:dyDescent="0.2"/>
    <row r="2240" ht="22.5" customHeight="1" x14ac:dyDescent="0.2"/>
    <row r="2241" ht="22.5" customHeight="1" x14ac:dyDescent="0.2"/>
    <row r="2242" ht="22.5" customHeight="1" x14ac:dyDescent="0.2"/>
    <row r="2243" ht="22.5" customHeight="1" x14ac:dyDescent="0.2"/>
    <row r="2244" ht="22.5" customHeight="1" x14ac:dyDescent="0.2"/>
    <row r="2245" ht="22.5" customHeight="1" x14ac:dyDescent="0.2"/>
    <row r="2246" ht="22.5" customHeight="1" x14ac:dyDescent="0.2"/>
    <row r="2247" ht="22.5" customHeight="1" x14ac:dyDescent="0.2"/>
    <row r="2248" ht="22.5" customHeight="1" x14ac:dyDescent="0.2"/>
    <row r="2249" ht="22.5" customHeight="1" x14ac:dyDescent="0.2"/>
    <row r="2250" ht="22.5" customHeight="1" x14ac:dyDescent="0.2"/>
    <row r="2251" ht="22.5" customHeight="1" x14ac:dyDescent="0.2"/>
    <row r="2252" ht="22.5" customHeight="1" x14ac:dyDescent="0.2"/>
    <row r="2253" ht="22.5" customHeight="1" x14ac:dyDescent="0.2"/>
    <row r="2254" ht="22.5" customHeight="1" x14ac:dyDescent="0.2"/>
    <row r="2255" ht="22.5" customHeight="1" x14ac:dyDescent="0.2"/>
    <row r="2256" ht="22.5" customHeight="1" x14ac:dyDescent="0.2"/>
    <row r="2257" ht="22.5" customHeight="1" x14ac:dyDescent="0.2"/>
    <row r="2258" ht="22.5" customHeight="1" x14ac:dyDescent="0.2"/>
    <row r="2259" ht="22.5" customHeight="1" x14ac:dyDescent="0.2"/>
    <row r="2260" ht="22.5" customHeight="1" x14ac:dyDescent="0.2"/>
    <row r="2261" ht="22.5" customHeight="1" x14ac:dyDescent="0.2"/>
    <row r="2262" ht="22.5" customHeight="1" x14ac:dyDescent="0.2"/>
    <row r="2263" ht="22.5" customHeight="1" x14ac:dyDescent="0.2"/>
    <row r="2264" ht="22.5" customHeight="1" x14ac:dyDescent="0.2"/>
    <row r="2265" ht="22.5" customHeight="1" x14ac:dyDescent="0.2"/>
    <row r="2266" ht="22.5" customHeight="1" x14ac:dyDescent="0.2"/>
    <row r="2267" ht="22.5" customHeight="1" x14ac:dyDescent="0.2"/>
    <row r="2268" ht="22.5" customHeight="1" x14ac:dyDescent="0.2"/>
    <row r="2269" ht="22.5" customHeight="1" x14ac:dyDescent="0.2"/>
    <row r="2270" ht="22.5" customHeight="1" x14ac:dyDescent="0.2"/>
    <row r="2271" ht="22.5" customHeight="1" x14ac:dyDescent="0.2"/>
    <row r="2272" ht="22.5" customHeight="1" x14ac:dyDescent="0.2"/>
    <row r="2273" ht="22.5" customHeight="1" x14ac:dyDescent="0.2"/>
    <row r="2274" ht="22.5" customHeight="1" x14ac:dyDescent="0.2"/>
    <row r="2275" ht="22.5" customHeight="1" x14ac:dyDescent="0.2"/>
    <row r="2276" ht="22.5" customHeight="1" x14ac:dyDescent="0.2"/>
    <row r="2277" ht="22.5" customHeight="1" x14ac:dyDescent="0.2"/>
    <row r="2278" ht="22.5" customHeight="1" x14ac:dyDescent="0.2"/>
    <row r="2279" ht="22.5" customHeight="1" x14ac:dyDescent="0.2"/>
    <row r="2280" ht="22.5" customHeight="1" x14ac:dyDescent="0.2"/>
    <row r="2281" ht="22.5" customHeight="1" x14ac:dyDescent="0.2"/>
    <row r="2282" ht="22.5" customHeight="1" x14ac:dyDescent="0.2"/>
    <row r="2283" ht="22.5" customHeight="1" x14ac:dyDescent="0.2"/>
    <row r="2284" ht="22.5" customHeight="1" x14ac:dyDescent="0.2"/>
    <row r="2285" ht="22.5" customHeight="1" x14ac:dyDescent="0.2"/>
    <row r="2286" ht="22.5" customHeight="1" x14ac:dyDescent="0.2"/>
    <row r="2287" ht="22.5" customHeight="1" x14ac:dyDescent="0.2"/>
    <row r="2288" ht="22.5" customHeight="1" x14ac:dyDescent="0.2"/>
    <row r="2289" ht="22.5" customHeight="1" x14ac:dyDescent="0.2"/>
    <row r="2290" ht="22.5" customHeight="1" x14ac:dyDescent="0.2"/>
    <row r="2291" ht="22.5" customHeight="1" x14ac:dyDescent="0.2"/>
    <row r="2292" ht="22.5" customHeight="1" x14ac:dyDescent="0.2"/>
    <row r="2293" ht="22.5" customHeight="1" x14ac:dyDescent="0.2"/>
    <row r="2294" ht="22.5" customHeight="1" x14ac:dyDescent="0.2"/>
    <row r="2295" ht="22.5" customHeight="1" x14ac:dyDescent="0.2"/>
    <row r="2296" ht="22.5" customHeight="1" x14ac:dyDescent="0.2"/>
    <row r="2297" ht="22.5" customHeight="1" x14ac:dyDescent="0.2"/>
    <row r="2298" ht="22.5" customHeight="1" x14ac:dyDescent="0.2"/>
    <row r="2299" ht="22.5" customHeight="1" x14ac:dyDescent="0.2"/>
    <row r="2300" ht="22.5" customHeight="1" x14ac:dyDescent="0.2"/>
    <row r="2301" ht="22.5" customHeight="1" x14ac:dyDescent="0.2"/>
    <row r="2302" ht="22.5" customHeight="1" x14ac:dyDescent="0.2"/>
    <row r="2303" ht="22.5" customHeight="1" x14ac:dyDescent="0.2"/>
    <row r="2304" ht="22.5" customHeight="1" x14ac:dyDescent="0.2"/>
    <row r="2305" ht="22.5" customHeight="1" x14ac:dyDescent="0.2"/>
    <row r="2306" ht="22.5" customHeight="1" x14ac:dyDescent="0.2"/>
    <row r="2307" ht="22.5" customHeight="1" x14ac:dyDescent="0.2"/>
    <row r="2308" ht="22.5" customHeight="1" x14ac:dyDescent="0.2"/>
    <row r="2309" ht="22.5" customHeight="1" x14ac:dyDescent="0.2"/>
    <row r="2310" ht="22.5" customHeight="1" x14ac:dyDescent="0.2"/>
    <row r="2311" ht="22.5" customHeight="1" x14ac:dyDescent="0.2"/>
    <row r="2312" ht="22.5" customHeight="1" x14ac:dyDescent="0.2"/>
    <row r="2313" ht="22.5" customHeight="1" x14ac:dyDescent="0.2"/>
    <row r="2314" ht="22.5" customHeight="1" x14ac:dyDescent="0.2"/>
    <row r="2315" ht="22.5" customHeight="1" x14ac:dyDescent="0.2"/>
    <row r="2316" ht="22.5" customHeight="1" x14ac:dyDescent="0.2"/>
    <row r="2317" ht="22.5" customHeight="1" x14ac:dyDescent="0.2"/>
    <row r="2318" ht="22.5" customHeight="1" x14ac:dyDescent="0.2"/>
    <row r="2319" ht="22.5" customHeight="1" x14ac:dyDescent="0.2"/>
    <row r="2320" ht="22.5" customHeight="1" x14ac:dyDescent="0.2"/>
    <row r="2321" ht="22.5" customHeight="1" x14ac:dyDescent="0.2"/>
    <row r="2322" ht="22.5" customHeight="1" x14ac:dyDescent="0.2"/>
    <row r="2323" ht="22.5" customHeight="1" x14ac:dyDescent="0.2"/>
    <row r="2324" ht="22.5" customHeight="1" x14ac:dyDescent="0.2"/>
    <row r="2325" ht="22.5" customHeight="1" x14ac:dyDescent="0.2"/>
    <row r="2326" ht="22.5" customHeight="1" x14ac:dyDescent="0.2"/>
    <row r="2327" ht="22.5" customHeight="1" x14ac:dyDescent="0.2"/>
    <row r="2328" ht="22.5" customHeight="1" x14ac:dyDescent="0.2"/>
    <row r="2329" ht="22.5" customHeight="1" x14ac:dyDescent="0.2"/>
    <row r="2330" ht="22.5" customHeight="1" x14ac:dyDescent="0.2"/>
    <row r="2331" ht="22.5" customHeight="1" x14ac:dyDescent="0.2"/>
    <row r="2332" ht="22.5" customHeight="1" x14ac:dyDescent="0.2"/>
    <row r="2333" ht="22.5" customHeight="1" x14ac:dyDescent="0.2"/>
    <row r="2334" ht="22.5" customHeight="1" x14ac:dyDescent="0.2"/>
    <row r="2335" ht="22.5" customHeight="1" x14ac:dyDescent="0.2"/>
    <row r="2336" ht="22.5" customHeight="1" x14ac:dyDescent="0.2"/>
    <row r="2337" ht="22.5" customHeight="1" x14ac:dyDescent="0.2"/>
    <row r="2338" ht="22.5" customHeight="1" x14ac:dyDescent="0.2"/>
    <row r="2339" ht="22.5" customHeight="1" x14ac:dyDescent="0.2"/>
    <row r="2340" ht="22.5" customHeight="1" x14ac:dyDescent="0.2"/>
    <row r="2341" ht="22.5" customHeight="1" x14ac:dyDescent="0.2"/>
    <row r="2342" ht="22.5" customHeight="1" x14ac:dyDescent="0.2"/>
    <row r="2343" ht="22.5" customHeight="1" x14ac:dyDescent="0.2"/>
    <row r="2344" ht="22.5" customHeight="1" x14ac:dyDescent="0.2"/>
    <row r="2345" ht="22.5" customHeight="1" x14ac:dyDescent="0.2"/>
    <row r="2346" ht="22.5" customHeight="1" x14ac:dyDescent="0.2"/>
    <row r="2347" ht="22.5" customHeight="1" x14ac:dyDescent="0.2"/>
    <row r="2348" ht="22.5" customHeight="1" x14ac:dyDescent="0.2"/>
    <row r="2349" ht="22.5" customHeight="1" x14ac:dyDescent="0.2"/>
    <row r="2350" ht="22.5" customHeight="1" x14ac:dyDescent="0.2"/>
    <row r="2351" ht="22.5" customHeight="1" x14ac:dyDescent="0.2"/>
    <row r="2352" ht="22.5" customHeight="1" x14ac:dyDescent="0.2"/>
    <row r="2353" ht="22.5" customHeight="1" x14ac:dyDescent="0.2"/>
    <row r="2354" ht="22.5" customHeight="1" x14ac:dyDescent="0.2"/>
    <row r="2355" ht="22.5" customHeight="1" x14ac:dyDescent="0.2"/>
    <row r="2356" ht="22.5" customHeight="1" x14ac:dyDescent="0.2"/>
    <row r="2357" ht="22.5" customHeight="1" x14ac:dyDescent="0.2"/>
    <row r="2358" ht="22.5" customHeight="1" x14ac:dyDescent="0.2"/>
    <row r="2359" ht="22.5" customHeight="1" x14ac:dyDescent="0.2"/>
    <row r="2360" ht="22.5" customHeight="1" x14ac:dyDescent="0.2"/>
    <row r="2361" ht="22.5" customHeight="1" x14ac:dyDescent="0.2"/>
    <row r="2362" ht="22.5" customHeight="1" x14ac:dyDescent="0.2"/>
    <row r="2363" ht="22.5" customHeight="1" x14ac:dyDescent="0.2"/>
    <row r="2364" ht="22.5" customHeight="1" x14ac:dyDescent="0.2"/>
    <row r="2365" ht="22.5" customHeight="1" x14ac:dyDescent="0.2"/>
    <row r="2366" ht="22.5" customHeight="1" x14ac:dyDescent="0.2"/>
    <row r="2367" ht="22.5" customHeight="1" x14ac:dyDescent="0.2"/>
    <row r="2368" ht="22.5" customHeight="1" x14ac:dyDescent="0.2"/>
    <row r="2369" ht="22.5" customHeight="1" x14ac:dyDescent="0.2"/>
    <row r="2370" ht="22.5" customHeight="1" x14ac:dyDescent="0.2"/>
    <row r="2371" ht="22.5" customHeight="1" x14ac:dyDescent="0.2"/>
    <row r="2372" ht="22.5" customHeight="1" x14ac:dyDescent="0.2"/>
    <row r="2373" ht="22.5" customHeight="1" x14ac:dyDescent="0.2"/>
    <row r="2374" ht="22.5" customHeight="1" x14ac:dyDescent="0.2"/>
    <row r="2375" ht="22.5" customHeight="1" x14ac:dyDescent="0.2"/>
    <row r="2376" ht="22.5" customHeight="1" x14ac:dyDescent="0.2"/>
    <row r="2377" ht="22.5" customHeight="1" x14ac:dyDescent="0.2"/>
    <row r="2378" ht="22.5" customHeight="1" x14ac:dyDescent="0.2"/>
    <row r="2379" ht="22.5" customHeight="1" x14ac:dyDescent="0.2"/>
    <row r="2380" ht="22.5" customHeight="1" x14ac:dyDescent="0.2"/>
    <row r="2381" ht="22.5" customHeight="1" x14ac:dyDescent="0.2"/>
    <row r="2382" ht="22.5" customHeight="1" x14ac:dyDescent="0.2"/>
    <row r="2383" ht="22.5" customHeight="1" x14ac:dyDescent="0.2"/>
    <row r="2384" ht="22.5" customHeight="1" x14ac:dyDescent="0.2"/>
    <row r="2385" ht="22.5" customHeight="1" x14ac:dyDescent="0.2"/>
    <row r="2386" ht="22.5" customHeight="1" x14ac:dyDescent="0.2"/>
    <row r="2387" ht="22.5" customHeight="1" x14ac:dyDescent="0.2"/>
    <row r="2388" ht="22.5" customHeight="1" x14ac:dyDescent="0.2"/>
    <row r="2389" ht="22.5" customHeight="1" x14ac:dyDescent="0.2"/>
    <row r="2390" ht="22.5" customHeight="1" x14ac:dyDescent="0.2"/>
    <row r="2391" ht="22.5" customHeight="1" x14ac:dyDescent="0.2"/>
    <row r="2392" ht="22.5" customHeight="1" x14ac:dyDescent="0.2"/>
    <row r="2393" ht="22.5" customHeight="1" x14ac:dyDescent="0.2"/>
    <row r="2394" ht="22.5" customHeight="1" x14ac:dyDescent="0.2"/>
    <row r="2395" ht="22.5" customHeight="1" x14ac:dyDescent="0.2"/>
    <row r="2396" ht="22.5" customHeight="1" x14ac:dyDescent="0.2"/>
    <row r="2397" ht="22.5" customHeight="1" x14ac:dyDescent="0.2"/>
    <row r="2398" ht="22.5" customHeight="1" x14ac:dyDescent="0.2"/>
    <row r="2399" ht="22.5" customHeight="1" x14ac:dyDescent="0.2"/>
    <row r="2400" ht="22.5" customHeight="1" x14ac:dyDescent="0.2"/>
    <row r="2401" ht="22.5" customHeight="1" x14ac:dyDescent="0.2"/>
    <row r="2402" ht="22.5" customHeight="1" x14ac:dyDescent="0.2"/>
    <row r="2403" ht="22.5" customHeight="1" x14ac:dyDescent="0.2"/>
    <row r="2404" ht="22.5" customHeight="1" x14ac:dyDescent="0.2"/>
    <row r="2405" ht="22.5" customHeight="1" x14ac:dyDescent="0.2"/>
    <row r="2406" ht="22.5" customHeight="1" x14ac:dyDescent="0.2"/>
    <row r="2407" ht="22.5" customHeight="1" x14ac:dyDescent="0.2"/>
    <row r="2408" ht="22.5" customHeight="1" x14ac:dyDescent="0.2"/>
    <row r="2409" ht="22.5" customHeight="1" x14ac:dyDescent="0.2"/>
    <row r="2410" ht="22.5" customHeight="1" x14ac:dyDescent="0.2"/>
    <row r="2411" ht="22.5" customHeight="1" x14ac:dyDescent="0.2"/>
    <row r="2412" ht="22.5" customHeight="1" x14ac:dyDescent="0.2"/>
    <row r="2413" ht="22.5" customHeight="1" x14ac:dyDescent="0.2"/>
    <row r="2414" ht="22.5" customHeight="1" x14ac:dyDescent="0.2"/>
    <row r="2415" ht="22.5" customHeight="1" x14ac:dyDescent="0.2"/>
    <row r="2416" ht="22.5" customHeight="1" x14ac:dyDescent="0.2"/>
    <row r="2417" ht="22.5" customHeight="1" x14ac:dyDescent="0.2"/>
    <row r="2418" ht="22.5" customHeight="1" x14ac:dyDescent="0.2"/>
    <row r="2419" ht="22.5" customHeight="1" x14ac:dyDescent="0.2"/>
    <row r="2420" ht="22.5" customHeight="1" x14ac:dyDescent="0.2"/>
    <row r="2421" ht="22.5" customHeight="1" x14ac:dyDescent="0.2"/>
    <row r="2422" ht="22.5" customHeight="1" x14ac:dyDescent="0.2"/>
    <row r="2423" ht="22.5" customHeight="1" x14ac:dyDescent="0.2"/>
    <row r="2424" ht="22.5" customHeight="1" x14ac:dyDescent="0.2"/>
    <row r="2425" ht="22.5" customHeight="1" x14ac:dyDescent="0.2"/>
    <row r="2426" ht="22.5" customHeight="1" x14ac:dyDescent="0.2"/>
    <row r="2427" ht="22.5" customHeight="1" x14ac:dyDescent="0.2"/>
    <row r="2428" ht="22.5" customHeight="1" x14ac:dyDescent="0.2"/>
    <row r="2429" ht="22.5" customHeight="1" x14ac:dyDescent="0.2"/>
    <row r="2430" ht="22.5" customHeight="1" x14ac:dyDescent="0.2"/>
    <row r="2431" ht="22.5" customHeight="1" x14ac:dyDescent="0.2"/>
    <row r="2432" ht="22.5" customHeight="1" x14ac:dyDescent="0.2"/>
    <row r="2433" ht="22.5" customHeight="1" x14ac:dyDescent="0.2"/>
    <row r="2434" ht="22.5" customHeight="1" x14ac:dyDescent="0.2"/>
    <row r="2435" ht="22.5" customHeight="1" x14ac:dyDescent="0.2"/>
    <row r="2436" ht="22.5" customHeight="1" x14ac:dyDescent="0.2"/>
    <row r="2437" ht="22.5" customHeight="1" x14ac:dyDescent="0.2"/>
    <row r="2438" ht="22.5" customHeight="1" x14ac:dyDescent="0.2"/>
    <row r="2439" ht="22.5" customHeight="1" x14ac:dyDescent="0.2"/>
    <row r="2440" ht="22.5" customHeight="1" x14ac:dyDescent="0.2"/>
    <row r="2441" ht="22.5" customHeight="1" x14ac:dyDescent="0.2"/>
    <row r="2442" ht="22.5" customHeight="1" x14ac:dyDescent="0.2"/>
    <row r="2443" ht="22.5" customHeight="1" x14ac:dyDescent="0.2"/>
    <row r="2444" ht="22.5" customHeight="1" x14ac:dyDescent="0.2"/>
    <row r="2445" ht="22.5" customHeight="1" x14ac:dyDescent="0.2"/>
    <row r="2446" ht="22.5" customHeight="1" x14ac:dyDescent="0.2"/>
    <row r="2447" ht="22.5" customHeight="1" x14ac:dyDescent="0.2"/>
    <row r="2448" ht="22.5" customHeight="1" x14ac:dyDescent="0.2"/>
    <row r="2449" ht="22.5" customHeight="1" x14ac:dyDescent="0.2"/>
    <row r="2450" ht="22.5" customHeight="1" x14ac:dyDescent="0.2"/>
    <row r="2451" ht="22.5" customHeight="1" x14ac:dyDescent="0.2"/>
    <row r="2452" ht="22.5" customHeight="1" x14ac:dyDescent="0.2"/>
    <row r="2453" ht="22.5" customHeight="1" x14ac:dyDescent="0.2"/>
    <row r="2454" ht="22.5" customHeight="1" x14ac:dyDescent="0.2"/>
    <row r="2455" ht="22.5" customHeight="1" x14ac:dyDescent="0.2"/>
    <row r="2456" ht="22.5" customHeight="1" x14ac:dyDescent="0.2"/>
    <row r="2457" ht="22.5" customHeight="1" x14ac:dyDescent="0.2"/>
    <row r="2458" ht="22.5" customHeight="1" x14ac:dyDescent="0.2"/>
    <row r="2459" ht="22.5" customHeight="1" x14ac:dyDescent="0.2"/>
    <row r="2460" ht="22.5" customHeight="1" x14ac:dyDescent="0.2"/>
    <row r="2461" ht="22.5" customHeight="1" x14ac:dyDescent="0.2"/>
    <row r="2462" ht="22.5" customHeight="1" x14ac:dyDescent="0.2"/>
    <row r="2463" ht="22.5" customHeight="1" x14ac:dyDescent="0.2"/>
    <row r="2464" ht="22.5" customHeight="1" x14ac:dyDescent="0.2"/>
    <row r="2465" ht="22.5" customHeight="1" x14ac:dyDescent="0.2"/>
    <row r="2466" ht="22.5" customHeight="1" x14ac:dyDescent="0.2"/>
    <row r="2467" ht="22.5" customHeight="1" x14ac:dyDescent="0.2"/>
    <row r="2468" ht="22.5" customHeight="1" x14ac:dyDescent="0.2"/>
    <row r="2469" ht="22.5" customHeight="1" x14ac:dyDescent="0.2"/>
    <row r="2470" ht="22.5" customHeight="1" x14ac:dyDescent="0.2"/>
    <row r="2471" ht="22.5" customHeight="1" x14ac:dyDescent="0.2"/>
    <row r="2472" ht="22.5" customHeight="1" x14ac:dyDescent="0.2"/>
    <row r="2473" ht="22.5" customHeight="1" x14ac:dyDescent="0.2"/>
    <row r="2474" ht="22.5" customHeight="1" x14ac:dyDescent="0.2"/>
    <row r="2475" ht="22.5" customHeight="1" x14ac:dyDescent="0.2"/>
    <row r="2476" ht="22.5" customHeight="1" x14ac:dyDescent="0.2"/>
    <row r="2477" ht="22.5" customHeight="1" x14ac:dyDescent="0.2"/>
    <row r="2478" ht="22.5" customHeight="1" x14ac:dyDescent="0.2"/>
    <row r="2479" ht="22.5" customHeight="1" x14ac:dyDescent="0.2"/>
    <row r="2480" ht="22.5" customHeight="1" x14ac:dyDescent="0.2"/>
    <row r="2481" ht="22.5" customHeight="1" x14ac:dyDescent="0.2"/>
    <row r="2482" ht="22.5" customHeight="1" x14ac:dyDescent="0.2"/>
    <row r="2483" ht="22.5" customHeight="1" x14ac:dyDescent="0.2"/>
    <row r="2484" ht="22.5" customHeight="1" x14ac:dyDescent="0.2"/>
    <row r="2485" ht="22.5" customHeight="1" x14ac:dyDescent="0.2"/>
    <row r="2486" ht="22.5" customHeight="1" x14ac:dyDescent="0.2"/>
    <row r="2487" ht="22.5" customHeight="1" x14ac:dyDescent="0.2"/>
    <row r="2488" ht="22.5" customHeight="1" x14ac:dyDescent="0.2"/>
    <row r="2489" ht="22.5" customHeight="1" x14ac:dyDescent="0.2"/>
    <row r="2490" ht="22.5" customHeight="1" x14ac:dyDescent="0.2"/>
    <row r="2491" ht="22.5" customHeight="1" x14ac:dyDescent="0.2"/>
    <row r="2492" ht="22.5" customHeight="1" x14ac:dyDescent="0.2"/>
    <row r="2493" ht="22.5" customHeight="1" x14ac:dyDescent="0.2"/>
    <row r="2494" ht="22.5" customHeight="1" x14ac:dyDescent="0.2"/>
    <row r="2495" ht="22.5" customHeight="1" x14ac:dyDescent="0.2"/>
    <row r="2496" ht="22.5" customHeight="1" x14ac:dyDescent="0.2"/>
    <row r="2497" ht="22.5" customHeight="1" x14ac:dyDescent="0.2"/>
    <row r="2498" ht="22.5" customHeight="1" x14ac:dyDescent="0.2"/>
    <row r="2499" ht="22.5" customHeight="1" x14ac:dyDescent="0.2"/>
    <row r="2500" ht="22.5" customHeight="1" x14ac:dyDescent="0.2"/>
    <row r="2501" ht="22.5" customHeight="1" x14ac:dyDescent="0.2"/>
    <row r="2502" ht="22.5" customHeight="1" x14ac:dyDescent="0.2"/>
    <row r="2503" ht="22.5" customHeight="1" x14ac:dyDescent="0.2"/>
    <row r="2504" ht="22.5" customHeight="1" x14ac:dyDescent="0.2"/>
    <row r="2505" ht="22.5" customHeight="1" x14ac:dyDescent="0.2"/>
    <row r="2506" ht="22.5" customHeight="1" x14ac:dyDescent="0.2"/>
    <row r="2507" ht="22.5" customHeight="1" x14ac:dyDescent="0.2"/>
    <row r="2508" ht="22.5" customHeight="1" x14ac:dyDescent="0.2"/>
    <row r="2509" ht="22.5" customHeight="1" x14ac:dyDescent="0.2"/>
    <row r="2510" ht="22.5" customHeight="1" x14ac:dyDescent="0.2"/>
    <row r="2511" ht="22.5" customHeight="1" x14ac:dyDescent="0.2"/>
    <row r="2512" ht="22.5" customHeight="1" x14ac:dyDescent="0.2"/>
    <row r="2513" ht="22.5" customHeight="1" x14ac:dyDescent="0.2"/>
    <row r="2514" ht="22.5" customHeight="1" x14ac:dyDescent="0.2"/>
    <row r="2515" ht="22.5" customHeight="1" x14ac:dyDescent="0.2"/>
    <row r="2516" ht="22.5" customHeight="1" x14ac:dyDescent="0.2"/>
    <row r="2517" ht="22.5" customHeight="1" x14ac:dyDescent="0.2"/>
    <row r="2518" ht="22.5" customHeight="1" x14ac:dyDescent="0.2"/>
    <row r="2519" ht="22.5" customHeight="1" x14ac:dyDescent="0.2"/>
    <row r="2520" ht="22.5" customHeight="1" x14ac:dyDescent="0.2"/>
    <row r="2521" ht="22.5" customHeight="1" x14ac:dyDescent="0.2"/>
    <row r="2522" ht="22.5" customHeight="1" x14ac:dyDescent="0.2"/>
    <row r="2523" ht="22.5" customHeight="1" x14ac:dyDescent="0.2"/>
    <row r="2524" ht="22.5" customHeight="1" x14ac:dyDescent="0.2"/>
    <row r="2525" ht="22.5" customHeight="1" x14ac:dyDescent="0.2"/>
    <row r="2526" ht="22.5" customHeight="1" x14ac:dyDescent="0.2"/>
    <row r="2527" ht="22.5" customHeight="1" x14ac:dyDescent="0.2"/>
    <row r="2528" ht="22.5" customHeight="1" x14ac:dyDescent="0.2"/>
    <row r="2529" ht="22.5" customHeight="1" x14ac:dyDescent="0.2"/>
    <row r="2530" ht="22.5" customHeight="1" x14ac:dyDescent="0.2"/>
    <row r="2531" ht="22.5" customHeight="1" x14ac:dyDescent="0.2"/>
    <row r="2532" ht="22.5" customHeight="1" x14ac:dyDescent="0.2"/>
    <row r="2533" ht="22.5" customHeight="1" x14ac:dyDescent="0.2"/>
    <row r="2534" ht="22.5" customHeight="1" x14ac:dyDescent="0.2"/>
    <row r="2535" ht="22.5" customHeight="1" x14ac:dyDescent="0.2"/>
    <row r="2536" ht="22.5" customHeight="1" x14ac:dyDescent="0.2"/>
    <row r="2537" ht="22.5" customHeight="1" x14ac:dyDescent="0.2"/>
    <row r="2538" ht="22.5" customHeight="1" x14ac:dyDescent="0.2"/>
    <row r="2539" ht="22.5" customHeight="1" x14ac:dyDescent="0.2"/>
    <row r="2540" ht="22.5" customHeight="1" x14ac:dyDescent="0.2"/>
    <row r="2541" ht="22.5" customHeight="1" x14ac:dyDescent="0.2"/>
    <row r="2542" ht="22.5" customHeight="1" x14ac:dyDescent="0.2"/>
    <row r="2543" ht="22.5" customHeight="1" x14ac:dyDescent="0.2"/>
    <row r="2544" ht="22.5" customHeight="1" x14ac:dyDescent="0.2"/>
    <row r="2545" ht="22.5" customHeight="1" x14ac:dyDescent="0.2"/>
    <row r="2546" ht="22.5" customHeight="1" x14ac:dyDescent="0.2"/>
    <row r="2547" ht="22.5" customHeight="1" x14ac:dyDescent="0.2"/>
    <row r="2548" ht="22.5" customHeight="1" x14ac:dyDescent="0.2"/>
    <row r="2549" ht="22.5" customHeight="1" x14ac:dyDescent="0.2"/>
    <row r="2550" ht="22.5" customHeight="1" x14ac:dyDescent="0.2"/>
    <row r="2551" ht="22.5" customHeight="1" x14ac:dyDescent="0.2"/>
    <row r="2552" ht="22.5" customHeight="1" x14ac:dyDescent="0.2"/>
    <row r="2553" ht="22.5" customHeight="1" x14ac:dyDescent="0.2"/>
    <row r="2554" ht="22.5" customHeight="1" x14ac:dyDescent="0.2"/>
    <row r="2555" ht="22.5" customHeight="1" x14ac:dyDescent="0.2"/>
    <row r="2556" ht="22.5" customHeight="1" x14ac:dyDescent="0.2"/>
    <row r="2557" ht="22.5" customHeight="1" x14ac:dyDescent="0.2"/>
    <row r="2558" ht="22.5" customHeight="1" x14ac:dyDescent="0.2"/>
    <row r="2559" ht="22.5" customHeight="1" x14ac:dyDescent="0.2"/>
    <row r="2560" ht="22.5" customHeight="1" x14ac:dyDescent="0.2"/>
    <row r="2561" ht="22.5" customHeight="1" x14ac:dyDescent="0.2"/>
    <row r="2562" ht="22.5" customHeight="1" x14ac:dyDescent="0.2"/>
    <row r="2563" ht="22.5" customHeight="1" x14ac:dyDescent="0.2"/>
    <row r="2564" ht="22.5" customHeight="1" x14ac:dyDescent="0.2"/>
    <row r="2565" ht="22.5" customHeight="1" x14ac:dyDescent="0.2"/>
    <row r="2566" ht="22.5" customHeight="1" x14ac:dyDescent="0.2"/>
    <row r="2567" ht="22.5" customHeight="1" x14ac:dyDescent="0.2"/>
    <row r="2568" ht="22.5" customHeight="1" x14ac:dyDescent="0.2"/>
    <row r="2569" ht="22.5" customHeight="1" x14ac:dyDescent="0.2"/>
    <row r="2570" ht="22.5" customHeight="1" x14ac:dyDescent="0.2"/>
    <row r="2571" ht="22.5" customHeight="1" x14ac:dyDescent="0.2"/>
    <row r="2572" ht="22.5" customHeight="1" x14ac:dyDescent="0.2"/>
    <row r="2573" ht="22.5" customHeight="1" x14ac:dyDescent="0.2"/>
    <row r="2574" ht="22.5" customHeight="1" x14ac:dyDescent="0.2"/>
    <row r="2575" ht="22.5" customHeight="1" x14ac:dyDescent="0.2"/>
    <row r="2576" ht="22.5" customHeight="1" x14ac:dyDescent="0.2"/>
    <row r="2577" ht="22.5" customHeight="1" x14ac:dyDescent="0.2"/>
    <row r="2578" ht="22.5" customHeight="1" x14ac:dyDescent="0.2"/>
    <row r="2579" ht="22.5" customHeight="1" x14ac:dyDescent="0.2"/>
    <row r="2580" ht="22.5" customHeight="1" x14ac:dyDescent="0.2"/>
    <row r="2581" ht="22.5" customHeight="1" x14ac:dyDescent="0.2"/>
    <row r="2582" ht="22.5" customHeight="1" x14ac:dyDescent="0.2"/>
    <row r="2583" ht="22.5" customHeight="1" x14ac:dyDescent="0.2"/>
    <row r="2584" ht="22.5" customHeight="1" x14ac:dyDescent="0.2"/>
    <row r="2585" ht="22.5" customHeight="1" x14ac:dyDescent="0.2"/>
    <row r="2586" ht="22.5" customHeight="1" x14ac:dyDescent="0.2"/>
    <row r="2587" ht="22.5" customHeight="1" x14ac:dyDescent="0.2"/>
    <row r="2588" ht="22.5" customHeight="1" x14ac:dyDescent="0.2"/>
    <row r="2589" ht="22.5" customHeight="1" x14ac:dyDescent="0.2"/>
    <row r="2590" ht="22.5" customHeight="1" x14ac:dyDescent="0.2"/>
    <row r="2591" ht="22.5" customHeight="1" x14ac:dyDescent="0.2"/>
    <row r="2592" ht="22.5" customHeight="1" x14ac:dyDescent="0.2"/>
    <row r="2593" ht="22.5" customHeight="1" x14ac:dyDescent="0.2"/>
    <row r="2594" ht="22.5" customHeight="1" x14ac:dyDescent="0.2"/>
    <row r="2595" ht="22.5" customHeight="1" x14ac:dyDescent="0.2"/>
    <row r="2596" ht="22.5" customHeight="1" x14ac:dyDescent="0.2"/>
    <row r="2597" ht="22.5" customHeight="1" x14ac:dyDescent="0.2"/>
    <row r="2598" ht="22.5" customHeight="1" x14ac:dyDescent="0.2"/>
    <row r="2599" ht="22.5" customHeight="1" x14ac:dyDescent="0.2"/>
    <row r="2600" ht="22.5" customHeight="1" x14ac:dyDescent="0.2"/>
    <row r="2601" ht="22.5" customHeight="1" x14ac:dyDescent="0.2"/>
    <row r="2602" ht="22.5" customHeight="1" x14ac:dyDescent="0.2"/>
    <row r="2603" ht="22.5" customHeight="1" x14ac:dyDescent="0.2"/>
    <row r="2604" ht="22.5" customHeight="1" x14ac:dyDescent="0.2"/>
    <row r="2605" ht="22.5" customHeight="1" x14ac:dyDescent="0.2"/>
    <row r="2606" ht="22.5" customHeight="1" x14ac:dyDescent="0.2"/>
    <row r="2607" ht="22.5" customHeight="1" x14ac:dyDescent="0.2"/>
    <row r="2608" ht="22.5" customHeight="1" x14ac:dyDescent="0.2"/>
    <row r="2609" ht="22.5" customHeight="1" x14ac:dyDescent="0.2"/>
    <row r="2610" ht="22.5" customHeight="1" x14ac:dyDescent="0.2"/>
    <row r="2611" ht="22.5" customHeight="1" x14ac:dyDescent="0.2"/>
    <row r="2612" ht="22.5" customHeight="1" x14ac:dyDescent="0.2"/>
    <row r="2613" ht="22.5" customHeight="1" x14ac:dyDescent="0.2"/>
    <row r="2614" ht="22.5" customHeight="1" x14ac:dyDescent="0.2"/>
    <row r="2615" ht="22.5" customHeight="1" x14ac:dyDescent="0.2"/>
    <row r="2616" ht="22.5" customHeight="1" x14ac:dyDescent="0.2"/>
    <row r="2617" ht="22.5" customHeight="1" x14ac:dyDescent="0.2"/>
    <row r="2618" ht="22.5" customHeight="1" x14ac:dyDescent="0.2"/>
    <row r="2619" ht="22.5" customHeight="1" x14ac:dyDescent="0.2"/>
    <row r="2620" ht="22.5" customHeight="1" x14ac:dyDescent="0.2"/>
    <row r="2621" ht="22.5" customHeight="1" x14ac:dyDescent="0.2"/>
    <row r="2622" ht="22.5" customHeight="1" x14ac:dyDescent="0.2"/>
    <row r="2623" ht="22.5" customHeight="1" x14ac:dyDescent="0.2"/>
    <row r="2624" ht="22.5" customHeight="1" x14ac:dyDescent="0.2"/>
    <row r="2625" ht="22.5" customHeight="1" x14ac:dyDescent="0.2"/>
    <row r="2626" ht="22.5" customHeight="1" x14ac:dyDescent="0.2"/>
    <row r="2627" ht="22.5" customHeight="1" x14ac:dyDescent="0.2"/>
    <row r="2628" ht="22.5" customHeight="1" x14ac:dyDescent="0.2"/>
    <row r="2629" ht="22.5" customHeight="1" x14ac:dyDescent="0.2"/>
    <row r="2630" ht="22.5" customHeight="1" x14ac:dyDescent="0.2"/>
    <row r="2631" ht="22.5" customHeight="1" x14ac:dyDescent="0.2"/>
    <row r="2632" ht="22.5" customHeight="1" x14ac:dyDescent="0.2"/>
    <row r="2633" ht="22.5" customHeight="1" x14ac:dyDescent="0.2"/>
    <row r="2634" ht="22.5" customHeight="1" x14ac:dyDescent="0.2"/>
    <row r="2635" ht="22.5" customHeight="1" x14ac:dyDescent="0.2"/>
    <row r="2636" ht="22.5" customHeight="1" x14ac:dyDescent="0.2"/>
    <row r="2637" ht="22.5" customHeight="1" x14ac:dyDescent="0.2"/>
    <row r="2638" ht="22.5" customHeight="1" x14ac:dyDescent="0.2"/>
    <row r="2639" ht="22.5" customHeight="1" x14ac:dyDescent="0.2"/>
    <row r="2640" ht="22.5" customHeight="1" x14ac:dyDescent="0.2"/>
    <row r="2641" ht="22.5" customHeight="1" x14ac:dyDescent="0.2"/>
    <row r="2642" ht="22.5" customHeight="1" x14ac:dyDescent="0.2"/>
    <row r="2643" ht="22.5" customHeight="1" x14ac:dyDescent="0.2"/>
    <row r="2644" ht="22.5" customHeight="1" x14ac:dyDescent="0.2"/>
    <row r="2645" ht="22.5" customHeight="1" x14ac:dyDescent="0.2"/>
    <row r="2646" ht="22.5" customHeight="1" x14ac:dyDescent="0.2"/>
    <row r="2647" ht="22.5" customHeight="1" x14ac:dyDescent="0.2"/>
    <row r="2648" ht="22.5" customHeight="1" x14ac:dyDescent="0.2"/>
    <row r="2649" ht="22.5" customHeight="1" x14ac:dyDescent="0.2"/>
    <row r="2650" ht="22.5" customHeight="1" x14ac:dyDescent="0.2"/>
    <row r="2651" ht="22.5" customHeight="1" x14ac:dyDescent="0.2"/>
    <row r="2652" ht="22.5" customHeight="1" x14ac:dyDescent="0.2"/>
    <row r="2653" ht="22.5" customHeight="1" x14ac:dyDescent="0.2"/>
    <row r="2654" ht="22.5" customHeight="1" x14ac:dyDescent="0.2"/>
    <row r="2655" ht="22.5" customHeight="1" x14ac:dyDescent="0.2"/>
    <row r="2656" ht="22.5" customHeight="1" x14ac:dyDescent="0.2"/>
    <row r="2657" ht="22.5" customHeight="1" x14ac:dyDescent="0.2"/>
    <row r="2658" ht="22.5" customHeight="1" x14ac:dyDescent="0.2"/>
    <row r="2659" ht="22.5" customHeight="1" x14ac:dyDescent="0.2"/>
    <row r="2660" ht="22.5" customHeight="1" x14ac:dyDescent="0.2"/>
    <row r="2661" ht="22.5" customHeight="1" x14ac:dyDescent="0.2"/>
    <row r="2662" ht="22.5" customHeight="1" x14ac:dyDescent="0.2"/>
    <row r="2663" ht="22.5" customHeight="1" x14ac:dyDescent="0.2"/>
    <row r="2664" ht="22.5" customHeight="1" x14ac:dyDescent="0.2"/>
    <row r="2665" ht="22.5" customHeight="1" x14ac:dyDescent="0.2"/>
    <row r="2666" ht="22.5" customHeight="1" x14ac:dyDescent="0.2"/>
    <row r="2667" ht="22.5" customHeight="1" x14ac:dyDescent="0.2"/>
    <row r="2668" ht="22.5" customHeight="1" x14ac:dyDescent="0.2"/>
    <row r="2669" ht="22.5" customHeight="1" x14ac:dyDescent="0.2"/>
    <row r="2670" ht="22.5" customHeight="1" x14ac:dyDescent="0.2"/>
    <row r="2671" ht="22.5" customHeight="1" x14ac:dyDescent="0.2"/>
    <row r="2672" ht="22.5" customHeight="1" x14ac:dyDescent="0.2"/>
    <row r="2673" ht="22.5" customHeight="1" x14ac:dyDescent="0.2"/>
    <row r="2674" ht="22.5" customHeight="1" x14ac:dyDescent="0.2"/>
    <row r="2675" ht="22.5" customHeight="1" x14ac:dyDescent="0.2"/>
    <row r="2676" ht="22.5" customHeight="1" x14ac:dyDescent="0.2"/>
    <row r="2677" ht="22.5" customHeight="1" x14ac:dyDescent="0.2"/>
    <row r="2678" ht="22.5" customHeight="1" x14ac:dyDescent="0.2"/>
    <row r="2679" ht="22.5" customHeight="1" x14ac:dyDescent="0.2"/>
    <row r="2680" ht="22.5" customHeight="1" x14ac:dyDescent="0.2"/>
    <row r="2681" ht="22.5" customHeight="1" x14ac:dyDescent="0.2"/>
    <row r="2682" ht="22.5" customHeight="1" x14ac:dyDescent="0.2"/>
    <row r="2683" ht="22.5" customHeight="1" x14ac:dyDescent="0.2"/>
    <row r="2684" ht="22.5" customHeight="1" x14ac:dyDescent="0.2"/>
    <row r="2685" ht="22.5" customHeight="1" x14ac:dyDescent="0.2"/>
    <row r="2686" ht="22.5" customHeight="1" x14ac:dyDescent="0.2"/>
    <row r="2687" ht="22.5" customHeight="1" x14ac:dyDescent="0.2"/>
    <row r="2688" ht="22.5" customHeight="1" x14ac:dyDescent="0.2"/>
    <row r="2689" ht="22.5" customHeight="1" x14ac:dyDescent="0.2"/>
    <row r="2690" ht="22.5" customHeight="1" x14ac:dyDescent="0.2"/>
    <row r="2691" ht="22.5" customHeight="1" x14ac:dyDescent="0.2"/>
    <row r="2692" ht="22.5" customHeight="1" x14ac:dyDescent="0.2"/>
    <row r="2693" ht="22.5" customHeight="1" x14ac:dyDescent="0.2"/>
    <row r="2694" ht="22.5" customHeight="1" x14ac:dyDescent="0.2"/>
    <row r="2695" ht="22.5" customHeight="1" x14ac:dyDescent="0.2"/>
    <row r="2696" ht="22.5" customHeight="1" x14ac:dyDescent="0.2"/>
    <row r="2697" ht="22.5" customHeight="1" x14ac:dyDescent="0.2"/>
    <row r="2698" ht="22.5" customHeight="1" x14ac:dyDescent="0.2"/>
    <row r="2699" ht="22.5" customHeight="1" x14ac:dyDescent="0.2"/>
    <row r="2700" ht="22.5" customHeight="1" x14ac:dyDescent="0.2"/>
    <row r="2701" ht="22.5" customHeight="1" x14ac:dyDescent="0.2"/>
    <row r="2702" ht="22.5" customHeight="1" x14ac:dyDescent="0.2"/>
    <row r="2703" ht="22.5" customHeight="1" x14ac:dyDescent="0.2"/>
    <row r="2704" ht="22.5" customHeight="1" x14ac:dyDescent="0.2"/>
    <row r="2705" ht="22.5" customHeight="1" x14ac:dyDescent="0.2"/>
    <row r="2706" ht="22.5" customHeight="1" x14ac:dyDescent="0.2"/>
    <row r="2707" ht="22.5" customHeight="1" x14ac:dyDescent="0.2"/>
    <row r="2708" ht="22.5" customHeight="1" x14ac:dyDescent="0.2"/>
    <row r="2709" ht="22.5" customHeight="1" x14ac:dyDescent="0.2"/>
    <row r="2710" ht="22.5" customHeight="1" x14ac:dyDescent="0.2"/>
    <row r="2711" ht="22.5" customHeight="1" x14ac:dyDescent="0.2"/>
    <row r="2712" ht="22.5" customHeight="1" x14ac:dyDescent="0.2"/>
    <row r="2713" ht="22.5" customHeight="1" x14ac:dyDescent="0.2"/>
    <row r="2714" ht="22.5" customHeight="1" x14ac:dyDescent="0.2"/>
    <row r="2715" ht="22.5" customHeight="1" x14ac:dyDescent="0.2"/>
    <row r="2716" ht="22.5" customHeight="1" x14ac:dyDescent="0.2"/>
    <row r="2717" ht="22.5" customHeight="1" x14ac:dyDescent="0.2"/>
    <row r="2718" ht="22.5" customHeight="1" x14ac:dyDescent="0.2"/>
    <row r="2719" ht="22.5" customHeight="1" x14ac:dyDescent="0.2"/>
    <row r="2720" ht="22.5" customHeight="1" x14ac:dyDescent="0.2"/>
    <row r="2721" ht="22.5" customHeight="1" x14ac:dyDescent="0.2"/>
    <row r="2722" ht="22.5" customHeight="1" x14ac:dyDescent="0.2"/>
    <row r="2723" ht="22.5" customHeight="1" x14ac:dyDescent="0.2"/>
    <row r="2724" ht="22.5" customHeight="1" x14ac:dyDescent="0.2"/>
    <row r="2725" ht="22.5" customHeight="1" x14ac:dyDescent="0.2"/>
    <row r="2726" ht="22.5" customHeight="1" x14ac:dyDescent="0.2"/>
    <row r="2727" ht="22.5" customHeight="1" x14ac:dyDescent="0.2"/>
    <row r="2728" ht="22.5" customHeight="1" x14ac:dyDescent="0.2"/>
    <row r="2729" ht="22.5" customHeight="1" x14ac:dyDescent="0.2"/>
    <row r="2730" ht="22.5" customHeight="1" x14ac:dyDescent="0.2"/>
    <row r="2731" ht="22.5" customHeight="1" x14ac:dyDescent="0.2"/>
    <row r="2732" ht="22.5" customHeight="1" x14ac:dyDescent="0.2"/>
  </sheetData>
  <autoFilter ref="A1:Q1334"/>
  <conditionalFormatting sqref="L427:L428 K899 K901 K875 K877 K879 K881 K884:K888 K890:K892 K894 K905:K906 K910 K913 K915:K916 K919 K922:K923 K925 K1166:K1169 J1:K7 K176:K192 K194:K197 K200:K251 K421:K427 K430:K432 K434 K437:K472 K474:K477 K479:K489 K492 K494:K496 K498:K515 K517:K557 K561:K580 K582:K755 K758:K769 K772:K777 K781:K784 K788:K793 K795:K796 K798:K811 K813 K815 K818 K820 K822:K824 K826:K831 K834:K836 K839:K846 K848:K850 K852:K860 K863:K865 K927:K933 K935:K946 K948 K966 K968:K972 K974:K979 K981:K991 K993:K994 K999:K1042 K1044 K1046:K1047 K1049:K1071 K1082 K1084 K1086:K1100 K1123:K1126 K1128:K1129 K1132:K1140 K1142:K1143 K1176 K1178:K1189 K1192:K1199 K1204 K1210 K1216 K1218:K1223 K1225 K1229 K1266:K1273 K1282:K1284 K1288:K1289 K1296:K1301 K1333:K1334 K1237:K1239 K7:K174 K254:K419 J8:J1334">
    <cfRule type="cellIs" dxfId="778" priority="1750" operator="equal">
      <formula>"On Hold"</formula>
    </cfRule>
    <cfRule type="cellIs" dxfId="777" priority="1751" operator="equal">
      <formula>"Completed"</formula>
    </cfRule>
  </conditionalFormatting>
  <conditionalFormatting sqref="L584 L587:L589 L437:L444 L412:L416 L196:L197 L200:L251 L178:L192 N556 M405:N416 N403:N404 N520 N279 N428 L418:N419 L422:L426 M422:N427 M521:M522 M546:N554 M544:M545 M474:N476 M469:N469 M479:N487 M437:N466 M515:N515 M514 M532:N543 M529 M523:N526 M517:N519 M467:M468 M471:M473 M492:N513 L1:N174 M177:N278 L254:L389 L391:L410 M280:N402">
    <cfRule type="cellIs" dxfId="776" priority="1748" operator="equal">
      <formula>"Yes"</formula>
    </cfRule>
    <cfRule type="cellIs" dxfId="775" priority="1749" operator="equal">
      <formula>"No"</formula>
    </cfRule>
  </conditionalFormatting>
  <conditionalFormatting sqref="L427:L428 K899 K901 K875 K877 K879 K881 K884:K888 K890:K892 K894 K905:K906 K910 K913 K915:K916 K919 K922:K923 K925 K1166:K1169 J1:K7 K176:K192 K194:K197 K200:K251 K421:K427 K430:K432 K434 K437:K472 K474:K477 K479:K489 K492 K494:K496 K498:K515 K517:K557 K561:K580 K582:K755 K758:K769 K772:K777 K781:K784 K788:K793 K795:K796 K798:K811 K813 K815 K818 K820 K822:K824 K826:K831 K834:K836 K839:K846 K848:K850 K852:K860 K863:K865 K927:K933 K935:K946 K948 K966 K968:K972 K974:K979 K981:K991 K993:K994 K999:K1042 K1044 K1046:K1047 K1049:K1071 K1082 K1084 K1086:K1100 K1123:K1126 K1128:K1129 K1132:K1140 K1142:K1143 K1176 K1178:K1189 K1192:K1199 K1204 K1210 K1216 K1218:K1223 K1225 K1229 K1266:K1273 K1282:K1284 K1288:K1289 K1296:K1301 K1333:K1334 K1237:K1239 K7:K174 K254:K419 J8:J1334">
    <cfRule type="cellIs" dxfId="774" priority="1747" operator="equal">
      <formula>"NotStarted"</formula>
    </cfRule>
  </conditionalFormatting>
  <conditionalFormatting sqref="L427:L428 K899 K901 K875 K877 K879 K881 K884:K888 K890:K892 K894 K905:K906 K910 K913 K915:K916 K919 K922:K923 K925 K1166:K1169 J1:K7 K176:K192 K194:K197 K200:K251 K421:K427 K430:K432 K434 K437:K472 K474:K477 K479:K489 K492 K494:K496 K498:K515 K517:K557 K561:K580 K582:K755 K758:K769 K772:K777 K781:K784 K788:K793 K795:K796 K798:K811 K813 K815 K818 K820 K822:K824 K826:K831 K834:K836 K839:K846 K848:K850 K852:K860 K863:K865 K927:K933 K935:K946 K948 K966 K968:K972 K974:K979 K981:K991 K993:K994 K999:K1042 K1044 K1046:K1047 K1049:K1071 K1082 K1084 K1086:K1100 K1123:K1126 K1128:K1129 K1132:K1140 K1142:K1143 K1176 K1178:K1189 K1192:K1199 K1204 K1210 K1216 K1218:K1223 K1225 K1229 K1266:K1273 K1282:K1284 K1288:K1289 K1296:K1301 K1333:K1334 K1237:K1239 K7:K174 K254:K419 J8:J1334">
    <cfRule type="cellIs" dxfId="773" priority="1746" operator="equal">
      <formula>"NListSource!$D$7"</formula>
    </cfRule>
  </conditionalFormatting>
  <conditionalFormatting sqref="L427:L428 K534:K537 K518 K412:K416 K405:K410 K437:K440 K418:K419 K422:K427 J1:J1334">
    <cfRule type="cellIs" dxfId="772" priority="1745" operator="equal">
      <formula>"Duplicate"</formula>
    </cfRule>
  </conditionalFormatting>
  <conditionalFormatting sqref="K390">
    <cfRule type="cellIs" dxfId="771" priority="1743" operator="equal">
      <formula>"On Hold"</formula>
    </cfRule>
    <cfRule type="cellIs" dxfId="770" priority="1744" operator="equal">
      <formula>"Completed"</formula>
    </cfRule>
  </conditionalFormatting>
  <conditionalFormatting sqref="L390">
    <cfRule type="cellIs" dxfId="769" priority="1741" operator="equal">
      <formula>"Yes"</formula>
    </cfRule>
    <cfRule type="cellIs" dxfId="768" priority="1742" operator="equal">
      <formula>"No"</formula>
    </cfRule>
  </conditionalFormatting>
  <conditionalFormatting sqref="K390">
    <cfRule type="cellIs" dxfId="767" priority="1740" operator="equal">
      <formula>"NotStarted"</formula>
    </cfRule>
  </conditionalFormatting>
  <conditionalFormatting sqref="K390">
    <cfRule type="cellIs" dxfId="766" priority="1739" operator="equal">
      <formula>"NListSource!$D$7"</formula>
    </cfRule>
  </conditionalFormatting>
  <conditionalFormatting sqref="K411">
    <cfRule type="cellIs" dxfId="765" priority="1736" operator="equal">
      <formula>"On Hold"</formula>
    </cfRule>
    <cfRule type="cellIs" dxfId="764" priority="1737" operator="equal">
      <formula>"Completed"</formula>
    </cfRule>
  </conditionalFormatting>
  <conditionalFormatting sqref="L411">
    <cfRule type="cellIs" dxfId="763" priority="1734" operator="equal">
      <formula>"Yes"</formula>
    </cfRule>
    <cfRule type="cellIs" dxfId="762" priority="1735" operator="equal">
      <formula>"No"</formula>
    </cfRule>
  </conditionalFormatting>
  <conditionalFormatting sqref="K411">
    <cfRule type="cellIs" dxfId="761" priority="1733" operator="equal">
      <formula>"NotStarted"</formula>
    </cfRule>
  </conditionalFormatting>
  <conditionalFormatting sqref="K411">
    <cfRule type="cellIs" dxfId="760" priority="1732" operator="equal">
      <formula>"NListSource!$D$7"</formula>
    </cfRule>
  </conditionalFormatting>
  <conditionalFormatting sqref="L480">
    <cfRule type="cellIs" dxfId="759" priority="1729" operator="equal">
      <formula>"Yes"</formula>
    </cfRule>
    <cfRule type="cellIs" dxfId="758" priority="1730" operator="equal">
      <formula>"No"</formula>
    </cfRule>
  </conditionalFormatting>
  <conditionalFormatting sqref="L481">
    <cfRule type="cellIs" dxfId="757" priority="1727" operator="equal">
      <formula>"Yes"</formula>
    </cfRule>
    <cfRule type="cellIs" dxfId="756" priority="1728" operator="equal">
      <formula>"No"</formula>
    </cfRule>
  </conditionalFormatting>
  <conditionalFormatting sqref="L540">
    <cfRule type="cellIs" dxfId="755" priority="1710" operator="equal">
      <formula>"Yes"</formula>
    </cfRule>
    <cfRule type="cellIs" dxfId="754" priority="1711" operator="equal">
      <formula>"No"</formula>
    </cfRule>
  </conditionalFormatting>
  <conditionalFormatting sqref="L541">
    <cfRule type="cellIs" dxfId="753" priority="1708" operator="equal">
      <formula>"Yes"</formula>
    </cfRule>
    <cfRule type="cellIs" dxfId="752" priority="1709" operator="equal">
      <formula>"No"</formula>
    </cfRule>
  </conditionalFormatting>
  <conditionalFormatting sqref="L542">
    <cfRule type="cellIs" dxfId="751" priority="1706" operator="equal">
      <formula>"Yes"</formula>
    </cfRule>
    <cfRule type="cellIs" dxfId="750" priority="1707" operator="equal">
      <formula>"No"</formula>
    </cfRule>
  </conditionalFormatting>
  <conditionalFormatting sqref="L543">
    <cfRule type="cellIs" dxfId="749" priority="1704" operator="equal">
      <formula>"Yes"</formula>
    </cfRule>
    <cfRule type="cellIs" dxfId="748" priority="1705" operator="equal">
      <formula>"No"</formula>
    </cfRule>
  </conditionalFormatting>
  <conditionalFormatting sqref="L467">
    <cfRule type="cellIs" dxfId="747" priority="1672" operator="equal">
      <formula>"Yes"</formula>
    </cfRule>
    <cfRule type="cellIs" dxfId="746" priority="1673" operator="equal">
      <formula>"No"</formula>
    </cfRule>
  </conditionalFormatting>
  <conditionalFormatting sqref="L498">
    <cfRule type="cellIs" dxfId="745" priority="1670" operator="equal">
      <formula>"Yes"</formula>
    </cfRule>
    <cfRule type="cellIs" dxfId="744" priority="1671" operator="equal">
      <formula>"No"</formula>
    </cfRule>
  </conditionalFormatting>
  <conditionalFormatting sqref="L499">
    <cfRule type="cellIs" dxfId="743" priority="1668" operator="equal">
      <formula>"Yes"</formula>
    </cfRule>
    <cfRule type="cellIs" dxfId="742" priority="1669" operator="equal">
      <formula>"No"</formula>
    </cfRule>
  </conditionalFormatting>
  <conditionalFormatting sqref="K586">
    <cfRule type="cellIs" dxfId="741" priority="1526" operator="equal">
      <formula>"On Hold"</formula>
    </cfRule>
    <cfRule type="cellIs" dxfId="740" priority="1527" operator="equal">
      <formula>"Completed"</formula>
    </cfRule>
  </conditionalFormatting>
  <conditionalFormatting sqref="K586">
    <cfRule type="cellIs" dxfId="739" priority="1525" operator="equal">
      <formula>"NotStarted"</formula>
    </cfRule>
  </conditionalFormatting>
  <conditionalFormatting sqref="K586">
    <cfRule type="cellIs" dxfId="738" priority="1524" operator="equal">
      <formula>"NListSource!$D$7"</formula>
    </cfRule>
  </conditionalFormatting>
  <conditionalFormatting sqref="K586">
    <cfRule type="cellIs" dxfId="737" priority="1523" operator="equal">
      <formula>"Duplicate"</formula>
    </cfRule>
  </conditionalFormatting>
  <conditionalFormatting sqref="L586">
    <cfRule type="cellIs" dxfId="736" priority="1521" operator="equal">
      <formula>"Yes"</formula>
    </cfRule>
    <cfRule type="cellIs" dxfId="735" priority="1522" operator="equal">
      <formula>"No"</formula>
    </cfRule>
  </conditionalFormatting>
  <conditionalFormatting sqref="L585">
    <cfRule type="cellIs" dxfId="734" priority="1519" operator="equal">
      <formula>"Yes"</formula>
    </cfRule>
    <cfRule type="cellIs" dxfId="733" priority="1520" operator="equal">
      <formula>"No"</formula>
    </cfRule>
  </conditionalFormatting>
  <conditionalFormatting sqref="K585">
    <cfRule type="cellIs" dxfId="732" priority="1489" operator="equal">
      <formula>"On Hold"</formula>
    </cfRule>
    <cfRule type="cellIs" dxfId="731" priority="1490" operator="equal">
      <formula>"Completed"</formula>
    </cfRule>
  </conditionalFormatting>
  <conditionalFormatting sqref="K585">
    <cfRule type="cellIs" dxfId="730" priority="1488" operator="equal">
      <formula>"NotStarted"</formula>
    </cfRule>
  </conditionalFormatting>
  <conditionalFormatting sqref="K585">
    <cfRule type="cellIs" dxfId="729" priority="1487" operator="equal">
      <formula>"NListSource!$D$7"</formula>
    </cfRule>
  </conditionalFormatting>
  <conditionalFormatting sqref="K701">
    <cfRule type="cellIs" dxfId="728" priority="1088" operator="equal">
      <formula>"On Hold"</formula>
    </cfRule>
    <cfRule type="cellIs" dxfId="727" priority="1089" operator="equal">
      <formula>"Completed"</formula>
    </cfRule>
  </conditionalFormatting>
  <conditionalFormatting sqref="L701">
    <cfRule type="cellIs" dxfId="726" priority="1086" operator="equal">
      <formula>"Yes"</formula>
    </cfRule>
    <cfRule type="cellIs" dxfId="725" priority="1087" operator="equal">
      <formula>"No"</formula>
    </cfRule>
  </conditionalFormatting>
  <conditionalFormatting sqref="K701">
    <cfRule type="cellIs" dxfId="724" priority="1085" operator="equal">
      <formula>"NotStarted"</formula>
    </cfRule>
  </conditionalFormatting>
  <conditionalFormatting sqref="K701">
    <cfRule type="cellIs" dxfId="723" priority="1084" operator="equal">
      <formula>"NListSource!$D$7"</formula>
    </cfRule>
  </conditionalFormatting>
  <conditionalFormatting sqref="K701">
    <cfRule type="cellIs" dxfId="722" priority="1083" operator="equal">
      <formula>"Duplicate"</formula>
    </cfRule>
  </conditionalFormatting>
  <conditionalFormatting sqref="K705">
    <cfRule type="cellIs" dxfId="721" priority="1081" operator="equal">
      <formula>"On Hold"</formula>
    </cfRule>
    <cfRule type="cellIs" dxfId="720" priority="1082" operator="equal">
      <formula>"Completed"</formula>
    </cfRule>
  </conditionalFormatting>
  <conditionalFormatting sqref="L705">
    <cfRule type="cellIs" dxfId="719" priority="1079" operator="equal">
      <formula>"Yes"</formula>
    </cfRule>
    <cfRule type="cellIs" dxfId="718" priority="1080" operator="equal">
      <formula>"No"</formula>
    </cfRule>
  </conditionalFormatting>
  <conditionalFormatting sqref="K705">
    <cfRule type="cellIs" dxfId="717" priority="1078" operator="equal">
      <formula>"NotStarted"</formula>
    </cfRule>
  </conditionalFormatting>
  <conditionalFormatting sqref="K705">
    <cfRule type="cellIs" dxfId="716" priority="1077" operator="equal">
      <formula>"NListSource!$D$7"</formula>
    </cfRule>
  </conditionalFormatting>
  <conditionalFormatting sqref="K705">
    <cfRule type="cellIs" dxfId="715" priority="1076" operator="equal">
      <formula>"Duplicate"</formula>
    </cfRule>
  </conditionalFormatting>
  <conditionalFormatting sqref="K899 K901 K875 K877 K879 K881 K884:K888 K890:K892 K894 K905:K906 K910 K913 K915:K916 K919 K922:K923 K925 K1166:K1169 K176:K192 K194:K197 K200:K251 K421:K427 K430:K432 K434 K437:K472 K474:K477 K479:K489 K492 K494:K496 K498:K515 K517:K557 K561:K580 K582:K755 K758:K769 K772:K777 K781:K784 K788:K793 K795:K796 K798:K811 K813 K815 K818 K820 K822:K824 K826:K831 K834:K836 K839:K846 K848:K850 K852:K860 K863:K865 K927:K933 K935:K946 K948 K966 K968:K972 K974:K979 K981:K991 K993:K994 K999:K1042 K1044 K1046:K1047 K1049:K1071 K1082 K1084 K1086:K1100 K1123:K1126 K1128:K1129 K1132:K1140 K1142:K1143 K1176 K1178:K1189 K1192:K1199 K1204 K1210 K1216 K1218:K1223 K1225 K1229 K1266:K1273 K1282:K1284 K1288:K1289 K1296:K1301 K1333:K1334 K1237:K1239 K1:K174 K254:K419">
    <cfRule type="cellIs" dxfId="714" priority="1074" operator="equal">
      <formula>"No"</formula>
    </cfRule>
    <cfRule type="cellIs" dxfId="713" priority="1075" operator="equal">
      <formula>"Yes"</formula>
    </cfRule>
  </conditionalFormatting>
  <conditionalFormatting sqref="L196:L197 L200:L251 L725:N727 L178:L192 L562:L565 L556:L557 N556 L570:L579 M405:N416 N403:N404 N520 L582:L637 N279 L437:N465 N428 L418:N419 L422:L428 M422:N427 M521:M522 L546:N554 M544:M545 L474:N476 L469:N469 L479:N487 M466:N466 M515:N515 M514 L532:N543 L523:N526 L529:M529 L517:L521 M517:N519 L467:M468 L471:M472 M473 M492:N513 L498:L515 L767:N775 L639:L724 L728:L766 L870:N1048576 L1:N174 M177:N278 M280:N402 L254:L416">
    <cfRule type="cellIs" dxfId="712" priority="1072" operator="equal">
      <formula>"Deprecated"</formula>
    </cfRule>
    <cfRule type="cellIs" dxfId="711" priority="1073" operator="equal">
      <formula>"Can Be Merged"</formula>
    </cfRule>
  </conditionalFormatting>
  <conditionalFormatting sqref="K176:K192 K194:K197 K200:K251 K421:K427 K430:K432 K434 K437:K472 K474:K477 K479:K489 K492 K494:K496 K498:K515 K517:K557 K561:K580 K582:K755 K758:K777 K781:K784 K788:K793 K795:K796 K798:K811 K813 K815 K818 K820 K822:K824 K826:K831 K834:K836 K839:K846 K848:K850 K852:K860 K863:K865 K870:K1048576 K1:K174 K254:K419">
    <cfRule type="cellIs" dxfId="710" priority="1071" operator="equal">
      <formula>"Reviewed And Pending Optimization"</formula>
    </cfRule>
  </conditionalFormatting>
  <conditionalFormatting sqref="K193">
    <cfRule type="cellIs" dxfId="709" priority="1069" operator="equal">
      <formula>"On Hold"</formula>
    </cfRule>
    <cfRule type="cellIs" dxfId="708" priority="1070" operator="equal">
      <formula>"Completed"</formula>
    </cfRule>
  </conditionalFormatting>
  <conditionalFormatting sqref="L193">
    <cfRule type="cellIs" dxfId="707" priority="1067" operator="equal">
      <formula>"Yes"</formula>
    </cfRule>
    <cfRule type="cellIs" dxfId="706" priority="1068" operator="equal">
      <formula>"No"</formula>
    </cfRule>
  </conditionalFormatting>
  <conditionalFormatting sqref="K193">
    <cfRule type="cellIs" dxfId="705" priority="1066" operator="equal">
      <formula>"NotStarted"</formula>
    </cfRule>
  </conditionalFormatting>
  <conditionalFormatting sqref="K193">
    <cfRule type="cellIs" dxfId="704" priority="1065" operator="equal">
      <formula>"NListSource!$D$7"</formula>
    </cfRule>
  </conditionalFormatting>
  <conditionalFormatting sqref="K193">
    <cfRule type="cellIs" dxfId="703" priority="1063" operator="equal">
      <formula>"No"</formula>
    </cfRule>
    <cfRule type="cellIs" dxfId="702" priority="1064" operator="equal">
      <formula>"Yes"</formula>
    </cfRule>
  </conditionalFormatting>
  <conditionalFormatting sqref="L193">
    <cfRule type="cellIs" dxfId="701" priority="1061" operator="equal">
      <formula>"Deprecated"</formula>
    </cfRule>
    <cfRule type="cellIs" dxfId="700" priority="1062" operator="equal">
      <formula>"Can Be Merged"</formula>
    </cfRule>
  </conditionalFormatting>
  <conditionalFormatting sqref="K193">
    <cfRule type="cellIs" dxfId="699" priority="1060" operator="equal">
      <formula>"Reviewed And Pending Optimization"</formula>
    </cfRule>
  </conditionalFormatting>
  <conditionalFormatting sqref="L194">
    <cfRule type="cellIs" dxfId="698" priority="1056" operator="equal">
      <formula>"Yes"</formula>
    </cfRule>
    <cfRule type="cellIs" dxfId="697" priority="1057" operator="equal">
      <formula>"No"</formula>
    </cfRule>
  </conditionalFormatting>
  <conditionalFormatting sqref="L194">
    <cfRule type="cellIs" dxfId="696" priority="1050" operator="equal">
      <formula>"Deprecated"</formula>
    </cfRule>
    <cfRule type="cellIs" dxfId="695" priority="1051" operator="equal">
      <formula>"Can Be Merged"</formula>
    </cfRule>
  </conditionalFormatting>
  <conditionalFormatting sqref="K198">
    <cfRule type="cellIs" dxfId="694" priority="1047" operator="equal">
      <formula>"On Hold"</formula>
    </cfRule>
    <cfRule type="cellIs" dxfId="693" priority="1048" operator="equal">
      <formula>"Completed"</formula>
    </cfRule>
  </conditionalFormatting>
  <conditionalFormatting sqref="L198">
    <cfRule type="cellIs" dxfId="692" priority="1045" operator="equal">
      <formula>"Yes"</formula>
    </cfRule>
    <cfRule type="cellIs" dxfId="691" priority="1046" operator="equal">
      <formula>"No"</formula>
    </cfRule>
  </conditionalFormatting>
  <conditionalFormatting sqref="K198">
    <cfRule type="cellIs" dxfId="690" priority="1044" operator="equal">
      <formula>"NotStarted"</formula>
    </cfRule>
  </conditionalFormatting>
  <conditionalFormatting sqref="K198">
    <cfRule type="cellIs" dxfId="689" priority="1043" operator="equal">
      <formula>"NListSource!$D$7"</formula>
    </cfRule>
  </conditionalFormatting>
  <conditionalFormatting sqref="K198">
    <cfRule type="cellIs" dxfId="688" priority="1041" operator="equal">
      <formula>"No"</formula>
    </cfRule>
    <cfRule type="cellIs" dxfId="687" priority="1042" operator="equal">
      <formula>"Yes"</formula>
    </cfRule>
  </conditionalFormatting>
  <conditionalFormatting sqref="L198">
    <cfRule type="cellIs" dxfId="686" priority="1039" operator="equal">
      <formula>"Deprecated"</formula>
    </cfRule>
    <cfRule type="cellIs" dxfId="685" priority="1040" operator="equal">
      <formula>"Can Be Merged"</formula>
    </cfRule>
  </conditionalFormatting>
  <conditionalFormatting sqref="K198">
    <cfRule type="cellIs" dxfId="684" priority="1038" operator="equal">
      <formula>"Reviewed And Pending Optimization"</formula>
    </cfRule>
  </conditionalFormatting>
  <conditionalFormatting sqref="K199">
    <cfRule type="cellIs" dxfId="683" priority="1036" operator="equal">
      <formula>"On Hold"</formula>
    </cfRule>
    <cfRule type="cellIs" dxfId="682" priority="1037" operator="equal">
      <formula>"Completed"</formula>
    </cfRule>
  </conditionalFormatting>
  <conditionalFormatting sqref="L199">
    <cfRule type="cellIs" dxfId="681" priority="1034" operator="equal">
      <formula>"Yes"</formula>
    </cfRule>
    <cfRule type="cellIs" dxfId="680" priority="1035" operator="equal">
      <formula>"No"</formula>
    </cfRule>
  </conditionalFormatting>
  <conditionalFormatting sqref="K199">
    <cfRule type="cellIs" dxfId="679" priority="1033" operator="equal">
      <formula>"NotStarted"</formula>
    </cfRule>
  </conditionalFormatting>
  <conditionalFormatting sqref="K199">
    <cfRule type="cellIs" dxfId="678" priority="1032" operator="equal">
      <formula>"NListSource!$D$7"</formula>
    </cfRule>
  </conditionalFormatting>
  <conditionalFormatting sqref="K199">
    <cfRule type="cellIs" dxfId="677" priority="1030" operator="equal">
      <formula>"No"</formula>
    </cfRule>
    <cfRule type="cellIs" dxfId="676" priority="1031" operator="equal">
      <formula>"Yes"</formula>
    </cfRule>
  </conditionalFormatting>
  <conditionalFormatting sqref="L199">
    <cfRule type="cellIs" dxfId="675" priority="1028" operator="equal">
      <formula>"Deprecated"</formula>
    </cfRule>
    <cfRule type="cellIs" dxfId="674" priority="1029" operator="equal">
      <formula>"Can Be Merged"</formula>
    </cfRule>
  </conditionalFormatting>
  <conditionalFormatting sqref="K199">
    <cfRule type="cellIs" dxfId="673" priority="1027" operator="equal">
      <formula>"Reviewed And Pending Optimization"</formula>
    </cfRule>
  </conditionalFormatting>
  <conditionalFormatting sqref="L195">
    <cfRule type="cellIs" dxfId="672" priority="1023" operator="equal">
      <formula>"Yes"</formula>
    </cfRule>
    <cfRule type="cellIs" dxfId="671" priority="1024" operator="equal">
      <formula>"No"</formula>
    </cfRule>
  </conditionalFormatting>
  <conditionalFormatting sqref="L195">
    <cfRule type="cellIs" dxfId="670" priority="1017" operator="equal">
      <formula>"Deprecated"</formula>
    </cfRule>
    <cfRule type="cellIs" dxfId="669" priority="1018" operator="equal">
      <formula>"Can Be Merged"</formula>
    </cfRule>
  </conditionalFormatting>
  <conditionalFormatting sqref="K252">
    <cfRule type="cellIs" dxfId="668" priority="1014" operator="equal">
      <formula>"On Hold"</formula>
    </cfRule>
    <cfRule type="cellIs" dxfId="667" priority="1015" operator="equal">
      <formula>"Completed"</formula>
    </cfRule>
  </conditionalFormatting>
  <conditionalFormatting sqref="L252">
    <cfRule type="cellIs" dxfId="666" priority="1012" operator="equal">
      <formula>"Yes"</formula>
    </cfRule>
    <cfRule type="cellIs" dxfId="665" priority="1013" operator="equal">
      <formula>"No"</formula>
    </cfRule>
  </conditionalFormatting>
  <conditionalFormatting sqref="K252">
    <cfRule type="cellIs" dxfId="664" priority="1011" operator="equal">
      <formula>"NotStarted"</formula>
    </cfRule>
  </conditionalFormatting>
  <conditionalFormatting sqref="K252">
    <cfRule type="cellIs" dxfId="663" priority="1010" operator="equal">
      <formula>"NListSource!$D$7"</formula>
    </cfRule>
  </conditionalFormatting>
  <conditionalFormatting sqref="K252">
    <cfRule type="cellIs" dxfId="662" priority="1008" operator="equal">
      <formula>"No"</formula>
    </cfRule>
    <cfRule type="cellIs" dxfId="661" priority="1009" operator="equal">
      <formula>"Yes"</formula>
    </cfRule>
  </conditionalFormatting>
  <conditionalFormatting sqref="L252">
    <cfRule type="cellIs" dxfId="660" priority="1006" operator="equal">
      <formula>"Deprecated"</formula>
    </cfRule>
    <cfRule type="cellIs" dxfId="659" priority="1007" operator="equal">
      <formula>"Can Be Merged"</formula>
    </cfRule>
  </conditionalFormatting>
  <conditionalFormatting sqref="K252">
    <cfRule type="cellIs" dxfId="658" priority="1005" operator="equal">
      <formula>"Reviewed And Pending Optimization"</formula>
    </cfRule>
  </conditionalFormatting>
  <conditionalFormatting sqref="K253">
    <cfRule type="cellIs" dxfId="657" priority="1003" operator="equal">
      <formula>"On Hold"</formula>
    </cfRule>
    <cfRule type="cellIs" dxfId="656" priority="1004" operator="equal">
      <formula>"Completed"</formula>
    </cfRule>
  </conditionalFormatting>
  <conditionalFormatting sqref="L253">
    <cfRule type="cellIs" dxfId="655" priority="1001" operator="equal">
      <formula>"Yes"</formula>
    </cfRule>
    <cfRule type="cellIs" dxfId="654" priority="1002" operator="equal">
      <formula>"No"</formula>
    </cfRule>
  </conditionalFormatting>
  <conditionalFormatting sqref="K253">
    <cfRule type="cellIs" dxfId="653" priority="1000" operator="equal">
      <formula>"NotStarted"</formula>
    </cfRule>
  </conditionalFormatting>
  <conditionalFormatting sqref="K253">
    <cfRule type="cellIs" dxfId="652" priority="999" operator="equal">
      <formula>"NListSource!$D$7"</formula>
    </cfRule>
  </conditionalFormatting>
  <conditionalFormatting sqref="K253">
    <cfRule type="cellIs" dxfId="651" priority="997" operator="equal">
      <formula>"No"</formula>
    </cfRule>
    <cfRule type="cellIs" dxfId="650" priority="998" operator="equal">
      <formula>"Yes"</formula>
    </cfRule>
  </conditionalFormatting>
  <conditionalFormatting sqref="L253">
    <cfRule type="cellIs" dxfId="649" priority="995" operator="equal">
      <formula>"Deprecated"</formula>
    </cfRule>
    <cfRule type="cellIs" dxfId="648" priority="996" operator="equal">
      <formula>"Can Be Merged"</formula>
    </cfRule>
  </conditionalFormatting>
  <conditionalFormatting sqref="K253">
    <cfRule type="cellIs" dxfId="647" priority="994" operator="equal">
      <formula>"Reviewed And Pending Optimization"</formula>
    </cfRule>
  </conditionalFormatting>
  <conditionalFormatting sqref="M560:N560 M562:N565 M570:N579 N703:N706 M639:N702 M582:N637 N558:N559 N567:N569 N580:N581 M707:N766">
    <cfRule type="cellIs" dxfId="646" priority="992" operator="equal">
      <formula>"Yes"</formula>
    </cfRule>
    <cfRule type="cellIs" dxfId="645" priority="993" operator="equal">
      <formula>"No"</formula>
    </cfRule>
  </conditionalFormatting>
  <conditionalFormatting sqref="M560:N560 M562:N565 M570:N579 N703:N706 M639:N702 M582:N637 N558:N559 N567:N569 N580:N581 M707:N766">
    <cfRule type="cellIs" dxfId="644" priority="990" operator="equal">
      <formula>"Deprecated"</formula>
    </cfRule>
    <cfRule type="cellIs" dxfId="643" priority="991" operator="equal">
      <formula>"Can Be Merged"</formula>
    </cfRule>
  </conditionalFormatting>
  <conditionalFormatting sqref="K175">
    <cfRule type="cellIs" dxfId="642" priority="988" operator="equal">
      <formula>"On Hold"</formula>
    </cfRule>
    <cfRule type="cellIs" dxfId="641" priority="989" operator="equal">
      <formula>"Completed"</formula>
    </cfRule>
  </conditionalFormatting>
  <conditionalFormatting sqref="L175">
    <cfRule type="cellIs" dxfId="640" priority="986" operator="equal">
      <formula>"Yes"</formula>
    </cfRule>
    <cfRule type="cellIs" dxfId="639" priority="987" operator="equal">
      <formula>"No"</formula>
    </cfRule>
  </conditionalFormatting>
  <conditionalFormatting sqref="K175">
    <cfRule type="cellIs" dxfId="638" priority="985" operator="equal">
      <formula>"NotStarted"</formula>
    </cfRule>
  </conditionalFormatting>
  <conditionalFormatting sqref="K175">
    <cfRule type="cellIs" dxfId="637" priority="984" operator="equal">
      <formula>"NListSource!$D$7"</formula>
    </cfRule>
  </conditionalFormatting>
  <conditionalFormatting sqref="K175">
    <cfRule type="cellIs" dxfId="636" priority="982" operator="equal">
      <formula>"No"</formula>
    </cfRule>
    <cfRule type="cellIs" dxfId="635" priority="983" operator="equal">
      <formula>"Yes"</formula>
    </cfRule>
  </conditionalFormatting>
  <conditionalFormatting sqref="L175">
    <cfRule type="cellIs" dxfId="634" priority="980" operator="equal">
      <formula>"Deprecated"</formula>
    </cfRule>
    <cfRule type="cellIs" dxfId="633" priority="981" operator="equal">
      <formula>"Can Be Merged"</formula>
    </cfRule>
  </conditionalFormatting>
  <conditionalFormatting sqref="K175">
    <cfRule type="cellIs" dxfId="632" priority="979" operator="equal">
      <formula>"Reviewed And Pending Optimization"</formula>
    </cfRule>
  </conditionalFormatting>
  <conditionalFormatting sqref="M175:N175">
    <cfRule type="cellIs" dxfId="631" priority="977" operator="equal">
      <formula>"Yes"</formula>
    </cfRule>
    <cfRule type="cellIs" dxfId="630" priority="978" operator="equal">
      <formula>"No"</formula>
    </cfRule>
  </conditionalFormatting>
  <conditionalFormatting sqref="M175:N175">
    <cfRule type="cellIs" dxfId="629" priority="975" operator="equal">
      <formula>"Deprecated"</formula>
    </cfRule>
    <cfRule type="cellIs" dxfId="628" priority="976" operator="equal">
      <formula>"Can Be Merged"</formula>
    </cfRule>
  </conditionalFormatting>
  <conditionalFormatting sqref="L176">
    <cfRule type="cellIs" dxfId="627" priority="971" operator="equal">
      <formula>"Yes"</formula>
    </cfRule>
    <cfRule type="cellIs" dxfId="626" priority="972" operator="equal">
      <formula>"No"</formula>
    </cfRule>
  </conditionalFormatting>
  <conditionalFormatting sqref="L176">
    <cfRule type="cellIs" dxfId="625" priority="965" operator="equal">
      <formula>"Deprecated"</formula>
    </cfRule>
    <cfRule type="cellIs" dxfId="624" priority="966" operator="equal">
      <formula>"Can Be Merged"</formula>
    </cfRule>
  </conditionalFormatting>
  <conditionalFormatting sqref="M176:N176">
    <cfRule type="cellIs" dxfId="623" priority="962" operator="equal">
      <formula>"Yes"</formula>
    </cfRule>
    <cfRule type="cellIs" dxfId="622" priority="963" operator="equal">
      <formula>"No"</formula>
    </cfRule>
  </conditionalFormatting>
  <conditionalFormatting sqref="M176:N176">
    <cfRule type="cellIs" dxfId="621" priority="960" operator="equal">
      <formula>"Deprecated"</formula>
    </cfRule>
    <cfRule type="cellIs" dxfId="620" priority="961" operator="equal">
      <formula>"Can Be Merged"</formula>
    </cfRule>
  </conditionalFormatting>
  <conditionalFormatting sqref="L555">
    <cfRule type="cellIs" dxfId="619" priority="952" operator="equal">
      <formula>"Deprecated"</formula>
    </cfRule>
    <cfRule type="cellIs" dxfId="618" priority="953" operator="equal">
      <formula>"Can Be Merged"</formula>
    </cfRule>
  </conditionalFormatting>
  <conditionalFormatting sqref="N555">
    <cfRule type="cellIs" dxfId="617" priority="949" operator="equal">
      <formula>"Yes"</formula>
    </cfRule>
    <cfRule type="cellIs" dxfId="616" priority="950" operator="equal">
      <formula>"No"</formula>
    </cfRule>
  </conditionalFormatting>
  <conditionalFormatting sqref="N555">
    <cfRule type="cellIs" dxfId="615" priority="947" operator="equal">
      <formula>"Deprecated"</formula>
    </cfRule>
    <cfRule type="cellIs" dxfId="614" priority="948" operator="equal">
      <formula>"Can Be Merged"</formula>
    </cfRule>
  </conditionalFormatting>
  <conditionalFormatting sqref="N557">
    <cfRule type="cellIs" dxfId="613" priority="945" operator="equal">
      <formula>"Yes"</formula>
    </cfRule>
    <cfRule type="cellIs" dxfId="612" priority="946" operator="equal">
      <formula>"No"</formula>
    </cfRule>
  </conditionalFormatting>
  <conditionalFormatting sqref="N557">
    <cfRule type="cellIs" dxfId="611" priority="943" operator="equal">
      <formula>"Deprecated"</formula>
    </cfRule>
    <cfRule type="cellIs" dxfId="610" priority="944" operator="equal">
      <formula>"Can Be Merged"</formula>
    </cfRule>
  </conditionalFormatting>
  <conditionalFormatting sqref="L177">
    <cfRule type="cellIs" dxfId="609" priority="941" operator="equal">
      <formula>"Yes"</formula>
    </cfRule>
    <cfRule type="cellIs" dxfId="608" priority="942" operator="equal">
      <formula>"No"</formula>
    </cfRule>
  </conditionalFormatting>
  <conditionalFormatting sqref="L177">
    <cfRule type="cellIs" dxfId="607" priority="939" operator="equal">
      <formula>"Deprecated"</formula>
    </cfRule>
    <cfRule type="cellIs" dxfId="606" priority="940" operator="equal">
      <formula>"Can Be Merged"</formula>
    </cfRule>
  </conditionalFormatting>
  <conditionalFormatting sqref="M279">
    <cfRule type="cellIs" dxfId="605" priority="937" operator="equal">
      <formula>"Yes"</formula>
    </cfRule>
    <cfRule type="cellIs" dxfId="604" priority="938" operator="equal">
      <formula>"No"</formula>
    </cfRule>
  </conditionalFormatting>
  <conditionalFormatting sqref="M279">
    <cfRule type="cellIs" dxfId="603" priority="935" operator="equal">
      <formula>"Deprecated"</formula>
    </cfRule>
    <cfRule type="cellIs" dxfId="602" priority="936" operator="equal">
      <formula>"Can Be Merged"</formula>
    </cfRule>
  </conditionalFormatting>
  <conditionalFormatting sqref="K560">
    <cfRule type="cellIs" dxfId="601" priority="933" operator="equal">
      <formula>"On Hold"</formula>
    </cfRule>
    <cfRule type="cellIs" dxfId="600" priority="934" operator="equal">
      <formula>"Completed"</formula>
    </cfRule>
  </conditionalFormatting>
  <conditionalFormatting sqref="L560">
    <cfRule type="cellIs" dxfId="599" priority="931" operator="equal">
      <formula>"Yes"</formula>
    </cfRule>
    <cfRule type="cellIs" dxfId="598" priority="932" operator="equal">
      <formula>"No"</formula>
    </cfRule>
  </conditionalFormatting>
  <conditionalFormatting sqref="K560">
    <cfRule type="cellIs" dxfId="597" priority="930" operator="equal">
      <formula>"NotStarted"</formula>
    </cfRule>
  </conditionalFormatting>
  <conditionalFormatting sqref="K560">
    <cfRule type="cellIs" dxfId="596" priority="929" operator="equal">
      <formula>"NListSource!$D$7"</formula>
    </cfRule>
  </conditionalFormatting>
  <conditionalFormatting sqref="K560">
    <cfRule type="cellIs" dxfId="595" priority="927" operator="equal">
      <formula>"No"</formula>
    </cfRule>
    <cfRule type="cellIs" dxfId="594" priority="928" operator="equal">
      <formula>"Yes"</formula>
    </cfRule>
  </conditionalFormatting>
  <conditionalFormatting sqref="L560">
    <cfRule type="cellIs" dxfId="593" priority="925" operator="equal">
      <formula>"Deprecated"</formula>
    </cfRule>
    <cfRule type="cellIs" dxfId="592" priority="926" operator="equal">
      <formula>"Can Be Merged"</formula>
    </cfRule>
  </conditionalFormatting>
  <conditionalFormatting sqref="K560">
    <cfRule type="cellIs" dxfId="591" priority="924" operator="equal">
      <formula>"Reviewed And Pending Optimization"</formula>
    </cfRule>
  </conditionalFormatting>
  <conditionalFormatting sqref="M561:N561">
    <cfRule type="cellIs" dxfId="590" priority="922" operator="equal">
      <formula>"Yes"</formula>
    </cfRule>
    <cfRule type="cellIs" dxfId="589" priority="923" operator="equal">
      <formula>"No"</formula>
    </cfRule>
  </conditionalFormatting>
  <conditionalFormatting sqref="M561:N561">
    <cfRule type="cellIs" dxfId="588" priority="920" operator="equal">
      <formula>"Deprecated"</formula>
    </cfRule>
    <cfRule type="cellIs" dxfId="587" priority="921" operator="equal">
      <formula>"Can Be Merged"</formula>
    </cfRule>
  </conditionalFormatting>
  <conditionalFormatting sqref="L561">
    <cfRule type="cellIs" dxfId="586" priority="916" operator="equal">
      <formula>"Yes"</formula>
    </cfRule>
    <cfRule type="cellIs" dxfId="585" priority="917" operator="equal">
      <formula>"No"</formula>
    </cfRule>
  </conditionalFormatting>
  <conditionalFormatting sqref="L561">
    <cfRule type="cellIs" dxfId="584" priority="910" operator="equal">
      <formula>"Deprecated"</formula>
    </cfRule>
    <cfRule type="cellIs" dxfId="583" priority="911" operator="equal">
      <formula>"Can Be Merged"</formula>
    </cfRule>
  </conditionalFormatting>
  <conditionalFormatting sqref="M566:N566">
    <cfRule type="cellIs" dxfId="582" priority="907" operator="equal">
      <formula>"Yes"</formula>
    </cfRule>
    <cfRule type="cellIs" dxfId="581" priority="908" operator="equal">
      <formula>"No"</formula>
    </cfRule>
  </conditionalFormatting>
  <conditionalFormatting sqref="M566:N566">
    <cfRule type="cellIs" dxfId="580" priority="905" operator="equal">
      <formula>"Deprecated"</formula>
    </cfRule>
    <cfRule type="cellIs" dxfId="579" priority="906" operator="equal">
      <formula>"Can Be Merged"</formula>
    </cfRule>
  </conditionalFormatting>
  <conditionalFormatting sqref="L566">
    <cfRule type="cellIs" dxfId="578" priority="901" operator="equal">
      <formula>"Yes"</formula>
    </cfRule>
    <cfRule type="cellIs" dxfId="577" priority="902" operator="equal">
      <formula>"No"</formula>
    </cfRule>
  </conditionalFormatting>
  <conditionalFormatting sqref="L566">
    <cfRule type="cellIs" dxfId="576" priority="895" operator="equal">
      <formula>"Deprecated"</formula>
    </cfRule>
    <cfRule type="cellIs" dxfId="575" priority="896" operator="equal">
      <formula>"Can Be Merged"</formula>
    </cfRule>
  </conditionalFormatting>
  <conditionalFormatting sqref="L429">
    <cfRule type="cellIs" dxfId="574" priority="892" operator="equal">
      <formula>"On Hold"</formula>
    </cfRule>
    <cfRule type="cellIs" dxfId="573" priority="893" operator="equal">
      <formula>"Completed"</formula>
    </cfRule>
  </conditionalFormatting>
  <conditionalFormatting sqref="L429">
    <cfRule type="cellIs" dxfId="572" priority="891" operator="equal">
      <formula>"NotStarted"</formula>
    </cfRule>
  </conditionalFormatting>
  <conditionalFormatting sqref="L429">
    <cfRule type="cellIs" dxfId="571" priority="890" operator="equal">
      <formula>"NListSource!$D$7"</formula>
    </cfRule>
  </conditionalFormatting>
  <conditionalFormatting sqref="L429">
    <cfRule type="cellIs" dxfId="570" priority="889" operator="equal">
      <formula>"Duplicate"</formula>
    </cfRule>
  </conditionalFormatting>
  <conditionalFormatting sqref="L429">
    <cfRule type="cellIs" dxfId="569" priority="887" operator="equal">
      <formula>"Deprecated"</formula>
    </cfRule>
    <cfRule type="cellIs" dxfId="568" priority="888" operator="equal">
      <formula>"Can Be Merged"</formula>
    </cfRule>
  </conditionalFormatting>
  <conditionalFormatting sqref="L430">
    <cfRule type="cellIs" dxfId="567" priority="885" operator="equal">
      <formula>"On Hold"</formula>
    </cfRule>
    <cfRule type="cellIs" dxfId="566" priority="886" operator="equal">
      <formula>"Completed"</formula>
    </cfRule>
  </conditionalFormatting>
  <conditionalFormatting sqref="L430">
    <cfRule type="cellIs" dxfId="565" priority="884" operator="equal">
      <formula>"NotStarted"</formula>
    </cfRule>
  </conditionalFormatting>
  <conditionalFormatting sqref="L430">
    <cfRule type="cellIs" dxfId="564" priority="883" operator="equal">
      <formula>"NListSource!$D$7"</formula>
    </cfRule>
  </conditionalFormatting>
  <conditionalFormatting sqref="L430">
    <cfRule type="cellIs" dxfId="563" priority="882" operator="equal">
      <formula>"Duplicate"</formula>
    </cfRule>
  </conditionalFormatting>
  <conditionalFormatting sqref="L430">
    <cfRule type="cellIs" dxfId="562" priority="880" operator="equal">
      <formula>"Deprecated"</formula>
    </cfRule>
    <cfRule type="cellIs" dxfId="561" priority="881" operator="equal">
      <formula>"Can Be Merged"</formula>
    </cfRule>
  </conditionalFormatting>
  <conditionalFormatting sqref="L431">
    <cfRule type="cellIs" dxfId="560" priority="878" operator="equal">
      <formula>"On Hold"</formula>
    </cfRule>
    <cfRule type="cellIs" dxfId="559" priority="879" operator="equal">
      <formula>"Completed"</formula>
    </cfRule>
  </conditionalFormatting>
  <conditionalFormatting sqref="L431">
    <cfRule type="cellIs" dxfId="558" priority="877" operator="equal">
      <formula>"NotStarted"</formula>
    </cfRule>
  </conditionalFormatting>
  <conditionalFormatting sqref="L431">
    <cfRule type="cellIs" dxfId="557" priority="876" operator="equal">
      <formula>"NListSource!$D$7"</formula>
    </cfRule>
  </conditionalFormatting>
  <conditionalFormatting sqref="L431">
    <cfRule type="cellIs" dxfId="556" priority="875" operator="equal">
      <formula>"Duplicate"</formula>
    </cfRule>
  </conditionalFormatting>
  <conditionalFormatting sqref="L431">
    <cfRule type="cellIs" dxfId="555" priority="873" operator="equal">
      <formula>"Deprecated"</formula>
    </cfRule>
    <cfRule type="cellIs" dxfId="554" priority="874" operator="equal">
      <formula>"Can Be Merged"</formula>
    </cfRule>
  </conditionalFormatting>
  <conditionalFormatting sqref="L432">
    <cfRule type="cellIs" dxfId="553" priority="871" operator="equal">
      <formula>"On Hold"</formula>
    </cfRule>
    <cfRule type="cellIs" dxfId="552" priority="872" operator="equal">
      <formula>"Completed"</formula>
    </cfRule>
  </conditionalFormatting>
  <conditionalFormatting sqref="L432">
    <cfRule type="cellIs" dxfId="551" priority="870" operator="equal">
      <formula>"NotStarted"</formula>
    </cfRule>
  </conditionalFormatting>
  <conditionalFormatting sqref="L432">
    <cfRule type="cellIs" dxfId="550" priority="869" operator="equal">
      <formula>"NListSource!$D$7"</formula>
    </cfRule>
  </conditionalFormatting>
  <conditionalFormatting sqref="L432">
    <cfRule type="cellIs" dxfId="549" priority="868" operator="equal">
      <formula>"Duplicate"</formula>
    </cfRule>
  </conditionalFormatting>
  <conditionalFormatting sqref="L432">
    <cfRule type="cellIs" dxfId="548" priority="866" operator="equal">
      <formula>"Deprecated"</formula>
    </cfRule>
    <cfRule type="cellIs" dxfId="547" priority="867" operator="equal">
      <formula>"Can Be Merged"</formula>
    </cfRule>
  </conditionalFormatting>
  <conditionalFormatting sqref="L433">
    <cfRule type="cellIs" dxfId="546" priority="864" operator="equal">
      <formula>"On Hold"</formula>
    </cfRule>
    <cfRule type="cellIs" dxfId="545" priority="865" operator="equal">
      <formula>"Completed"</formula>
    </cfRule>
  </conditionalFormatting>
  <conditionalFormatting sqref="L433">
    <cfRule type="cellIs" dxfId="544" priority="863" operator="equal">
      <formula>"NotStarted"</formula>
    </cfRule>
  </conditionalFormatting>
  <conditionalFormatting sqref="L433">
    <cfRule type="cellIs" dxfId="543" priority="862" operator="equal">
      <formula>"NListSource!$D$7"</formula>
    </cfRule>
  </conditionalFormatting>
  <conditionalFormatting sqref="L433">
    <cfRule type="cellIs" dxfId="542" priority="861" operator="equal">
      <formula>"Duplicate"</formula>
    </cfRule>
  </conditionalFormatting>
  <conditionalFormatting sqref="L433">
    <cfRule type="cellIs" dxfId="541" priority="859" operator="equal">
      <formula>"Deprecated"</formula>
    </cfRule>
    <cfRule type="cellIs" dxfId="540" priority="860" operator="equal">
      <formula>"Can Be Merged"</formula>
    </cfRule>
  </conditionalFormatting>
  <conditionalFormatting sqref="L434">
    <cfRule type="cellIs" dxfId="539" priority="857" operator="equal">
      <formula>"On Hold"</formula>
    </cfRule>
    <cfRule type="cellIs" dxfId="538" priority="858" operator="equal">
      <formula>"Completed"</formula>
    </cfRule>
  </conditionalFormatting>
  <conditionalFormatting sqref="L434">
    <cfRule type="cellIs" dxfId="537" priority="856" operator="equal">
      <formula>"NotStarted"</formula>
    </cfRule>
  </conditionalFormatting>
  <conditionalFormatting sqref="L434">
    <cfRule type="cellIs" dxfId="536" priority="855" operator="equal">
      <formula>"NListSource!$D$7"</formula>
    </cfRule>
  </conditionalFormatting>
  <conditionalFormatting sqref="L434">
    <cfRule type="cellIs" dxfId="535" priority="854" operator="equal">
      <formula>"Duplicate"</formula>
    </cfRule>
  </conditionalFormatting>
  <conditionalFormatting sqref="L434">
    <cfRule type="cellIs" dxfId="534" priority="852" operator="equal">
      <formula>"Deprecated"</formula>
    </cfRule>
    <cfRule type="cellIs" dxfId="533" priority="853" operator="equal">
      <formula>"Can Be Merged"</formula>
    </cfRule>
  </conditionalFormatting>
  <conditionalFormatting sqref="L435">
    <cfRule type="cellIs" dxfId="532" priority="850" operator="equal">
      <formula>"On Hold"</formula>
    </cfRule>
    <cfRule type="cellIs" dxfId="531" priority="851" operator="equal">
      <formula>"Completed"</formula>
    </cfRule>
  </conditionalFormatting>
  <conditionalFormatting sqref="L435">
    <cfRule type="cellIs" dxfId="530" priority="849" operator="equal">
      <formula>"NotStarted"</formula>
    </cfRule>
  </conditionalFormatting>
  <conditionalFormatting sqref="L435">
    <cfRule type="cellIs" dxfId="529" priority="848" operator="equal">
      <formula>"NListSource!$D$7"</formula>
    </cfRule>
  </conditionalFormatting>
  <conditionalFormatting sqref="L435">
    <cfRule type="cellIs" dxfId="528" priority="847" operator="equal">
      <formula>"Duplicate"</formula>
    </cfRule>
  </conditionalFormatting>
  <conditionalFormatting sqref="L435">
    <cfRule type="cellIs" dxfId="527" priority="845" operator="equal">
      <formula>"Deprecated"</formula>
    </cfRule>
    <cfRule type="cellIs" dxfId="526" priority="846" operator="equal">
      <formula>"Can Be Merged"</formula>
    </cfRule>
  </conditionalFormatting>
  <conditionalFormatting sqref="K436:L436">
    <cfRule type="cellIs" dxfId="525" priority="843" operator="equal">
      <formula>"On Hold"</formula>
    </cfRule>
    <cfRule type="cellIs" dxfId="524" priority="844" operator="equal">
      <formula>"Completed"</formula>
    </cfRule>
  </conditionalFormatting>
  <conditionalFormatting sqref="K436:L436">
    <cfRule type="cellIs" dxfId="523" priority="842" operator="equal">
      <formula>"NotStarted"</formula>
    </cfRule>
  </conditionalFormatting>
  <conditionalFormatting sqref="K436:L436">
    <cfRule type="cellIs" dxfId="522" priority="841" operator="equal">
      <formula>"NListSource!$D$7"</formula>
    </cfRule>
  </conditionalFormatting>
  <conditionalFormatting sqref="K436:L436">
    <cfRule type="cellIs" dxfId="521" priority="840" operator="equal">
      <formula>"Duplicate"</formula>
    </cfRule>
  </conditionalFormatting>
  <conditionalFormatting sqref="K436">
    <cfRule type="cellIs" dxfId="520" priority="838" operator="equal">
      <formula>"No"</formula>
    </cfRule>
    <cfRule type="cellIs" dxfId="519" priority="839" operator="equal">
      <formula>"Yes"</formula>
    </cfRule>
  </conditionalFormatting>
  <conditionalFormatting sqref="L436">
    <cfRule type="cellIs" dxfId="518" priority="836" operator="equal">
      <formula>"Deprecated"</formula>
    </cfRule>
    <cfRule type="cellIs" dxfId="517" priority="837" operator="equal">
      <formula>"Can Be Merged"</formula>
    </cfRule>
  </conditionalFormatting>
  <conditionalFormatting sqref="K436">
    <cfRule type="cellIs" dxfId="516" priority="835" operator="equal">
      <formula>"Reviewed And Pending Optimization"</formula>
    </cfRule>
  </conditionalFormatting>
  <conditionalFormatting sqref="M470:N470">
    <cfRule type="cellIs" dxfId="515" priority="831" operator="equal">
      <formula>"Yes"</formula>
    </cfRule>
    <cfRule type="cellIs" dxfId="514" priority="832" operator="equal">
      <formula>"No"</formula>
    </cfRule>
  </conditionalFormatting>
  <conditionalFormatting sqref="L470:N470">
    <cfRule type="cellIs" dxfId="513" priority="825" operator="equal">
      <formula>"Deprecated"</formula>
    </cfRule>
    <cfRule type="cellIs" dxfId="512" priority="826" operator="equal">
      <formula>"Can Be Merged"</formula>
    </cfRule>
  </conditionalFormatting>
  <conditionalFormatting sqref="M638:N638">
    <cfRule type="cellIs" dxfId="511" priority="820" operator="equal">
      <formula>"Yes"</formula>
    </cfRule>
    <cfRule type="cellIs" dxfId="510" priority="821" operator="equal">
      <formula>"No"</formula>
    </cfRule>
  </conditionalFormatting>
  <conditionalFormatting sqref="L638:N638">
    <cfRule type="cellIs" dxfId="509" priority="814" operator="equal">
      <formula>"Deprecated"</formula>
    </cfRule>
    <cfRule type="cellIs" dxfId="508" priority="815" operator="equal">
      <formula>"Can Be Merged"</formula>
    </cfRule>
  </conditionalFormatting>
  <conditionalFormatting sqref="M417">
    <cfRule type="cellIs" dxfId="507" priority="811" operator="equal">
      <formula>"Yes"</formula>
    </cfRule>
    <cfRule type="cellIs" dxfId="506" priority="812" operator="equal">
      <formula>"No"</formula>
    </cfRule>
  </conditionalFormatting>
  <conditionalFormatting sqref="M417">
    <cfRule type="cellIs" dxfId="505" priority="809" operator="equal">
      <formula>"Deprecated"</formula>
    </cfRule>
    <cfRule type="cellIs" dxfId="504" priority="810" operator="equal">
      <formula>"Can Be Merged"</formula>
    </cfRule>
  </conditionalFormatting>
  <conditionalFormatting sqref="M420">
    <cfRule type="cellIs" dxfId="503" priority="807" operator="equal">
      <formula>"Yes"</formula>
    </cfRule>
    <cfRule type="cellIs" dxfId="502" priority="808" operator="equal">
      <formula>"No"</formula>
    </cfRule>
  </conditionalFormatting>
  <conditionalFormatting sqref="M420">
    <cfRule type="cellIs" dxfId="501" priority="805" operator="equal">
      <formula>"Deprecated"</formula>
    </cfRule>
    <cfRule type="cellIs" dxfId="500" priority="806" operator="equal">
      <formula>"Can Be Merged"</formula>
    </cfRule>
  </conditionalFormatting>
  <conditionalFormatting sqref="M421">
    <cfRule type="cellIs" dxfId="499" priority="803" operator="equal">
      <formula>"Yes"</formula>
    </cfRule>
    <cfRule type="cellIs" dxfId="498" priority="804" operator="equal">
      <formula>"No"</formula>
    </cfRule>
  </conditionalFormatting>
  <conditionalFormatting sqref="M421">
    <cfRule type="cellIs" dxfId="497" priority="801" operator="equal">
      <formula>"Deprecated"</formula>
    </cfRule>
    <cfRule type="cellIs" dxfId="496" priority="802" operator="equal">
      <formula>"Can Be Merged"</formula>
    </cfRule>
  </conditionalFormatting>
  <conditionalFormatting sqref="L494">
    <cfRule type="cellIs" dxfId="495" priority="799" operator="equal">
      <formula>"On Hold"</formula>
    </cfRule>
    <cfRule type="cellIs" dxfId="494" priority="800" operator="equal">
      <formula>"Completed"</formula>
    </cfRule>
  </conditionalFormatting>
  <conditionalFormatting sqref="L494">
    <cfRule type="cellIs" dxfId="493" priority="798" operator="equal">
      <formula>"NotStarted"</formula>
    </cfRule>
  </conditionalFormatting>
  <conditionalFormatting sqref="L494">
    <cfRule type="cellIs" dxfId="492" priority="797" operator="equal">
      <formula>"NListSource!$D$7"</formula>
    </cfRule>
  </conditionalFormatting>
  <conditionalFormatting sqref="L494">
    <cfRule type="cellIs" dxfId="491" priority="796" operator="equal">
      <formula>"Duplicate"</formula>
    </cfRule>
  </conditionalFormatting>
  <conditionalFormatting sqref="L494">
    <cfRule type="cellIs" dxfId="490" priority="792" operator="equal">
      <formula>"Deprecated"</formula>
    </cfRule>
    <cfRule type="cellIs" dxfId="489" priority="793" operator="equal">
      <formula>"Can Be Merged"</formula>
    </cfRule>
  </conditionalFormatting>
  <conditionalFormatting sqref="M558">
    <cfRule type="cellIs" dxfId="488" priority="789" operator="equal">
      <formula>"Yes"</formula>
    </cfRule>
    <cfRule type="cellIs" dxfId="487" priority="790" operator="equal">
      <formula>"No"</formula>
    </cfRule>
  </conditionalFormatting>
  <conditionalFormatting sqref="M558">
    <cfRule type="cellIs" dxfId="486" priority="787" operator="equal">
      <formula>"Deprecated"</formula>
    </cfRule>
    <cfRule type="cellIs" dxfId="485" priority="788" operator="equal">
      <formula>"Can Be Merged"</formula>
    </cfRule>
  </conditionalFormatting>
  <conditionalFormatting sqref="M559">
    <cfRule type="cellIs" dxfId="484" priority="785" operator="equal">
      <formula>"Yes"</formula>
    </cfRule>
    <cfRule type="cellIs" dxfId="483" priority="786" operator="equal">
      <formula>"No"</formula>
    </cfRule>
  </conditionalFormatting>
  <conditionalFormatting sqref="M559">
    <cfRule type="cellIs" dxfId="482" priority="783" operator="equal">
      <formula>"Deprecated"</formula>
    </cfRule>
    <cfRule type="cellIs" dxfId="481" priority="784" operator="equal">
      <formula>"Can Be Merged"</formula>
    </cfRule>
  </conditionalFormatting>
  <conditionalFormatting sqref="M567">
    <cfRule type="cellIs" dxfId="480" priority="781" operator="equal">
      <formula>"Yes"</formula>
    </cfRule>
    <cfRule type="cellIs" dxfId="479" priority="782" operator="equal">
      <formula>"No"</formula>
    </cfRule>
  </conditionalFormatting>
  <conditionalFormatting sqref="M567">
    <cfRule type="cellIs" dxfId="478" priority="779" operator="equal">
      <formula>"Deprecated"</formula>
    </cfRule>
    <cfRule type="cellIs" dxfId="477" priority="780" operator="equal">
      <formula>"Can Be Merged"</formula>
    </cfRule>
  </conditionalFormatting>
  <conditionalFormatting sqref="M568">
    <cfRule type="cellIs" dxfId="476" priority="777" operator="equal">
      <formula>"Yes"</formula>
    </cfRule>
    <cfRule type="cellIs" dxfId="475" priority="778" operator="equal">
      <formula>"No"</formula>
    </cfRule>
  </conditionalFormatting>
  <conditionalFormatting sqref="M568">
    <cfRule type="cellIs" dxfId="474" priority="775" operator="equal">
      <formula>"Deprecated"</formula>
    </cfRule>
    <cfRule type="cellIs" dxfId="473" priority="776" operator="equal">
      <formula>"Can Be Merged"</formula>
    </cfRule>
  </conditionalFormatting>
  <conditionalFormatting sqref="M569">
    <cfRule type="cellIs" dxfId="472" priority="773" operator="equal">
      <formula>"Yes"</formula>
    </cfRule>
    <cfRule type="cellIs" dxfId="471" priority="774" operator="equal">
      <formula>"No"</formula>
    </cfRule>
  </conditionalFormatting>
  <conditionalFormatting sqref="M569">
    <cfRule type="cellIs" dxfId="470" priority="771" operator="equal">
      <formula>"Deprecated"</formula>
    </cfRule>
    <cfRule type="cellIs" dxfId="469" priority="772" operator="equal">
      <formula>"Can Be Merged"</formula>
    </cfRule>
  </conditionalFormatting>
  <conditionalFormatting sqref="M580">
    <cfRule type="cellIs" dxfId="468" priority="769" operator="equal">
      <formula>"Yes"</formula>
    </cfRule>
    <cfRule type="cellIs" dxfId="467" priority="770" operator="equal">
      <formula>"No"</formula>
    </cfRule>
  </conditionalFormatting>
  <conditionalFormatting sqref="M580">
    <cfRule type="cellIs" dxfId="466" priority="767" operator="equal">
      <formula>"Deprecated"</formula>
    </cfRule>
    <cfRule type="cellIs" dxfId="465" priority="768" operator="equal">
      <formula>"Can Be Merged"</formula>
    </cfRule>
  </conditionalFormatting>
  <conditionalFormatting sqref="M581">
    <cfRule type="cellIs" dxfId="464" priority="765" operator="equal">
      <formula>"Yes"</formula>
    </cfRule>
    <cfRule type="cellIs" dxfId="463" priority="766" operator="equal">
      <formula>"No"</formula>
    </cfRule>
  </conditionalFormatting>
  <conditionalFormatting sqref="M581">
    <cfRule type="cellIs" dxfId="462" priority="763" operator="equal">
      <formula>"Deprecated"</formula>
    </cfRule>
    <cfRule type="cellIs" dxfId="461" priority="764" operator="equal">
      <formula>"Can Be Merged"</formula>
    </cfRule>
  </conditionalFormatting>
  <conditionalFormatting sqref="L522">
    <cfRule type="cellIs" dxfId="460" priority="754" operator="equal">
      <formula>"Deprecated"</formula>
    </cfRule>
    <cfRule type="cellIs" dxfId="459" priority="755" operator="equal">
      <formula>"Can Be Merged"</formula>
    </cfRule>
  </conditionalFormatting>
  <conditionalFormatting sqref="L544">
    <cfRule type="cellIs" dxfId="458" priority="744" operator="equal">
      <formula>"Deprecated"</formula>
    </cfRule>
    <cfRule type="cellIs" dxfId="457" priority="745" operator="equal">
      <formula>"Can Be Merged"</formula>
    </cfRule>
  </conditionalFormatting>
  <conditionalFormatting sqref="L545">
    <cfRule type="cellIs" dxfId="456" priority="734" operator="equal">
      <formula>"Deprecated"</formula>
    </cfRule>
    <cfRule type="cellIs" dxfId="455" priority="735" operator="equal">
      <formula>"Can Be Merged"</formula>
    </cfRule>
  </conditionalFormatting>
  <conditionalFormatting sqref="K558">
    <cfRule type="cellIs" dxfId="454" priority="731" operator="equal">
      <formula>"On Hold"</formula>
    </cfRule>
    <cfRule type="cellIs" dxfId="453" priority="732" operator="equal">
      <formula>"Completed"</formula>
    </cfRule>
  </conditionalFormatting>
  <conditionalFormatting sqref="K558">
    <cfRule type="cellIs" dxfId="452" priority="730" operator="equal">
      <formula>"NotStarted"</formula>
    </cfRule>
  </conditionalFormatting>
  <conditionalFormatting sqref="K558">
    <cfRule type="cellIs" dxfId="451" priority="729" operator="equal">
      <formula>"NListSource!$D$7"</formula>
    </cfRule>
  </conditionalFormatting>
  <conditionalFormatting sqref="K558">
    <cfRule type="cellIs" dxfId="450" priority="728" operator="equal">
      <formula>"Duplicate"</formula>
    </cfRule>
  </conditionalFormatting>
  <conditionalFormatting sqref="K558">
    <cfRule type="cellIs" dxfId="449" priority="726" operator="equal">
      <formula>"No"</formula>
    </cfRule>
    <cfRule type="cellIs" dxfId="448" priority="727" operator="equal">
      <formula>"Yes"</formula>
    </cfRule>
  </conditionalFormatting>
  <conditionalFormatting sqref="L558">
    <cfRule type="cellIs" dxfId="447" priority="724" operator="equal">
      <formula>"Deprecated"</formula>
    </cfRule>
    <cfRule type="cellIs" dxfId="446" priority="725" operator="equal">
      <formula>"Can Be Merged"</formula>
    </cfRule>
  </conditionalFormatting>
  <conditionalFormatting sqref="K558">
    <cfRule type="cellIs" dxfId="445" priority="723" operator="equal">
      <formula>"Reviewed And Pending Optimization"</formula>
    </cfRule>
  </conditionalFormatting>
  <conditionalFormatting sqref="K559">
    <cfRule type="cellIs" dxfId="444" priority="721" operator="equal">
      <formula>"On Hold"</formula>
    </cfRule>
    <cfRule type="cellIs" dxfId="443" priority="722" operator="equal">
      <formula>"Completed"</formula>
    </cfRule>
  </conditionalFormatting>
  <conditionalFormatting sqref="K559">
    <cfRule type="cellIs" dxfId="442" priority="720" operator="equal">
      <formula>"NotStarted"</formula>
    </cfRule>
  </conditionalFormatting>
  <conditionalFormatting sqref="K559">
    <cfRule type="cellIs" dxfId="441" priority="719" operator="equal">
      <formula>"NListSource!$D$7"</formula>
    </cfRule>
  </conditionalFormatting>
  <conditionalFormatting sqref="K559">
    <cfRule type="cellIs" dxfId="440" priority="718" operator="equal">
      <formula>"Duplicate"</formula>
    </cfRule>
  </conditionalFormatting>
  <conditionalFormatting sqref="K559">
    <cfRule type="cellIs" dxfId="439" priority="716" operator="equal">
      <formula>"No"</formula>
    </cfRule>
    <cfRule type="cellIs" dxfId="438" priority="717" operator="equal">
      <formula>"Yes"</formula>
    </cfRule>
  </conditionalFormatting>
  <conditionalFormatting sqref="L559">
    <cfRule type="cellIs" dxfId="437" priority="714" operator="equal">
      <formula>"Deprecated"</formula>
    </cfRule>
    <cfRule type="cellIs" dxfId="436" priority="715" operator="equal">
      <formula>"Can Be Merged"</formula>
    </cfRule>
  </conditionalFormatting>
  <conditionalFormatting sqref="K559">
    <cfRule type="cellIs" dxfId="435" priority="713" operator="equal">
      <formula>"Reviewed And Pending Optimization"</formula>
    </cfRule>
  </conditionalFormatting>
  <conditionalFormatting sqref="L567">
    <cfRule type="cellIs" dxfId="434" priority="704" operator="equal">
      <formula>"Deprecated"</formula>
    </cfRule>
    <cfRule type="cellIs" dxfId="433" priority="705" operator="equal">
      <formula>"Can Be Merged"</formula>
    </cfRule>
  </conditionalFormatting>
  <conditionalFormatting sqref="L568">
    <cfRule type="cellIs" dxfId="432" priority="694" operator="equal">
      <formula>"Deprecated"</formula>
    </cfRule>
    <cfRule type="cellIs" dxfId="431" priority="695" operator="equal">
      <formula>"Can Be Merged"</formula>
    </cfRule>
  </conditionalFormatting>
  <conditionalFormatting sqref="L569">
    <cfRule type="cellIs" dxfId="430" priority="684" operator="equal">
      <formula>"Deprecated"</formula>
    </cfRule>
    <cfRule type="cellIs" dxfId="429" priority="685" operator="equal">
      <formula>"Can Be Merged"</formula>
    </cfRule>
  </conditionalFormatting>
  <conditionalFormatting sqref="L580">
    <cfRule type="cellIs" dxfId="428" priority="674" operator="equal">
      <formula>"Deprecated"</formula>
    </cfRule>
    <cfRule type="cellIs" dxfId="427" priority="675" operator="equal">
      <formula>"Can Be Merged"</formula>
    </cfRule>
  </conditionalFormatting>
  <conditionalFormatting sqref="K581">
    <cfRule type="cellIs" dxfId="426" priority="671" operator="equal">
      <formula>"On Hold"</formula>
    </cfRule>
    <cfRule type="cellIs" dxfId="425" priority="672" operator="equal">
      <formula>"Completed"</formula>
    </cfRule>
  </conditionalFormatting>
  <conditionalFormatting sqref="K581">
    <cfRule type="cellIs" dxfId="424" priority="670" operator="equal">
      <formula>"NotStarted"</formula>
    </cfRule>
  </conditionalFormatting>
  <conditionalFormatting sqref="K581">
    <cfRule type="cellIs" dxfId="423" priority="669" operator="equal">
      <formula>"NListSource!$D$7"</formula>
    </cfRule>
  </conditionalFormatting>
  <conditionalFormatting sqref="K581">
    <cfRule type="cellIs" dxfId="422" priority="668" operator="equal">
      <formula>"Duplicate"</formula>
    </cfRule>
  </conditionalFormatting>
  <conditionalFormatting sqref="K581">
    <cfRule type="cellIs" dxfId="421" priority="666" operator="equal">
      <formula>"No"</formula>
    </cfRule>
    <cfRule type="cellIs" dxfId="420" priority="667" operator="equal">
      <formula>"Yes"</formula>
    </cfRule>
  </conditionalFormatting>
  <conditionalFormatting sqref="L581">
    <cfRule type="cellIs" dxfId="419" priority="664" operator="equal">
      <formula>"Deprecated"</formula>
    </cfRule>
    <cfRule type="cellIs" dxfId="418" priority="665" operator="equal">
      <formula>"Can Be Merged"</formula>
    </cfRule>
  </conditionalFormatting>
  <conditionalFormatting sqref="K581">
    <cfRule type="cellIs" dxfId="417" priority="663" operator="equal">
      <formula>"Reviewed And Pending Optimization"</formula>
    </cfRule>
  </conditionalFormatting>
  <conditionalFormatting sqref="N521">
    <cfRule type="cellIs" dxfId="416" priority="661" operator="equal">
      <formula>"Yes"</formula>
    </cfRule>
    <cfRule type="cellIs" dxfId="415" priority="662" operator="equal">
      <formula>"No"</formula>
    </cfRule>
  </conditionalFormatting>
  <conditionalFormatting sqref="N521">
    <cfRule type="cellIs" dxfId="414" priority="659" operator="equal">
      <formula>"Deprecated"</formula>
    </cfRule>
    <cfRule type="cellIs" dxfId="413" priority="660" operator="equal">
      <formula>"Can Be Merged"</formula>
    </cfRule>
  </conditionalFormatting>
  <conditionalFormatting sqref="N522">
    <cfRule type="cellIs" dxfId="412" priority="657" operator="equal">
      <formula>"Yes"</formula>
    </cfRule>
    <cfRule type="cellIs" dxfId="411" priority="658" operator="equal">
      <formula>"No"</formula>
    </cfRule>
  </conditionalFormatting>
  <conditionalFormatting sqref="N522">
    <cfRule type="cellIs" dxfId="410" priority="655" operator="equal">
      <formula>"Deprecated"</formula>
    </cfRule>
    <cfRule type="cellIs" dxfId="409" priority="656" operator="equal">
      <formula>"Can Be Merged"</formula>
    </cfRule>
  </conditionalFormatting>
  <conditionalFormatting sqref="N544">
    <cfRule type="cellIs" dxfId="408" priority="653" operator="equal">
      <formula>"Yes"</formula>
    </cfRule>
    <cfRule type="cellIs" dxfId="407" priority="654" operator="equal">
      <formula>"No"</formula>
    </cfRule>
  </conditionalFormatting>
  <conditionalFormatting sqref="N544">
    <cfRule type="cellIs" dxfId="406" priority="651" operator="equal">
      <formula>"Deprecated"</formula>
    </cfRule>
    <cfRule type="cellIs" dxfId="405" priority="652" operator="equal">
      <formula>"Can Be Merged"</formula>
    </cfRule>
  </conditionalFormatting>
  <conditionalFormatting sqref="N545">
    <cfRule type="cellIs" dxfId="404" priority="649" operator="equal">
      <formula>"Yes"</formula>
    </cfRule>
    <cfRule type="cellIs" dxfId="403" priority="650" operator="equal">
      <formula>"No"</formula>
    </cfRule>
  </conditionalFormatting>
  <conditionalFormatting sqref="N545">
    <cfRule type="cellIs" dxfId="402" priority="647" operator="equal">
      <formula>"Deprecated"</formula>
    </cfRule>
    <cfRule type="cellIs" dxfId="401" priority="648" operator="equal">
      <formula>"Can Be Merged"</formula>
    </cfRule>
  </conditionalFormatting>
  <conditionalFormatting sqref="L468">
    <cfRule type="cellIs" dxfId="400" priority="645" operator="equal">
      <formula>"Yes"</formula>
    </cfRule>
    <cfRule type="cellIs" dxfId="399" priority="646" operator="equal">
      <formula>"No"</formula>
    </cfRule>
  </conditionalFormatting>
  <conditionalFormatting sqref="L471">
    <cfRule type="cellIs" dxfId="398" priority="643" operator="equal">
      <formula>"Yes"</formula>
    </cfRule>
    <cfRule type="cellIs" dxfId="397" priority="644" operator="equal">
      <formula>"No"</formula>
    </cfRule>
  </conditionalFormatting>
  <conditionalFormatting sqref="L472">
    <cfRule type="cellIs" dxfId="396" priority="641" operator="equal">
      <formula>"Yes"</formula>
    </cfRule>
    <cfRule type="cellIs" dxfId="395" priority="642" operator="equal">
      <formula>"No"</formula>
    </cfRule>
  </conditionalFormatting>
  <conditionalFormatting sqref="L473">
    <cfRule type="cellIs" dxfId="394" priority="639" operator="equal">
      <formula>"Deprecated"</formula>
    </cfRule>
    <cfRule type="cellIs" dxfId="393" priority="640" operator="equal">
      <formula>"Can Be Merged"</formula>
    </cfRule>
  </conditionalFormatting>
  <conditionalFormatting sqref="L473">
    <cfRule type="cellIs" dxfId="392" priority="637" operator="equal">
      <formula>"Yes"</formula>
    </cfRule>
    <cfRule type="cellIs" dxfId="391" priority="638" operator="equal">
      <formula>"No"</formula>
    </cfRule>
  </conditionalFormatting>
  <conditionalFormatting sqref="N467">
    <cfRule type="cellIs" dxfId="390" priority="635" operator="equal">
      <formula>"Yes"</formula>
    </cfRule>
    <cfRule type="cellIs" dxfId="389" priority="636" operator="equal">
      <formula>"No"</formula>
    </cfRule>
  </conditionalFormatting>
  <conditionalFormatting sqref="N467">
    <cfRule type="cellIs" dxfId="388" priority="633" operator="equal">
      <formula>"Deprecated"</formula>
    </cfRule>
    <cfRule type="cellIs" dxfId="387" priority="634" operator="equal">
      <formula>"Can Be Merged"</formula>
    </cfRule>
  </conditionalFormatting>
  <conditionalFormatting sqref="M477:N477">
    <cfRule type="cellIs" dxfId="386" priority="631" operator="equal">
      <formula>"Yes"</formula>
    </cfRule>
    <cfRule type="cellIs" dxfId="385" priority="632" operator="equal">
      <formula>"No"</formula>
    </cfRule>
  </conditionalFormatting>
  <conditionalFormatting sqref="M477:N477">
    <cfRule type="cellIs" dxfId="384" priority="629" operator="equal">
      <formula>"Deprecated"</formula>
    </cfRule>
    <cfRule type="cellIs" dxfId="383" priority="630" operator="equal">
      <formula>"Can Be Merged"</formula>
    </cfRule>
  </conditionalFormatting>
  <conditionalFormatting sqref="L477">
    <cfRule type="cellIs" dxfId="382" priority="621" operator="equal">
      <formula>"Deprecated"</formula>
    </cfRule>
    <cfRule type="cellIs" dxfId="381" priority="622" operator="equal">
      <formula>"Can Be Merged"</formula>
    </cfRule>
  </conditionalFormatting>
  <conditionalFormatting sqref="L477">
    <cfRule type="cellIs" dxfId="380" priority="618" operator="equal">
      <formula>"Yes"</formula>
    </cfRule>
    <cfRule type="cellIs" dxfId="379" priority="619" operator="equal">
      <formula>"No"</formula>
    </cfRule>
  </conditionalFormatting>
  <conditionalFormatting sqref="M478:N478">
    <cfRule type="cellIs" dxfId="378" priority="616" operator="equal">
      <formula>"Yes"</formula>
    </cfRule>
    <cfRule type="cellIs" dxfId="377" priority="617" operator="equal">
      <formula>"No"</formula>
    </cfRule>
  </conditionalFormatting>
  <conditionalFormatting sqref="M478:N478">
    <cfRule type="cellIs" dxfId="376" priority="614" operator="equal">
      <formula>"Deprecated"</formula>
    </cfRule>
    <cfRule type="cellIs" dxfId="375" priority="615" operator="equal">
      <formula>"Can Be Merged"</formula>
    </cfRule>
  </conditionalFormatting>
  <conditionalFormatting sqref="K478">
    <cfRule type="cellIs" dxfId="374" priority="612" operator="equal">
      <formula>"On Hold"</formula>
    </cfRule>
    <cfRule type="cellIs" dxfId="373" priority="613" operator="equal">
      <formula>"Completed"</formula>
    </cfRule>
  </conditionalFormatting>
  <conditionalFormatting sqref="K478">
    <cfRule type="cellIs" dxfId="372" priority="611" operator="equal">
      <formula>"NotStarted"</formula>
    </cfRule>
  </conditionalFormatting>
  <conditionalFormatting sqref="K478">
    <cfRule type="cellIs" dxfId="371" priority="610" operator="equal">
      <formula>"NListSource!$D$7"</formula>
    </cfRule>
  </conditionalFormatting>
  <conditionalFormatting sqref="K478">
    <cfRule type="cellIs" dxfId="370" priority="608" operator="equal">
      <formula>"No"</formula>
    </cfRule>
    <cfRule type="cellIs" dxfId="369" priority="609" operator="equal">
      <formula>"Yes"</formula>
    </cfRule>
  </conditionalFormatting>
  <conditionalFormatting sqref="L478">
    <cfRule type="cellIs" dxfId="368" priority="606" operator="equal">
      <formula>"Deprecated"</formula>
    </cfRule>
    <cfRule type="cellIs" dxfId="367" priority="607" operator="equal">
      <formula>"Can Be Merged"</formula>
    </cfRule>
  </conditionalFormatting>
  <conditionalFormatting sqref="K478">
    <cfRule type="cellIs" dxfId="366" priority="605" operator="equal">
      <formula>"Reviewed And Pending Optimization"</formula>
    </cfRule>
  </conditionalFormatting>
  <conditionalFormatting sqref="L478">
    <cfRule type="cellIs" dxfId="365" priority="603" operator="equal">
      <formula>"Yes"</formula>
    </cfRule>
    <cfRule type="cellIs" dxfId="364" priority="604" operator="equal">
      <formula>"No"</formula>
    </cfRule>
  </conditionalFormatting>
  <conditionalFormatting sqref="L466">
    <cfRule type="cellIs" dxfId="363" priority="601" operator="equal">
      <formula>"On Hold"</formula>
    </cfRule>
    <cfRule type="cellIs" dxfId="362" priority="602" operator="equal">
      <formula>"Completed"</formula>
    </cfRule>
  </conditionalFormatting>
  <conditionalFormatting sqref="L466">
    <cfRule type="cellIs" dxfId="361" priority="600" operator="equal">
      <formula>"NotStarted"</formula>
    </cfRule>
  </conditionalFormatting>
  <conditionalFormatting sqref="L466">
    <cfRule type="cellIs" dxfId="360" priority="599" operator="equal">
      <formula>"NListSource!$D$7"</formula>
    </cfRule>
  </conditionalFormatting>
  <conditionalFormatting sqref="L466">
    <cfRule type="cellIs" dxfId="359" priority="598" operator="equal">
      <formula>"Duplicate"</formula>
    </cfRule>
  </conditionalFormatting>
  <conditionalFormatting sqref="L466">
    <cfRule type="cellIs" dxfId="358" priority="594" operator="equal">
      <formula>"Deprecated"</formula>
    </cfRule>
    <cfRule type="cellIs" dxfId="357" priority="595" operator="equal">
      <formula>"Can Be Merged"</formula>
    </cfRule>
  </conditionalFormatting>
  <conditionalFormatting sqref="L492">
    <cfRule type="cellIs" dxfId="356" priority="591" operator="equal">
      <formula>"On Hold"</formula>
    </cfRule>
    <cfRule type="cellIs" dxfId="355" priority="592" operator="equal">
      <formula>"Completed"</formula>
    </cfRule>
  </conditionalFormatting>
  <conditionalFormatting sqref="L492">
    <cfRule type="cellIs" dxfId="354" priority="590" operator="equal">
      <formula>"NotStarted"</formula>
    </cfRule>
  </conditionalFormatting>
  <conditionalFormatting sqref="L492">
    <cfRule type="cellIs" dxfId="353" priority="589" operator="equal">
      <formula>"NListSource!$D$7"</formula>
    </cfRule>
  </conditionalFormatting>
  <conditionalFormatting sqref="L492">
    <cfRule type="cellIs" dxfId="352" priority="588" operator="equal">
      <formula>"Duplicate"</formula>
    </cfRule>
  </conditionalFormatting>
  <conditionalFormatting sqref="L492">
    <cfRule type="cellIs" dxfId="351" priority="584" operator="equal">
      <formula>"Deprecated"</formula>
    </cfRule>
    <cfRule type="cellIs" dxfId="350" priority="585" operator="equal">
      <formula>"Can Be Merged"</formula>
    </cfRule>
  </conditionalFormatting>
  <conditionalFormatting sqref="K493:L493">
    <cfRule type="cellIs" dxfId="349" priority="581" operator="equal">
      <formula>"On Hold"</formula>
    </cfRule>
    <cfRule type="cellIs" dxfId="348" priority="582" operator="equal">
      <formula>"Completed"</formula>
    </cfRule>
  </conditionalFormatting>
  <conditionalFormatting sqref="K493:L493">
    <cfRule type="cellIs" dxfId="347" priority="580" operator="equal">
      <formula>"NotStarted"</formula>
    </cfRule>
  </conditionalFormatting>
  <conditionalFormatting sqref="K493:L493">
    <cfRule type="cellIs" dxfId="346" priority="579" operator="equal">
      <formula>"NListSource!$D$7"</formula>
    </cfRule>
  </conditionalFormatting>
  <conditionalFormatting sqref="K493:L493">
    <cfRule type="cellIs" dxfId="345" priority="578" operator="equal">
      <formula>"Duplicate"</formula>
    </cfRule>
  </conditionalFormatting>
  <conditionalFormatting sqref="K493">
    <cfRule type="cellIs" dxfId="344" priority="576" operator="equal">
      <formula>"No"</formula>
    </cfRule>
    <cfRule type="cellIs" dxfId="343" priority="577" operator="equal">
      <formula>"Yes"</formula>
    </cfRule>
  </conditionalFormatting>
  <conditionalFormatting sqref="L493">
    <cfRule type="cellIs" dxfId="342" priority="574" operator="equal">
      <formula>"Deprecated"</formula>
    </cfRule>
    <cfRule type="cellIs" dxfId="341" priority="575" operator="equal">
      <formula>"Can Be Merged"</formula>
    </cfRule>
  </conditionalFormatting>
  <conditionalFormatting sqref="K493">
    <cfRule type="cellIs" dxfId="340" priority="573" operator="equal">
      <formula>"Reviewed And Pending Optimization"</formula>
    </cfRule>
  </conditionalFormatting>
  <conditionalFormatting sqref="K435">
    <cfRule type="cellIs" dxfId="339" priority="563" operator="equal">
      <formula>"On Hold"</formula>
    </cfRule>
    <cfRule type="cellIs" dxfId="338" priority="564" operator="equal">
      <formula>"Completed"</formula>
    </cfRule>
  </conditionalFormatting>
  <conditionalFormatting sqref="K435">
    <cfRule type="cellIs" dxfId="337" priority="562" operator="equal">
      <formula>"NotStarted"</formula>
    </cfRule>
  </conditionalFormatting>
  <conditionalFormatting sqref="K435">
    <cfRule type="cellIs" dxfId="336" priority="561" operator="equal">
      <formula>"NListSource!$D$7"</formula>
    </cfRule>
  </conditionalFormatting>
  <conditionalFormatting sqref="K435">
    <cfRule type="cellIs" dxfId="335" priority="560" operator="equal">
      <formula>"Duplicate"</formula>
    </cfRule>
  </conditionalFormatting>
  <conditionalFormatting sqref="K435">
    <cfRule type="cellIs" dxfId="334" priority="558" operator="equal">
      <formula>"No"</formula>
    </cfRule>
    <cfRule type="cellIs" dxfId="333" priority="559" operator="equal">
      <formula>"Yes"</formula>
    </cfRule>
  </conditionalFormatting>
  <conditionalFormatting sqref="K435">
    <cfRule type="cellIs" dxfId="332" priority="557" operator="equal">
      <formula>"Reviewed And Pending Optimization"</formula>
    </cfRule>
  </conditionalFormatting>
  <conditionalFormatting sqref="K433">
    <cfRule type="cellIs" dxfId="331" priority="555" operator="equal">
      <formula>"On Hold"</formula>
    </cfRule>
    <cfRule type="cellIs" dxfId="330" priority="556" operator="equal">
      <formula>"Completed"</formula>
    </cfRule>
  </conditionalFormatting>
  <conditionalFormatting sqref="K433">
    <cfRule type="cellIs" dxfId="329" priority="554" operator="equal">
      <formula>"NotStarted"</formula>
    </cfRule>
  </conditionalFormatting>
  <conditionalFormatting sqref="K433">
    <cfRule type="cellIs" dxfId="328" priority="553" operator="equal">
      <formula>"NListSource!$D$7"</formula>
    </cfRule>
  </conditionalFormatting>
  <conditionalFormatting sqref="K433">
    <cfRule type="cellIs" dxfId="327" priority="552" operator="equal">
      <formula>"Duplicate"</formula>
    </cfRule>
  </conditionalFormatting>
  <conditionalFormatting sqref="K433">
    <cfRule type="cellIs" dxfId="326" priority="550" operator="equal">
      <formula>"No"</formula>
    </cfRule>
    <cfRule type="cellIs" dxfId="325" priority="551" operator="equal">
      <formula>"Yes"</formula>
    </cfRule>
  </conditionalFormatting>
  <conditionalFormatting sqref="K433">
    <cfRule type="cellIs" dxfId="324" priority="549" operator="equal">
      <formula>"Reviewed And Pending Optimization"</formula>
    </cfRule>
  </conditionalFormatting>
  <conditionalFormatting sqref="K428">
    <cfRule type="cellIs" dxfId="323" priority="539" operator="equal">
      <formula>"On Hold"</formula>
    </cfRule>
    <cfRule type="cellIs" dxfId="322" priority="540" operator="equal">
      <formula>"Completed"</formula>
    </cfRule>
  </conditionalFormatting>
  <conditionalFormatting sqref="K428">
    <cfRule type="cellIs" dxfId="321" priority="538" operator="equal">
      <formula>"NotStarted"</formula>
    </cfRule>
  </conditionalFormatting>
  <conditionalFormatting sqref="K428">
    <cfRule type="cellIs" dxfId="320" priority="537" operator="equal">
      <formula>"NListSource!$D$7"</formula>
    </cfRule>
  </conditionalFormatting>
  <conditionalFormatting sqref="K428">
    <cfRule type="cellIs" dxfId="319" priority="536" operator="equal">
      <formula>"Duplicate"</formula>
    </cfRule>
  </conditionalFormatting>
  <conditionalFormatting sqref="K428">
    <cfRule type="cellIs" dxfId="318" priority="534" operator="equal">
      <formula>"No"</formula>
    </cfRule>
    <cfRule type="cellIs" dxfId="317" priority="535" operator="equal">
      <formula>"Yes"</formula>
    </cfRule>
  </conditionalFormatting>
  <conditionalFormatting sqref="K428">
    <cfRule type="cellIs" dxfId="316" priority="533" operator="equal">
      <formula>"Reviewed And Pending Optimization"</formula>
    </cfRule>
  </conditionalFormatting>
  <conditionalFormatting sqref="K429">
    <cfRule type="cellIs" dxfId="315" priority="523" operator="equal">
      <formula>"On Hold"</formula>
    </cfRule>
    <cfRule type="cellIs" dxfId="314" priority="524" operator="equal">
      <formula>"Completed"</formula>
    </cfRule>
  </conditionalFormatting>
  <conditionalFormatting sqref="K429">
    <cfRule type="cellIs" dxfId="313" priority="522" operator="equal">
      <formula>"NotStarted"</formula>
    </cfRule>
  </conditionalFormatting>
  <conditionalFormatting sqref="K429">
    <cfRule type="cellIs" dxfId="312" priority="521" operator="equal">
      <formula>"NListSource!$D$7"</formula>
    </cfRule>
  </conditionalFormatting>
  <conditionalFormatting sqref="K429">
    <cfRule type="cellIs" dxfId="311" priority="520" operator="equal">
      <formula>"Duplicate"</formula>
    </cfRule>
  </conditionalFormatting>
  <conditionalFormatting sqref="K429">
    <cfRule type="cellIs" dxfId="310" priority="518" operator="equal">
      <formula>"No"</formula>
    </cfRule>
    <cfRule type="cellIs" dxfId="309" priority="519" operator="equal">
      <formula>"Yes"</formula>
    </cfRule>
  </conditionalFormatting>
  <conditionalFormatting sqref="K429">
    <cfRule type="cellIs" dxfId="308" priority="517" operator="equal">
      <formula>"Reviewed And Pending Optimization"</formula>
    </cfRule>
  </conditionalFormatting>
  <conditionalFormatting sqref="N429">
    <cfRule type="cellIs" dxfId="307" priority="507" operator="equal">
      <formula>"Yes"</formula>
    </cfRule>
    <cfRule type="cellIs" dxfId="306" priority="508" operator="equal">
      <formula>"No"</formula>
    </cfRule>
  </conditionalFormatting>
  <conditionalFormatting sqref="N429">
    <cfRule type="cellIs" dxfId="305" priority="505" operator="equal">
      <formula>"Deprecated"</formula>
    </cfRule>
    <cfRule type="cellIs" dxfId="304" priority="506" operator="equal">
      <formula>"Can Be Merged"</formula>
    </cfRule>
  </conditionalFormatting>
  <conditionalFormatting sqref="N430">
    <cfRule type="cellIs" dxfId="303" priority="503" operator="equal">
      <formula>"Yes"</formula>
    </cfRule>
    <cfRule type="cellIs" dxfId="302" priority="504" operator="equal">
      <formula>"No"</formula>
    </cfRule>
  </conditionalFormatting>
  <conditionalFormatting sqref="N430">
    <cfRule type="cellIs" dxfId="301" priority="501" operator="equal">
      <formula>"Deprecated"</formula>
    </cfRule>
    <cfRule type="cellIs" dxfId="300" priority="502" operator="equal">
      <formula>"Can Be Merged"</formula>
    </cfRule>
  </conditionalFormatting>
  <conditionalFormatting sqref="N431">
    <cfRule type="cellIs" dxfId="299" priority="499" operator="equal">
      <formula>"Yes"</formula>
    </cfRule>
    <cfRule type="cellIs" dxfId="298" priority="500" operator="equal">
      <formula>"No"</formula>
    </cfRule>
  </conditionalFormatting>
  <conditionalFormatting sqref="N431">
    <cfRule type="cellIs" dxfId="297" priority="497" operator="equal">
      <formula>"Deprecated"</formula>
    </cfRule>
    <cfRule type="cellIs" dxfId="296" priority="498" operator="equal">
      <formula>"Can Be Merged"</formula>
    </cfRule>
  </conditionalFormatting>
  <conditionalFormatting sqref="N432">
    <cfRule type="cellIs" dxfId="295" priority="495" operator="equal">
      <formula>"Yes"</formula>
    </cfRule>
    <cfRule type="cellIs" dxfId="294" priority="496" operator="equal">
      <formula>"No"</formula>
    </cfRule>
  </conditionalFormatting>
  <conditionalFormatting sqref="N432">
    <cfRule type="cellIs" dxfId="293" priority="493" operator="equal">
      <formula>"Deprecated"</formula>
    </cfRule>
    <cfRule type="cellIs" dxfId="292" priority="494" operator="equal">
      <formula>"Can Be Merged"</formula>
    </cfRule>
  </conditionalFormatting>
  <conditionalFormatting sqref="N433">
    <cfRule type="cellIs" dxfId="291" priority="491" operator="equal">
      <formula>"Yes"</formula>
    </cfRule>
    <cfRule type="cellIs" dxfId="290" priority="492" operator="equal">
      <formula>"No"</formula>
    </cfRule>
  </conditionalFormatting>
  <conditionalFormatting sqref="N433">
    <cfRule type="cellIs" dxfId="289" priority="489" operator="equal">
      <formula>"Deprecated"</formula>
    </cfRule>
    <cfRule type="cellIs" dxfId="288" priority="490" operator="equal">
      <formula>"Can Be Merged"</formula>
    </cfRule>
  </conditionalFormatting>
  <conditionalFormatting sqref="N434">
    <cfRule type="cellIs" dxfId="287" priority="487" operator="equal">
      <formula>"Yes"</formula>
    </cfRule>
    <cfRule type="cellIs" dxfId="286" priority="488" operator="equal">
      <formula>"No"</formula>
    </cfRule>
  </conditionalFormatting>
  <conditionalFormatting sqref="N434">
    <cfRule type="cellIs" dxfId="285" priority="485" operator="equal">
      <formula>"Deprecated"</formula>
    </cfRule>
    <cfRule type="cellIs" dxfId="284" priority="486" operator="equal">
      <formula>"Can Be Merged"</formula>
    </cfRule>
  </conditionalFormatting>
  <conditionalFormatting sqref="N435">
    <cfRule type="cellIs" dxfId="283" priority="483" operator="equal">
      <formula>"Yes"</formula>
    </cfRule>
    <cfRule type="cellIs" dxfId="282" priority="484" operator="equal">
      <formula>"No"</formula>
    </cfRule>
  </conditionalFormatting>
  <conditionalFormatting sqref="N435">
    <cfRule type="cellIs" dxfId="281" priority="481" operator="equal">
      <formula>"Deprecated"</formula>
    </cfRule>
    <cfRule type="cellIs" dxfId="280" priority="482" operator="equal">
      <formula>"Can Be Merged"</formula>
    </cfRule>
  </conditionalFormatting>
  <conditionalFormatting sqref="N436">
    <cfRule type="cellIs" dxfId="279" priority="479" operator="equal">
      <formula>"Yes"</formula>
    </cfRule>
    <cfRule type="cellIs" dxfId="278" priority="480" operator="equal">
      <formula>"No"</formula>
    </cfRule>
  </conditionalFormatting>
  <conditionalFormatting sqref="N436">
    <cfRule type="cellIs" dxfId="277" priority="477" operator="equal">
      <formula>"Deprecated"</formula>
    </cfRule>
    <cfRule type="cellIs" dxfId="276" priority="478" operator="equal">
      <formula>"Can Be Merged"</formula>
    </cfRule>
  </conditionalFormatting>
  <conditionalFormatting sqref="L495">
    <cfRule type="cellIs" dxfId="275" priority="475" operator="equal">
      <formula>"On Hold"</formula>
    </cfRule>
    <cfRule type="cellIs" dxfId="274" priority="476" operator="equal">
      <formula>"Completed"</formula>
    </cfRule>
  </conditionalFormatting>
  <conditionalFormatting sqref="L495">
    <cfRule type="cellIs" dxfId="273" priority="474" operator="equal">
      <formula>"NotStarted"</formula>
    </cfRule>
  </conditionalFormatting>
  <conditionalFormatting sqref="L495">
    <cfRule type="cellIs" dxfId="272" priority="473" operator="equal">
      <formula>"NListSource!$D$7"</formula>
    </cfRule>
  </conditionalFormatting>
  <conditionalFormatting sqref="L495">
    <cfRule type="cellIs" dxfId="271" priority="472" operator="equal">
      <formula>"Duplicate"</formula>
    </cfRule>
  </conditionalFormatting>
  <conditionalFormatting sqref="L495">
    <cfRule type="cellIs" dxfId="270" priority="468" operator="equal">
      <formula>"Deprecated"</formula>
    </cfRule>
    <cfRule type="cellIs" dxfId="269" priority="469" operator="equal">
      <formula>"Can Be Merged"</formula>
    </cfRule>
  </conditionalFormatting>
  <conditionalFormatting sqref="L496">
    <cfRule type="cellIs" dxfId="268" priority="465" operator="equal">
      <formula>"On Hold"</formula>
    </cfRule>
    <cfRule type="cellIs" dxfId="267" priority="466" operator="equal">
      <formula>"Completed"</formula>
    </cfRule>
  </conditionalFormatting>
  <conditionalFormatting sqref="L496">
    <cfRule type="cellIs" dxfId="266" priority="464" operator="equal">
      <formula>"NotStarted"</formula>
    </cfRule>
  </conditionalFormatting>
  <conditionalFormatting sqref="L496">
    <cfRule type="cellIs" dxfId="265" priority="463" operator="equal">
      <formula>"NListSource!$D$7"</formula>
    </cfRule>
  </conditionalFormatting>
  <conditionalFormatting sqref="L496">
    <cfRule type="cellIs" dxfId="264" priority="462" operator="equal">
      <formula>"Duplicate"</formula>
    </cfRule>
  </conditionalFormatting>
  <conditionalFormatting sqref="L496">
    <cfRule type="cellIs" dxfId="263" priority="458" operator="equal">
      <formula>"Deprecated"</formula>
    </cfRule>
    <cfRule type="cellIs" dxfId="262" priority="459" operator="equal">
      <formula>"Can Be Merged"</formula>
    </cfRule>
  </conditionalFormatting>
  <conditionalFormatting sqref="K497:L497">
    <cfRule type="cellIs" dxfId="261" priority="455" operator="equal">
      <formula>"On Hold"</formula>
    </cfRule>
    <cfRule type="cellIs" dxfId="260" priority="456" operator="equal">
      <formula>"Completed"</formula>
    </cfRule>
  </conditionalFormatting>
  <conditionalFormatting sqref="K497:L497">
    <cfRule type="cellIs" dxfId="259" priority="454" operator="equal">
      <formula>"NotStarted"</formula>
    </cfRule>
  </conditionalFormatting>
  <conditionalFormatting sqref="K497:L497">
    <cfRule type="cellIs" dxfId="258" priority="453" operator="equal">
      <formula>"NListSource!$D$7"</formula>
    </cfRule>
  </conditionalFormatting>
  <conditionalFormatting sqref="K497:L497">
    <cfRule type="cellIs" dxfId="257" priority="452" operator="equal">
      <formula>"Duplicate"</formula>
    </cfRule>
  </conditionalFormatting>
  <conditionalFormatting sqref="K497">
    <cfRule type="cellIs" dxfId="256" priority="450" operator="equal">
      <formula>"No"</formula>
    </cfRule>
    <cfRule type="cellIs" dxfId="255" priority="451" operator="equal">
      <formula>"Yes"</formula>
    </cfRule>
  </conditionalFormatting>
  <conditionalFormatting sqref="L497">
    <cfRule type="cellIs" dxfId="254" priority="448" operator="equal">
      <formula>"Deprecated"</formula>
    </cfRule>
    <cfRule type="cellIs" dxfId="253" priority="449" operator="equal">
      <formula>"Can Be Merged"</formula>
    </cfRule>
  </conditionalFormatting>
  <conditionalFormatting sqref="K497">
    <cfRule type="cellIs" dxfId="252" priority="447" operator="equal">
      <formula>"Reviewed And Pending Optimization"</formula>
    </cfRule>
  </conditionalFormatting>
  <conditionalFormatting sqref="L417">
    <cfRule type="cellIs" dxfId="251" priority="443" operator="equal">
      <formula>"Yes"</formula>
    </cfRule>
    <cfRule type="cellIs" dxfId="250" priority="444" operator="equal">
      <formula>"No"</formula>
    </cfRule>
  </conditionalFormatting>
  <conditionalFormatting sqref="L417">
    <cfRule type="cellIs" dxfId="249" priority="436" operator="equal">
      <formula>"Deprecated"</formula>
    </cfRule>
    <cfRule type="cellIs" dxfId="248" priority="437" operator="equal">
      <formula>"Can Be Merged"</formula>
    </cfRule>
  </conditionalFormatting>
  <conditionalFormatting sqref="K420">
    <cfRule type="cellIs" dxfId="247" priority="433" operator="equal">
      <formula>"On Hold"</formula>
    </cfRule>
    <cfRule type="cellIs" dxfId="246" priority="434" operator="equal">
      <formula>"Completed"</formula>
    </cfRule>
  </conditionalFormatting>
  <conditionalFormatting sqref="L420">
    <cfRule type="cellIs" dxfId="245" priority="431" operator="equal">
      <formula>"Yes"</formula>
    </cfRule>
    <cfRule type="cellIs" dxfId="244" priority="432" operator="equal">
      <formula>"No"</formula>
    </cfRule>
  </conditionalFormatting>
  <conditionalFormatting sqref="K420">
    <cfRule type="cellIs" dxfId="243" priority="430" operator="equal">
      <formula>"NotStarted"</formula>
    </cfRule>
  </conditionalFormatting>
  <conditionalFormatting sqref="K420">
    <cfRule type="cellIs" dxfId="242" priority="429" operator="equal">
      <formula>"NListSource!$D$7"</formula>
    </cfRule>
  </conditionalFormatting>
  <conditionalFormatting sqref="K420">
    <cfRule type="cellIs" dxfId="241" priority="428" operator="equal">
      <formula>"Duplicate"</formula>
    </cfRule>
  </conditionalFormatting>
  <conditionalFormatting sqref="K420">
    <cfRule type="cellIs" dxfId="240" priority="426" operator="equal">
      <formula>"No"</formula>
    </cfRule>
    <cfRule type="cellIs" dxfId="239" priority="427" operator="equal">
      <formula>"Yes"</formula>
    </cfRule>
  </conditionalFormatting>
  <conditionalFormatting sqref="L420">
    <cfRule type="cellIs" dxfId="238" priority="424" operator="equal">
      <formula>"Deprecated"</formula>
    </cfRule>
    <cfRule type="cellIs" dxfId="237" priority="425" operator="equal">
      <formula>"Can Be Merged"</formula>
    </cfRule>
  </conditionalFormatting>
  <conditionalFormatting sqref="K420">
    <cfRule type="cellIs" dxfId="236" priority="423" operator="equal">
      <formula>"Reviewed And Pending Optimization"</formula>
    </cfRule>
  </conditionalFormatting>
  <conditionalFormatting sqref="L421">
    <cfRule type="cellIs" dxfId="235" priority="419" operator="equal">
      <formula>"Yes"</formula>
    </cfRule>
    <cfRule type="cellIs" dxfId="234" priority="420" operator="equal">
      <formula>"No"</formula>
    </cfRule>
  </conditionalFormatting>
  <conditionalFormatting sqref="L421">
    <cfRule type="cellIs" dxfId="233" priority="412" operator="equal">
      <formula>"Deprecated"</formula>
    </cfRule>
    <cfRule type="cellIs" dxfId="232" priority="413" operator="equal">
      <formula>"Can Be Merged"</formula>
    </cfRule>
  </conditionalFormatting>
  <conditionalFormatting sqref="N417">
    <cfRule type="cellIs" dxfId="231" priority="409" operator="equal">
      <formula>"Yes"</formula>
    </cfRule>
    <cfRule type="cellIs" dxfId="230" priority="410" operator="equal">
      <formula>"No"</formula>
    </cfRule>
  </conditionalFormatting>
  <conditionalFormatting sqref="N417">
    <cfRule type="cellIs" dxfId="229" priority="407" operator="equal">
      <formula>"Deprecated"</formula>
    </cfRule>
    <cfRule type="cellIs" dxfId="228" priority="408" operator="equal">
      <formula>"Can Be Merged"</formula>
    </cfRule>
  </conditionalFormatting>
  <conditionalFormatting sqref="N420">
    <cfRule type="cellIs" dxfId="227" priority="405" operator="equal">
      <formula>"Yes"</formula>
    </cfRule>
    <cfRule type="cellIs" dxfId="226" priority="406" operator="equal">
      <formula>"No"</formula>
    </cfRule>
  </conditionalFormatting>
  <conditionalFormatting sqref="N420">
    <cfRule type="cellIs" dxfId="225" priority="403" operator="equal">
      <formula>"Deprecated"</formula>
    </cfRule>
    <cfRule type="cellIs" dxfId="224" priority="404" operator="equal">
      <formula>"Can Be Merged"</formula>
    </cfRule>
  </conditionalFormatting>
  <conditionalFormatting sqref="N421">
    <cfRule type="cellIs" dxfId="223" priority="401" operator="equal">
      <formula>"Yes"</formula>
    </cfRule>
    <cfRule type="cellIs" dxfId="222" priority="402" operator="equal">
      <formula>"No"</formula>
    </cfRule>
  </conditionalFormatting>
  <conditionalFormatting sqref="N421">
    <cfRule type="cellIs" dxfId="221" priority="399" operator="equal">
      <formula>"Deprecated"</formula>
    </cfRule>
    <cfRule type="cellIs" dxfId="220" priority="400" operator="equal">
      <formula>"Can Be Merged"</formula>
    </cfRule>
  </conditionalFormatting>
  <conditionalFormatting sqref="N514">
    <cfRule type="cellIs" dxfId="219" priority="397" operator="equal">
      <formula>"Yes"</formula>
    </cfRule>
    <cfRule type="cellIs" dxfId="218" priority="398" operator="equal">
      <formula>"No"</formula>
    </cfRule>
  </conditionalFormatting>
  <conditionalFormatting sqref="N514">
    <cfRule type="cellIs" dxfId="217" priority="395" operator="equal">
      <formula>"Deprecated"</formula>
    </cfRule>
    <cfRule type="cellIs" dxfId="216" priority="396" operator="equal">
      <formula>"Can Be Merged"</formula>
    </cfRule>
  </conditionalFormatting>
  <conditionalFormatting sqref="N529">
    <cfRule type="cellIs" dxfId="215" priority="393" operator="equal">
      <formula>"Yes"</formula>
    </cfRule>
    <cfRule type="cellIs" dxfId="214" priority="394" operator="equal">
      <formula>"No"</formula>
    </cfRule>
  </conditionalFormatting>
  <conditionalFormatting sqref="N529">
    <cfRule type="cellIs" dxfId="213" priority="391" operator="equal">
      <formula>"Deprecated"</formula>
    </cfRule>
    <cfRule type="cellIs" dxfId="212" priority="392" operator="equal">
      <formula>"Can Be Merged"</formula>
    </cfRule>
  </conditionalFormatting>
  <conditionalFormatting sqref="K516">
    <cfRule type="cellIs" dxfId="211" priority="389" operator="equal">
      <formula>"On Hold"</formula>
    </cfRule>
    <cfRule type="cellIs" dxfId="210" priority="390" operator="equal">
      <formula>"Completed"</formula>
    </cfRule>
  </conditionalFormatting>
  <conditionalFormatting sqref="M516:N516">
    <cfRule type="cellIs" dxfId="209" priority="387" operator="equal">
      <formula>"Yes"</formula>
    </cfRule>
    <cfRule type="cellIs" dxfId="208" priority="388" operator="equal">
      <formula>"No"</formula>
    </cfRule>
  </conditionalFormatting>
  <conditionalFormatting sqref="K516">
    <cfRule type="cellIs" dxfId="207" priority="386" operator="equal">
      <formula>"NotStarted"</formula>
    </cfRule>
  </conditionalFormatting>
  <conditionalFormatting sqref="K516">
    <cfRule type="cellIs" dxfId="206" priority="385" operator="equal">
      <formula>"NListSource!$D$7"</formula>
    </cfRule>
  </conditionalFormatting>
  <conditionalFormatting sqref="K516">
    <cfRule type="cellIs" dxfId="205" priority="383" operator="equal">
      <formula>"No"</formula>
    </cfRule>
    <cfRule type="cellIs" dxfId="204" priority="384" operator="equal">
      <formula>"Yes"</formula>
    </cfRule>
  </conditionalFormatting>
  <conditionalFormatting sqref="L516:N516">
    <cfRule type="cellIs" dxfId="203" priority="381" operator="equal">
      <formula>"Deprecated"</formula>
    </cfRule>
    <cfRule type="cellIs" dxfId="202" priority="382" operator="equal">
      <formula>"Can Be Merged"</formula>
    </cfRule>
  </conditionalFormatting>
  <conditionalFormatting sqref="K516">
    <cfRule type="cellIs" dxfId="201" priority="380" operator="equal">
      <formula>"Reviewed And Pending Optimization"</formula>
    </cfRule>
  </conditionalFormatting>
  <conditionalFormatting sqref="K491">
    <cfRule type="cellIs" dxfId="200" priority="378" operator="equal">
      <formula>"On Hold"</formula>
    </cfRule>
    <cfRule type="cellIs" dxfId="199" priority="379" operator="equal">
      <formula>"Completed"</formula>
    </cfRule>
  </conditionalFormatting>
  <conditionalFormatting sqref="N491">
    <cfRule type="cellIs" dxfId="198" priority="376" operator="equal">
      <formula>"Yes"</formula>
    </cfRule>
    <cfRule type="cellIs" dxfId="197" priority="377" operator="equal">
      <formula>"No"</formula>
    </cfRule>
  </conditionalFormatting>
  <conditionalFormatting sqref="K491">
    <cfRule type="cellIs" dxfId="196" priority="375" operator="equal">
      <formula>"NotStarted"</formula>
    </cfRule>
  </conditionalFormatting>
  <conditionalFormatting sqref="K491">
    <cfRule type="cellIs" dxfId="195" priority="374" operator="equal">
      <formula>"NListSource!$D$7"</formula>
    </cfRule>
  </conditionalFormatting>
  <conditionalFormatting sqref="K491">
    <cfRule type="cellIs" dxfId="194" priority="372" operator="equal">
      <formula>"No"</formula>
    </cfRule>
    <cfRule type="cellIs" dxfId="193" priority="373" operator="equal">
      <formula>"Yes"</formula>
    </cfRule>
  </conditionalFormatting>
  <conditionalFormatting sqref="L491 N491">
    <cfRule type="cellIs" dxfId="192" priority="370" operator="equal">
      <formula>"Deprecated"</formula>
    </cfRule>
    <cfRule type="cellIs" dxfId="191" priority="371" operator="equal">
      <formula>"Can Be Merged"</formula>
    </cfRule>
  </conditionalFormatting>
  <conditionalFormatting sqref="K491">
    <cfRule type="cellIs" dxfId="190" priority="369" operator="equal">
      <formula>"Reviewed And Pending Optimization"</formula>
    </cfRule>
  </conditionalFormatting>
  <conditionalFormatting sqref="N527">
    <cfRule type="cellIs" dxfId="189" priority="365" operator="equal">
      <formula>"Yes"</formula>
    </cfRule>
    <cfRule type="cellIs" dxfId="188" priority="366" operator="equal">
      <formula>"No"</formula>
    </cfRule>
  </conditionalFormatting>
  <conditionalFormatting sqref="L527 N527">
    <cfRule type="cellIs" dxfId="187" priority="359" operator="equal">
      <formula>"Deprecated"</formula>
    </cfRule>
    <cfRule type="cellIs" dxfId="186" priority="360" operator="equal">
      <formula>"Can Be Merged"</formula>
    </cfRule>
  </conditionalFormatting>
  <conditionalFormatting sqref="K473">
    <cfRule type="cellIs" dxfId="185" priority="356" operator="equal">
      <formula>"On Hold"</formula>
    </cfRule>
    <cfRule type="cellIs" dxfId="184" priority="357" operator="equal">
      <formula>"Completed"</formula>
    </cfRule>
  </conditionalFormatting>
  <conditionalFormatting sqref="K473">
    <cfRule type="cellIs" dxfId="183" priority="355" operator="equal">
      <formula>"NotStarted"</formula>
    </cfRule>
  </conditionalFormatting>
  <conditionalFormatting sqref="K473">
    <cfRule type="cellIs" dxfId="182" priority="354" operator="equal">
      <formula>"NListSource!$D$7"</formula>
    </cfRule>
  </conditionalFormatting>
  <conditionalFormatting sqref="K473">
    <cfRule type="cellIs" dxfId="181" priority="352" operator="equal">
      <formula>"No"</formula>
    </cfRule>
    <cfRule type="cellIs" dxfId="180" priority="353" operator="equal">
      <formula>"Yes"</formula>
    </cfRule>
  </conditionalFormatting>
  <conditionalFormatting sqref="K473">
    <cfRule type="cellIs" dxfId="179" priority="351" operator="equal">
      <formula>"Reviewed And Pending Optimization"</formula>
    </cfRule>
  </conditionalFormatting>
  <conditionalFormatting sqref="N468">
    <cfRule type="cellIs" dxfId="178" priority="349" operator="equal">
      <formula>"Yes"</formula>
    </cfRule>
    <cfRule type="cellIs" dxfId="177" priority="350" operator="equal">
      <formula>"No"</formula>
    </cfRule>
  </conditionalFormatting>
  <conditionalFormatting sqref="N468">
    <cfRule type="cellIs" dxfId="176" priority="347" operator="equal">
      <formula>"Deprecated"</formula>
    </cfRule>
    <cfRule type="cellIs" dxfId="175" priority="348" operator="equal">
      <formula>"Can Be Merged"</formula>
    </cfRule>
  </conditionalFormatting>
  <conditionalFormatting sqref="N471">
    <cfRule type="cellIs" dxfId="174" priority="345" operator="equal">
      <formula>"Yes"</formula>
    </cfRule>
    <cfRule type="cellIs" dxfId="173" priority="346" operator="equal">
      <formula>"No"</formula>
    </cfRule>
  </conditionalFormatting>
  <conditionalFormatting sqref="N471">
    <cfRule type="cellIs" dxfId="172" priority="343" operator="equal">
      <formula>"Deprecated"</formula>
    </cfRule>
    <cfRule type="cellIs" dxfId="171" priority="344" operator="equal">
      <formula>"Can Be Merged"</formula>
    </cfRule>
  </conditionalFormatting>
  <conditionalFormatting sqref="N472">
    <cfRule type="cellIs" dxfId="170" priority="341" operator="equal">
      <formula>"Yes"</formula>
    </cfRule>
    <cfRule type="cellIs" dxfId="169" priority="342" operator="equal">
      <formula>"No"</formula>
    </cfRule>
  </conditionalFormatting>
  <conditionalFormatting sqref="N472">
    <cfRule type="cellIs" dxfId="168" priority="339" operator="equal">
      <formula>"Deprecated"</formula>
    </cfRule>
    <cfRule type="cellIs" dxfId="167" priority="340" operator="equal">
      <formula>"Can Be Merged"</formula>
    </cfRule>
  </conditionalFormatting>
  <conditionalFormatting sqref="N473">
    <cfRule type="cellIs" dxfId="166" priority="337" operator="equal">
      <formula>"Yes"</formula>
    </cfRule>
    <cfRule type="cellIs" dxfId="165" priority="338" operator="equal">
      <formula>"No"</formula>
    </cfRule>
  </conditionalFormatting>
  <conditionalFormatting sqref="N473">
    <cfRule type="cellIs" dxfId="164" priority="335" operator="equal">
      <formula>"Deprecated"</formula>
    </cfRule>
    <cfRule type="cellIs" dxfId="163" priority="336" operator="equal">
      <formula>"Can Be Merged"</formula>
    </cfRule>
  </conditionalFormatting>
  <conditionalFormatting sqref="N528">
    <cfRule type="cellIs" dxfId="162" priority="333" operator="equal">
      <formula>"Yes"</formula>
    </cfRule>
    <cfRule type="cellIs" dxfId="161" priority="334" operator="equal">
      <formula>"No"</formula>
    </cfRule>
  </conditionalFormatting>
  <conditionalFormatting sqref="N528">
    <cfRule type="cellIs" dxfId="160" priority="331" operator="equal">
      <formula>"Deprecated"</formula>
    </cfRule>
    <cfRule type="cellIs" dxfId="159" priority="332" operator="equal">
      <formula>"Can Be Merged"</formula>
    </cfRule>
  </conditionalFormatting>
  <conditionalFormatting sqref="N530">
    <cfRule type="cellIs" dxfId="158" priority="329" operator="equal">
      <formula>"Yes"</formula>
    </cfRule>
    <cfRule type="cellIs" dxfId="157" priority="330" operator="equal">
      <formula>"No"</formula>
    </cfRule>
  </conditionalFormatting>
  <conditionalFormatting sqref="N530">
    <cfRule type="cellIs" dxfId="156" priority="327" operator="equal">
      <formula>"Deprecated"</formula>
    </cfRule>
    <cfRule type="cellIs" dxfId="155" priority="328" operator="equal">
      <formula>"Can Be Merged"</formula>
    </cfRule>
  </conditionalFormatting>
  <conditionalFormatting sqref="N531">
    <cfRule type="cellIs" dxfId="154" priority="325" operator="equal">
      <formula>"Yes"</formula>
    </cfRule>
    <cfRule type="cellIs" dxfId="153" priority="326" operator="equal">
      <formula>"No"</formula>
    </cfRule>
  </conditionalFormatting>
  <conditionalFormatting sqref="N531">
    <cfRule type="cellIs" dxfId="152" priority="323" operator="equal">
      <formula>"Deprecated"</formula>
    </cfRule>
    <cfRule type="cellIs" dxfId="151" priority="324" operator="equal">
      <formula>"Can Be Merged"</formula>
    </cfRule>
  </conditionalFormatting>
  <conditionalFormatting sqref="M488:N488">
    <cfRule type="cellIs" dxfId="150" priority="319" operator="equal">
      <formula>"Yes"</formula>
    </cfRule>
    <cfRule type="cellIs" dxfId="149" priority="320" operator="equal">
      <formula>"No"</formula>
    </cfRule>
  </conditionalFormatting>
  <conditionalFormatting sqref="L488:N488">
    <cfRule type="cellIs" dxfId="148" priority="314" operator="equal">
      <formula>"Deprecated"</formula>
    </cfRule>
    <cfRule type="cellIs" dxfId="147" priority="315" operator="equal">
      <formula>"Can Be Merged"</formula>
    </cfRule>
  </conditionalFormatting>
  <conditionalFormatting sqref="M489">
    <cfRule type="cellIs" dxfId="146" priority="312" operator="equal">
      <formula>"Yes"</formula>
    </cfRule>
    <cfRule type="cellIs" dxfId="145" priority="313" operator="equal">
      <formula>"No"</formula>
    </cfRule>
  </conditionalFormatting>
  <conditionalFormatting sqref="L489:M489">
    <cfRule type="cellIs" dxfId="144" priority="310" operator="equal">
      <formula>"Deprecated"</formula>
    </cfRule>
    <cfRule type="cellIs" dxfId="143" priority="311" operator="equal">
      <formula>"Can Be Merged"</formula>
    </cfRule>
  </conditionalFormatting>
  <conditionalFormatting sqref="M490">
    <cfRule type="cellIs" dxfId="142" priority="308" operator="equal">
      <formula>"Yes"</formula>
    </cfRule>
    <cfRule type="cellIs" dxfId="141" priority="309" operator="equal">
      <formula>"No"</formula>
    </cfRule>
  </conditionalFormatting>
  <conditionalFormatting sqref="L490:M490">
    <cfRule type="cellIs" dxfId="140" priority="306" operator="equal">
      <formula>"Deprecated"</formula>
    </cfRule>
    <cfRule type="cellIs" dxfId="139" priority="307" operator="equal">
      <formula>"Can Be Merged"</formula>
    </cfRule>
  </conditionalFormatting>
  <conditionalFormatting sqref="N489:N490">
    <cfRule type="cellIs" dxfId="138" priority="304" operator="equal">
      <formula>"Yes"</formula>
    </cfRule>
    <cfRule type="cellIs" dxfId="137" priority="305" operator="equal">
      <formula>"No"</formula>
    </cfRule>
  </conditionalFormatting>
  <conditionalFormatting sqref="N489:N490">
    <cfRule type="cellIs" dxfId="136" priority="302" operator="equal">
      <formula>"Deprecated"</formula>
    </cfRule>
    <cfRule type="cellIs" dxfId="135" priority="303" operator="equal">
      <formula>"Can Be Merged"</formula>
    </cfRule>
  </conditionalFormatting>
  <conditionalFormatting sqref="K490">
    <cfRule type="cellIs" dxfId="134" priority="299" operator="equal">
      <formula>"On Hold"</formula>
    </cfRule>
    <cfRule type="cellIs" dxfId="133" priority="300" operator="equal">
      <formula>"Completed"</formula>
    </cfRule>
  </conditionalFormatting>
  <conditionalFormatting sqref="K490">
    <cfRule type="cellIs" dxfId="132" priority="298" operator="equal">
      <formula>"NotStarted"</formula>
    </cfRule>
  </conditionalFormatting>
  <conditionalFormatting sqref="K490">
    <cfRule type="cellIs" dxfId="131" priority="297" operator="equal">
      <formula>"NListSource!$D$7"</formula>
    </cfRule>
  </conditionalFormatting>
  <conditionalFormatting sqref="K490">
    <cfRule type="cellIs" dxfId="130" priority="295" operator="equal">
      <formula>"No"</formula>
    </cfRule>
    <cfRule type="cellIs" dxfId="129" priority="296" operator="equal">
      <formula>"Yes"</formula>
    </cfRule>
  </conditionalFormatting>
  <conditionalFormatting sqref="K490">
    <cfRule type="cellIs" dxfId="128" priority="294" operator="equal">
      <formula>"Reviewed And Pending Optimization"</formula>
    </cfRule>
  </conditionalFormatting>
  <conditionalFormatting sqref="L528">
    <cfRule type="cellIs" dxfId="127" priority="271" operator="equal">
      <formula>"Deprecated"</formula>
    </cfRule>
    <cfRule type="cellIs" dxfId="126" priority="272" operator="equal">
      <formula>"Can Be Merged"</formula>
    </cfRule>
  </conditionalFormatting>
  <conditionalFormatting sqref="L530">
    <cfRule type="cellIs" dxfId="125" priority="269" operator="equal">
      <formula>"Deprecated"</formula>
    </cfRule>
    <cfRule type="cellIs" dxfId="124" priority="270" operator="equal">
      <formula>"Can Be Merged"</formula>
    </cfRule>
  </conditionalFormatting>
  <conditionalFormatting sqref="L531">
    <cfRule type="cellIs" dxfId="123" priority="267" operator="equal">
      <formula>"Deprecated"</formula>
    </cfRule>
    <cfRule type="cellIs" dxfId="122" priority="268" operator="equal">
      <formula>"Can Be Merged"</formula>
    </cfRule>
  </conditionalFormatting>
  <conditionalFormatting sqref="M491">
    <cfRule type="cellIs" dxfId="121" priority="265" operator="equal">
      <formula>"Yes"</formula>
    </cfRule>
    <cfRule type="cellIs" dxfId="120" priority="266" operator="equal">
      <formula>"No"</formula>
    </cfRule>
  </conditionalFormatting>
  <conditionalFormatting sqref="M491">
    <cfRule type="cellIs" dxfId="119" priority="263" operator="equal">
      <formula>"Deprecated"</formula>
    </cfRule>
    <cfRule type="cellIs" dxfId="118" priority="264" operator="equal">
      <formula>"Can Be Merged"</formula>
    </cfRule>
  </conditionalFormatting>
  <conditionalFormatting sqref="M527">
    <cfRule type="cellIs" dxfId="117" priority="261" operator="equal">
      <formula>"Yes"</formula>
    </cfRule>
    <cfRule type="cellIs" dxfId="116" priority="262" operator="equal">
      <formula>"No"</formula>
    </cfRule>
  </conditionalFormatting>
  <conditionalFormatting sqref="M527">
    <cfRule type="cellIs" dxfId="115" priority="259" operator="equal">
      <formula>"Deprecated"</formula>
    </cfRule>
    <cfRule type="cellIs" dxfId="114" priority="260" operator="equal">
      <formula>"Can Be Merged"</formula>
    </cfRule>
  </conditionalFormatting>
  <conditionalFormatting sqref="M528">
    <cfRule type="cellIs" dxfId="113" priority="257" operator="equal">
      <formula>"Yes"</formula>
    </cfRule>
    <cfRule type="cellIs" dxfId="112" priority="258" operator="equal">
      <formula>"No"</formula>
    </cfRule>
  </conditionalFormatting>
  <conditionalFormatting sqref="M528">
    <cfRule type="cellIs" dxfId="111" priority="255" operator="equal">
      <formula>"Deprecated"</formula>
    </cfRule>
    <cfRule type="cellIs" dxfId="110" priority="256" operator="equal">
      <formula>"Can Be Merged"</formula>
    </cfRule>
  </conditionalFormatting>
  <conditionalFormatting sqref="M530">
    <cfRule type="cellIs" dxfId="109" priority="253" operator="equal">
      <formula>"Yes"</formula>
    </cfRule>
    <cfRule type="cellIs" dxfId="108" priority="254" operator="equal">
      <formula>"No"</formula>
    </cfRule>
  </conditionalFormatting>
  <conditionalFormatting sqref="M530">
    <cfRule type="cellIs" dxfId="107" priority="251" operator="equal">
      <formula>"Deprecated"</formula>
    </cfRule>
    <cfRule type="cellIs" dxfId="106" priority="252" operator="equal">
      <formula>"Can Be Merged"</formula>
    </cfRule>
  </conditionalFormatting>
  <conditionalFormatting sqref="M531">
    <cfRule type="cellIs" dxfId="105" priority="249" operator="equal">
      <formula>"Yes"</formula>
    </cfRule>
    <cfRule type="cellIs" dxfId="104" priority="250" operator="equal">
      <formula>"No"</formula>
    </cfRule>
  </conditionalFormatting>
  <conditionalFormatting sqref="M531">
    <cfRule type="cellIs" dxfId="103" priority="247" operator="equal">
      <formula>"Deprecated"</formula>
    </cfRule>
    <cfRule type="cellIs" dxfId="102" priority="248" operator="equal">
      <formula>"Can Be Merged"</formula>
    </cfRule>
  </conditionalFormatting>
  <conditionalFormatting sqref="K756:K757">
    <cfRule type="cellIs" dxfId="101" priority="245" operator="equal">
      <formula>"On Hold"</formula>
    </cfRule>
    <cfRule type="cellIs" dxfId="100" priority="246" operator="equal">
      <formula>"Completed"</formula>
    </cfRule>
  </conditionalFormatting>
  <conditionalFormatting sqref="K756:K757">
    <cfRule type="cellIs" dxfId="99" priority="244" operator="equal">
      <formula>"NotStarted"</formula>
    </cfRule>
  </conditionalFormatting>
  <conditionalFormatting sqref="K756:K757">
    <cfRule type="cellIs" dxfId="98" priority="243" operator="equal">
      <formula>"NListSource!$D$7"</formula>
    </cfRule>
  </conditionalFormatting>
  <conditionalFormatting sqref="K756:K757">
    <cfRule type="cellIs" dxfId="97" priority="235" operator="equal">
      <formula>"No"</formula>
    </cfRule>
    <cfRule type="cellIs" dxfId="96" priority="236" operator="equal">
      <formula>"Yes"</formula>
    </cfRule>
  </conditionalFormatting>
  <conditionalFormatting sqref="K756:K757">
    <cfRule type="cellIs" dxfId="95" priority="234" operator="equal">
      <formula>"Reviewed And Pending Optimization"</formula>
    </cfRule>
  </conditionalFormatting>
  <conditionalFormatting sqref="L728:N764">
    <cfRule type="cellIs" dxfId="94" priority="232" operator="equal">
      <formula>"Deprecated"</formula>
    </cfRule>
    <cfRule type="cellIs" dxfId="93" priority="233" operator="equal">
      <formula>"Can Be Merged"</formula>
    </cfRule>
  </conditionalFormatting>
  <conditionalFormatting sqref="K756:K757">
    <cfRule type="cellIs" dxfId="92" priority="231" operator="equal">
      <formula>"Reviewed And Pending Optimization"</formula>
    </cfRule>
  </conditionalFormatting>
  <conditionalFormatting sqref="L765:N766">
    <cfRule type="cellIs" dxfId="91" priority="229" operator="equal">
      <formula>"Deprecated"</formula>
    </cfRule>
    <cfRule type="cellIs" dxfId="90" priority="230" operator="equal">
      <formula>"Can Be Merged"</formula>
    </cfRule>
  </conditionalFormatting>
  <conditionalFormatting sqref="K1241">
    <cfRule type="cellIs" dxfId="89" priority="122" operator="equal">
      <formula>"On Hold"</formula>
    </cfRule>
    <cfRule type="cellIs" dxfId="88" priority="123" operator="equal">
      <formula>"Completed"</formula>
    </cfRule>
  </conditionalFormatting>
  <conditionalFormatting sqref="K1241">
    <cfRule type="cellIs" dxfId="87" priority="121" operator="equal">
      <formula>"NotStarted"</formula>
    </cfRule>
  </conditionalFormatting>
  <conditionalFormatting sqref="K1241">
    <cfRule type="cellIs" dxfId="86" priority="120" operator="equal">
      <formula>"NListSource!$D$7"</formula>
    </cfRule>
  </conditionalFormatting>
  <conditionalFormatting sqref="K1241">
    <cfRule type="cellIs" dxfId="85" priority="118" operator="equal">
      <formula>"No"</formula>
    </cfRule>
    <cfRule type="cellIs" dxfId="84" priority="119" operator="equal">
      <formula>"Yes"</formula>
    </cfRule>
  </conditionalFormatting>
  <conditionalFormatting sqref="K1240">
    <cfRule type="cellIs" dxfId="83" priority="116" operator="equal">
      <formula>"On Hold"</formula>
    </cfRule>
    <cfRule type="cellIs" dxfId="82" priority="117" operator="equal">
      <formula>"Completed"</formula>
    </cfRule>
  </conditionalFormatting>
  <conditionalFormatting sqref="K1240">
    <cfRule type="cellIs" dxfId="81" priority="115" operator="equal">
      <formula>"NotStarted"</formula>
    </cfRule>
  </conditionalFormatting>
  <conditionalFormatting sqref="K1240">
    <cfRule type="cellIs" dxfId="80" priority="114" operator="equal">
      <formula>"NListSource!$D$7"</formula>
    </cfRule>
  </conditionalFormatting>
  <conditionalFormatting sqref="K1240">
    <cfRule type="cellIs" dxfId="79" priority="112" operator="equal">
      <formula>"No"</formula>
    </cfRule>
    <cfRule type="cellIs" dxfId="78" priority="113" operator="equal">
      <formula>"Yes"</formula>
    </cfRule>
  </conditionalFormatting>
  <conditionalFormatting sqref="K1241">
    <cfRule type="cellIs" dxfId="77" priority="110" operator="equal">
      <formula>"On Hold"</formula>
    </cfRule>
    <cfRule type="cellIs" dxfId="76" priority="111" operator="equal">
      <formula>"Completed"</formula>
    </cfRule>
  </conditionalFormatting>
  <conditionalFormatting sqref="K1241">
    <cfRule type="cellIs" dxfId="75" priority="109" operator="equal">
      <formula>"NotStarted"</formula>
    </cfRule>
  </conditionalFormatting>
  <conditionalFormatting sqref="K1241">
    <cfRule type="cellIs" dxfId="74" priority="108" operator="equal">
      <formula>"NListSource!$D$7"</formula>
    </cfRule>
  </conditionalFormatting>
  <conditionalFormatting sqref="K1241">
    <cfRule type="cellIs" dxfId="73" priority="106" operator="equal">
      <formula>"No"</formula>
    </cfRule>
    <cfRule type="cellIs" dxfId="72" priority="107" operator="equal">
      <formula>"Yes"</formula>
    </cfRule>
  </conditionalFormatting>
  <conditionalFormatting sqref="K1282">
    <cfRule type="cellIs" dxfId="71" priority="104" operator="equal">
      <formula>"On Hold"</formula>
    </cfRule>
    <cfRule type="cellIs" dxfId="70" priority="105" operator="equal">
      <formula>"Completed"</formula>
    </cfRule>
  </conditionalFormatting>
  <conditionalFormatting sqref="K1282">
    <cfRule type="cellIs" dxfId="69" priority="103" operator="equal">
      <formula>"NotStarted"</formula>
    </cfRule>
  </conditionalFormatting>
  <conditionalFormatting sqref="K1282">
    <cfRule type="cellIs" dxfId="68" priority="102" operator="equal">
      <formula>"NListSource!$D$7"</formula>
    </cfRule>
  </conditionalFormatting>
  <conditionalFormatting sqref="K1282">
    <cfRule type="cellIs" dxfId="67" priority="100" operator="equal">
      <formula>"No"</formula>
    </cfRule>
    <cfRule type="cellIs" dxfId="66" priority="101" operator="equal">
      <formula>"Yes"</formula>
    </cfRule>
  </conditionalFormatting>
  <conditionalFormatting sqref="K1283">
    <cfRule type="cellIs" dxfId="65" priority="98" operator="equal">
      <formula>"On Hold"</formula>
    </cfRule>
    <cfRule type="cellIs" dxfId="64" priority="99" operator="equal">
      <formula>"Completed"</formula>
    </cfRule>
  </conditionalFormatting>
  <conditionalFormatting sqref="K1283">
    <cfRule type="cellIs" dxfId="63" priority="97" operator="equal">
      <formula>"NotStarted"</formula>
    </cfRule>
  </conditionalFormatting>
  <conditionalFormatting sqref="K1283">
    <cfRule type="cellIs" dxfId="62" priority="96" operator="equal">
      <formula>"NListSource!$D$7"</formula>
    </cfRule>
  </conditionalFormatting>
  <conditionalFormatting sqref="K1283">
    <cfRule type="cellIs" dxfId="61" priority="94" operator="equal">
      <formula>"No"</formula>
    </cfRule>
    <cfRule type="cellIs" dxfId="60" priority="95" operator="equal">
      <formula>"Yes"</formula>
    </cfRule>
  </conditionalFormatting>
  <conditionalFormatting sqref="K1284">
    <cfRule type="cellIs" dxfId="59" priority="92" operator="equal">
      <formula>"On Hold"</formula>
    </cfRule>
    <cfRule type="cellIs" dxfId="58" priority="93" operator="equal">
      <formula>"Completed"</formula>
    </cfRule>
  </conditionalFormatting>
  <conditionalFormatting sqref="K1284">
    <cfRule type="cellIs" dxfId="57" priority="91" operator="equal">
      <formula>"NotStarted"</formula>
    </cfRule>
  </conditionalFormatting>
  <conditionalFormatting sqref="K1284">
    <cfRule type="cellIs" dxfId="56" priority="90" operator="equal">
      <formula>"NListSource!$D$7"</formula>
    </cfRule>
  </conditionalFormatting>
  <conditionalFormatting sqref="K1284">
    <cfRule type="cellIs" dxfId="55" priority="88" operator="equal">
      <formula>"No"</formula>
    </cfRule>
    <cfRule type="cellIs" dxfId="54" priority="89" operator="equal">
      <formula>"Yes"</formula>
    </cfRule>
  </conditionalFormatting>
  <conditionalFormatting sqref="K1296">
    <cfRule type="cellIs" dxfId="53" priority="86" operator="equal">
      <formula>"On Hold"</formula>
    </cfRule>
    <cfRule type="cellIs" dxfId="52" priority="87" operator="equal">
      <formula>"Completed"</formula>
    </cfRule>
  </conditionalFormatting>
  <conditionalFormatting sqref="K1296">
    <cfRule type="cellIs" dxfId="51" priority="85" operator="equal">
      <formula>"NotStarted"</formula>
    </cfRule>
  </conditionalFormatting>
  <conditionalFormatting sqref="K1296">
    <cfRule type="cellIs" dxfId="50" priority="84" operator="equal">
      <formula>"NListSource!$D$7"</formula>
    </cfRule>
  </conditionalFormatting>
  <conditionalFormatting sqref="K1296">
    <cfRule type="cellIs" dxfId="49" priority="82" operator="equal">
      <formula>"No"</formula>
    </cfRule>
    <cfRule type="cellIs" dxfId="48" priority="83" operator="equal">
      <formula>"Yes"</formula>
    </cfRule>
  </conditionalFormatting>
  <conditionalFormatting sqref="K1297">
    <cfRule type="cellIs" dxfId="47" priority="80" operator="equal">
      <formula>"On Hold"</formula>
    </cfRule>
    <cfRule type="cellIs" dxfId="46" priority="81" operator="equal">
      <formula>"Completed"</formula>
    </cfRule>
  </conditionalFormatting>
  <conditionalFormatting sqref="K1297">
    <cfRule type="cellIs" dxfId="45" priority="79" operator="equal">
      <formula>"NotStarted"</formula>
    </cfRule>
  </conditionalFormatting>
  <conditionalFormatting sqref="K1297">
    <cfRule type="cellIs" dxfId="44" priority="78" operator="equal">
      <formula>"NListSource!$D$7"</formula>
    </cfRule>
  </conditionalFormatting>
  <conditionalFormatting sqref="K1297">
    <cfRule type="cellIs" dxfId="43" priority="76" operator="equal">
      <formula>"No"</formula>
    </cfRule>
    <cfRule type="cellIs" dxfId="42" priority="77" operator="equal">
      <formula>"Yes"</formula>
    </cfRule>
  </conditionalFormatting>
  <conditionalFormatting sqref="K1298">
    <cfRule type="cellIs" dxfId="41" priority="74" operator="equal">
      <formula>"On Hold"</formula>
    </cfRule>
    <cfRule type="cellIs" dxfId="40" priority="75" operator="equal">
      <formula>"Completed"</formula>
    </cfRule>
  </conditionalFormatting>
  <conditionalFormatting sqref="K1298">
    <cfRule type="cellIs" dxfId="39" priority="73" operator="equal">
      <formula>"NotStarted"</formula>
    </cfRule>
  </conditionalFormatting>
  <conditionalFormatting sqref="K1298">
    <cfRule type="cellIs" dxfId="38" priority="72" operator="equal">
      <formula>"NListSource!$D$7"</formula>
    </cfRule>
  </conditionalFormatting>
  <conditionalFormatting sqref="K1298">
    <cfRule type="cellIs" dxfId="37" priority="70" operator="equal">
      <formula>"No"</formula>
    </cfRule>
    <cfRule type="cellIs" dxfId="36" priority="71" operator="equal">
      <formula>"Yes"</formula>
    </cfRule>
  </conditionalFormatting>
  <conditionalFormatting sqref="K1299">
    <cfRule type="cellIs" dxfId="35" priority="68" operator="equal">
      <formula>"On Hold"</formula>
    </cfRule>
    <cfRule type="cellIs" dxfId="34" priority="69" operator="equal">
      <formula>"Completed"</formula>
    </cfRule>
  </conditionalFormatting>
  <conditionalFormatting sqref="K1299">
    <cfRule type="cellIs" dxfId="33" priority="67" operator="equal">
      <formula>"NotStarted"</formula>
    </cfRule>
  </conditionalFormatting>
  <conditionalFormatting sqref="K1299">
    <cfRule type="cellIs" dxfId="32" priority="66" operator="equal">
      <formula>"NListSource!$D$7"</formula>
    </cfRule>
  </conditionalFormatting>
  <conditionalFormatting sqref="K1299">
    <cfRule type="cellIs" dxfId="31" priority="64" operator="equal">
      <formula>"No"</formula>
    </cfRule>
    <cfRule type="cellIs" dxfId="30" priority="65" operator="equal">
      <formula>"Yes"</formula>
    </cfRule>
  </conditionalFormatting>
  <conditionalFormatting sqref="K1300">
    <cfRule type="cellIs" dxfId="29" priority="62" operator="equal">
      <formula>"On Hold"</formula>
    </cfRule>
    <cfRule type="cellIs" dxfId="28" priority="63" operator="equal">
      <formula>"Completed"</formula>
    </cfRule>
  </conditionalFormatting>
  <conditionalFormatting sqref="K1300">
    <cfRule type="cellIs" dxfId="27" priority="61" operator="equal">
      <formula>"NotStarted"</formula>
    </cfRule>
  </conditionalFormatting>
  <conditionalFormatting sqref="K1300">
    <cfRule type="cellIs" dxfId="26" priority="60" operator="equal">
      <formula>"NListSource!$D$7"</formula>
    </cfRule>
  </conditionalFormatting>
  <conditionalFormatting sqref="K1300">
    <cfRule type="cellIs" dxfId="25" priority="58" operator="equal">
      <formula>"No"</formula>
    </cfRule>
    <cfRule type="cellIs" dxfId="24" priority="59" operator="equal">
      <formula>"Yes"</formula>
    </cfRule>
  </conditionalFormatting>
  <conditionalFormatting sqref="K1301">
    <cfRule type="cellIs" dxfId="23" priority="56" operator="equal">
      <formula>"On Hold"</formula>
    </cfRule>
    <cfRule type="cellIs" dxfId="22" priority="57" operator="equal">
      <formula>"Completed"</formula>
    </cfRule>
  </conditionalFormatting>
  <conditionalFormatting sqref="K1301">
    <cfRule type="cellIs" dxfId="21" priority="55" operator="equal">
      <formula>"NotStarted"</formula>
    </cfRule>
  </conditionalFormatting>
  <conditionalFormatting sqref="K1301">
    <cfRule type="cellIs" dxfId="20" priority="54" operator="equal">
      <formula>"NListSource!$D$7"</formula>
    </cfRule>
  </conditionalFormatting>
  <conditionalFormatting sqref="K1301">
    <cfRule type="cellIs" dxfId="19" priority="52" operator="equal">
      <formula>"No"</formula>
    </cfRule>
    <cfRule type="cellIs" dxfId="18" priority="53" operator="equal">
      <formula>"Yes"</formula>
    </cfRule>
  </conditionalFormatting>
  <conditionalFormatting sqref="K1333">
    <cfRule type="cellIs" dxfId="17" priority="50" operator="equal">
      <formula>"On Hold"</formula>
    </cfRule>
    <cfRule type="cellIs" dxfId="16" priority="51" operator="equal">
      <formula>"Completed"</formula>
    </cfRule>
  </conditionalFormatting>
  <conditionalFormatting sqref="K1333">
    <cfRule type="cellIs" dxfId="15" priority="49" operator="equal">
      <formula>"NotStarted"</formula>
    </cfRule>
  </conditionalFormatting>
  <conditionalFormatting sqref="K1333">
    <cfRule type="cellIs" dxfId="14" priority="48" operator="equal">
      <formula>"NListSource!$D$7"</formula>
    </cfRule>
  </conditionalFormatting>
  <conditionalFormatting sqref="K1333">
    <cfRule type="cellIs" dxfId="13" priority="46" operator="equal">
      <formula>"No"</formula>
    </cfRule>
    <cfRule type="cellIs" dxfId="12" priority="47" operator="equal">
      <formula>"Yes"</formula>
    </cfRule>
  </conditionalFormatting>
  <pageMargins left="0.7" right="0.7" top="0.75" bottom="0.75" header="0.3" footer="0.3"/>
  <pageSetup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cellIs" priority="1553" operator="equal" id="{0C384493-1991-410D-B237-6D4CAD07725D}">
            <xm:f>'F:\05 - Automation Feasibility &amp; Execution Log\Master Regression Automation Optimization Log\[QA_Automation_Suite_Optimization_17_MAY_2017.xlsm]ListSource'!#REF!</xm:f>
            <x14:dxf>
              <font>
                <color rgb="FF006100"/>
              </font>
              <fill>
                <patternFill>
                  <bgColor rgb="FFC6EFCE"/>
                </patternFill>
              </fill>
            </x14:dxf>
          </x14:cfRule>
          <xm:sqref>I1:I1334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14:formula1>
            <xm:f>ListSource!$F$1:$F$3</xm:f>
          </x14:formula1>
          <xm:sqref>K1619:K1048576</xm:sqref>
        </x14:dataValidation>
        <x14:dataValidation type="list" allowBlank="1" showInputMessage="1" showErrorMessage="1">
          <x14:formula1>
            <xm:f>ListSource!$A$1:$A$4</xm:f>
          </x14:formula1>
          <xm:sqref>I2:I1334</xm:sqref>
        </x14:dataValidation>
        <x14:dataValidation type="list" allowBlank="1" showInputMessage="1" showErrorMessage="1">
          <x14:formula1>
            <xm:f>ListSource!$D$1:$D$11</xm:f>
          </x14:formula1>
          <xm:sqref>J2:J1334 N2:N1618</xm:sqref>
        </x14:dataValidation>
        <x14:dataValidation type="list" allowBlank="1" showInputMessage="1" showErrorMessage="1">
          <x14:formula1>
            <xm:f>ListSource!$Q$1:$Q$4</xm:f>
          </x14:formula1>
          <xm:sqref>L2:L1048576</xm:sqref>
        </x14:dataValidation>
        <x14:dataValidation type="list" allowBlank="1" showInputMessage="1" showErrorMessage="1">
          <x14:formula1>
            <xm:f>ListSource!$F$1:$F$4</xm:f>
          </x14:formula1>
          <xm:sqref>K2:K1618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7"/>
  <sheetViews>
    <sheetView topLeftCell="A10" workbookViewId="0">
      <selection activeCell="F6" sqref="F6"/>
    </sheetView>
  </sheetViews>
  <sheetFormatPr defaultRowHeight="12.75" x14ac:dyDescent="0.2"/>
  <cols>
    <col min="1" max="5" width="20" customWidth="1"/>
  </cols>
  <sheetData>
    <row r="1" spans="1:5" ht="13.5" thickBot="1" x14ac:dyDescent="0.25">
      <c r="A1" t="s">
        <v>802</v>
      </c>
    </row>
    <row r="2" spans="1:5" ht="14.25" thickTop="1" thickBot="1" x14ac:dyDescent="0.25">
      <c r="A2" s="1" t="s">
        <v>777</v>
      </c>
      <c r="B2" s="1" t="s">
        <v>21</v>
      </c>
      <c r="C2" s="1" t="s">
        <v>36</v>
      </c>
      <c r="D2" s="10" t="s">
        <v>35</v>
      </c>
      <c r="E2" s="1" t="s">
        <v>779</v>
      </c>
    </row>
    <row r="3" spans="1:5" ht="64.5" customHeight="1" thickTop="1" thickBot="1" x14ac:dyDescent="0.25">
      <c r="A3" s="9" t="s">
        <v>803</v>
      </c>
      <c r="B3" s="9" t="s">
        <v>804</v>
      </c>
      <c r="C3" s="8"/>
      <c r="D3" s="5" t="s">
        <v>805</v>
      </c>
      <c r="E3" s="8" t="s">
        <v>806</v>
      </c>
    </row>
    <row r="4" spans="1:5" ht="37.5" thickTop="1" thickBot="1" x14ac:dyDescent="0.25">
      <c r="A4" s="9" t="s">
        <v>807</v>
      </c>
      <c r="B4" s="9" t="s">
        <v>804</v>
      </c>
      <c r="C4" s="8"/>
      <c r="D4" s="5" t="s">
        <v>805</v>
      </c>
      <c r="E4" s="8" t="s">
        <v>808</v>
      </c>
    </row>
    <row r="5" spans="1:5" ht="27" thickTop="1" thickBot="1" x14ac:dyDescent="0.25">
      <c r="A5" s="9" t="s">
        <v>809</v>
      </c>
      <c r="B5" s="9" t="s">
        <v>804</v>
      </c>
      <c r="C5" s="8"/>
      <c r="D5" s="5" t="s">
        <v>805</v>
      </c>
      <c r="E5" s="8" t="s">
        <v>810</v>
      </c>
    </row>
    <row r="6" spans="1:5" ht="37.5" thickTop="1" thickBot="1" x14ac:dyDescent="0.25">
      <c r="A6" s="9" t="s">
        <v>811</v>
      </c>
      <c r="B6" s="9" t="s">
        <v>804</v>
      </c>
      <c r="C6" s="8"/>
      <c r="D6" s="5" t="s">
        <v>812</v>
      </c>
      <c r="E6" s="8" t="s">
        <v>813</v>
      </c>
    </row>
    <row r="7" spans="1:5" ht="52.5" thickTop="1" thickBot="1" x14ac:dyDescent="0.25">
      <c r="A7" s="9" t="s">
        <v>814</v>
      </c>
      <c r="B7" s="9" t="s">
        <v>804</v>
      </c>
      <c r="C7" s="8"/>
      <c r="D7" s="5" t="s">
        <v>815</v>
      </c>
      <c r="E7" s="2" t="s">
        <v>816</v>
      </c>
    </row>
    <row r="8" spans="1:5" ht="39.75" thickTop="1" thickBot="1" x14ac:dyDescent="0.25">
      <c r="A8" s="9" t="s">
        <v>817</v>
      </c>
      <c r="B8" s="9" t="s">
        <v>804</v>
      </c>
      <c r="C8" s="8"/>
      <c r="D8" s="5" t="s">
        <v>818</v>
      </c>
      <c r="E8" s="2" t="s">
        <v>819</v>
      </c>
    </row>
    <row r="9" spans="1:5" ht="65.25" thickTop="1" thickBot="1" x14ac:dyDescent="0.25">
      <c r="A9" s="9" t="s">
        <v>820</v>
      </c>
      <c r="B9" s="9" t="s">
        <v>804</v>
      </c>
      <c r="C9" s="8"/>
      <c r="D9" s="5" t="s">
        <v>821</v>
      </c>
      <c r="E9" s="2" t="s">
        <v>822</v>
      </c>
    </row>
    <row r="10" spans="1:5" ht="52.5" thickTop="1" thickBot="1" x14ac:dyDescent="0.25">
      <c r="A10" s="9" t="s">
        <v>823</v>
      </c>
      <c r="B10" s="9" t="s">
        <v>804</v>
      </c>
      <c r="C10" s="8"/>
      <c r="D10" s="5" t="s">
        <v>824</v>
      </c>
      <c r="E10" s="2" t="s">
        <v>825</v>
      </c>
    </row>
    <row r="11" spans="1:5" ht="65.25" thickTop="1" thickBot="1" x14ac:dyDescent="0.25">
      <c r="A11" s="9" t="s">
        <v>826</v>
      </c>
      <c r="B11" s="9" t="s">
        <v>804</v>
      </c>
      <c r="C11" s="5"/>
      <c r="D11" s="5" t="s">
        <v>827</v>
      </c>
      <c r="E11" s="2" t="s">
        <v>828</v>
      </c>
    </row>
    <row r="12" spans="1:5" ht="39.75" thickTop="1" thickBot="1" x14ac:dyDescent="0.25">
      <c r="A12" s="9" t="s">
        <v>829</v>
      </c>
      <c r="B12" s="9" t="s">
        <v>804</v>
      </c>
      <c r="C12" s="5"/>
      <c r="D12" s="5" t="s">
        <v>830</v>
      </c>
      <c r="E12" s="2" t="s">
        <v>831</v>
      </c>
    </row>
    <row r="13" spans="1:5" ht="52.5" thickTop="1" thickBot="1" x14ac:dyDescent="0.25">
      <c r="A13" s="9" t="s">
        <v>832</v>
      </c>
      <c r="B13" s="9" t="s">
        <v>804</v>
      </c>
      <c r="C13" s="5"/>
      <c r="D13" s="5" t="s">
        <v>833</v>
      </c>
      <c r="E13" s="2" t="s">
        <v>834</v>
      </c>
    </row>
    <row r="14" spans="1:5" ht="65.25" thickTop="1" thickBot="1" x14ac:dyDescent="0.25">
      <c r="A14" s="9" t="s">
        <v>835</v>
      </c>
      <c r="B14" s="9" t="s">
        <v>804</v>
      </c>
      <c r="C14" s="5"/>
      <c r="D14" s="5" t="s">
        <v>836</v>
      </c>
      <c r="E14" s="2" t="s">
        <v>837</v>
      </c>
    </row>
    <row r="15" spans="1:5" ht="27" thickTop="1" thickBot="1" x14ac:dyDescent="0.25">
      <c r="A15" s="9" t="s">
        <v>838</v>
      </c>
      <c r="B15" s="9" t="s">
        <v>839</v>
      </c>
      <c r="C15" s="9" t="s">
        <v>840</v>
      </c>
      <c r="D15" s="5" t="s">
        <v>841</v>
      </c>
      <c r="E15" s="2" t="s">
        <v>842</v>
      </c>
    </row>
    <row r="16" spans="1:5" ht="39.75" thickTop="1" thickBot="1" x14ac:dyDescent="0.25">
      <c r="A16" s="9" t="s">
        <v>843</v>
      </c>
      <c r="B16" s="9" t="s">
        <v>839</v>
      </c>
      <c r="C16" s="9" t="s">
        <v>844</v>
      </c>
      <c r="D16" s="5" t="s">
        <v>845</v>
      </c>
      <c r="E16" s="2" t="s">
        <v>846</v>
      </c>
    </row>
    <row r="17" ht="13.5" thickTop="1" x14ac:dyDescent="0.2"/>
  </sheetData>
  <conditionalFormatting sqref="C2">
    <cfRule type="duplicateValues" dxfId="10" priority="22"/>
  </conditionalFormatting>
  <conditionalFormatting sqref="D2">
    <cfRule type="duplicateValues" dxfId="9" priority="16"/>
  </conditionalFormatting>
  <conditionalFormatting sqref="C3">
    <cfRule type="duplicateValues" dxfId="8" priority="9"/>
  </conditionalFormatting>
  <conditionalFormatting sqref="C4">
    <cfRule type="duplicateValues" dxfId="7" priority="8"/>
  </conditionalFormatting>
  <conditionalFormatting sqref="C5">
    <cfRule type="duplicateValues" dxfId="6" priority="7"/>
  </conditionalFormatting>
  <conditionalFormatting sqref="C6">
    <cfRule type="duplicateValues" dxfId="5" priority="6"/>
  </conditionalFormatting>
  <conditionalFormatting sqref="E3:E6">
    <cfRule type="duplicateValues" dxfId="4" priority="5"/>
  </conditionalFormatting>
  <conditionalFormatting sqref="C7">
    <cfRule type="duplicateValues" dxfId="3" priority="4"/>
  </conditionalFormatting>
  <conditionalFormatting sqref="C8">
    <cfRule type="duplicateValues" dxfId="2" priority="3"/>
  </conditionalFormatting>
  <conditionalFormatting sqref="C9">
    <cfRule type="duplicateValues" dxfId="1" priority="2"/>
  </conditionalFormatting>
  <conditionalFormatting sqref="C10">
    <cfRule type="duplicateValues" dxfId="0"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40"/>
  <sheetViews>
    <sheetView topLeftCell="A19" workbookViewId="0">
      <selection activeCell="J25" sqref="J25"/>
    </sheetView>
  </sheetViews>
  <sheetFormatPr defaultRowHeight="12.75" x14ac:dyDescent="0.2"/>
  <cols>
    <col min="1" max="1" width="23.7109375" customWidth="1"/>
    <col min="2" max="2" width="18" customWidth="1"/>
    <col min="3" max="3" width="21.7109375" customWidth="1"/>
    <col min="4" max="4" width="15" customWidth="1"/>
    <col min="5" max="5" width="12.28515625" customWidth="1"/>
    <col min="6" max="6" width="11.7109375" customWidth="1"/>
    <col min="7" max="7" width="15.140625" customWidth="1"/>
    <col min="8" max="9" width="12.7109375" customWidth="1"/>
    <col min="10" max="10" width="12.5703125" customWidth="1"/>
    <col min="11" max="11" width="1.42578125" customWidth="1"/>
  </cols>
  <sheetData>
    <row r="1" spans="1:9" ht="14.25" x14ac:dyDescent="0.2">
      <c r="A1" s="64" t="s">
        <v>847</v>
      </c>
    </row>
    <row r="2" spans="1:9" ht="14.25" x14ac:dyDescent="0.2">
      <c r="A2" s="66"/>
    </row>
    <row r="3" spans="1:9" ht="15" x14ac:dyDescent="0.2">
      <c r="A3" s="108" t="s">
        <v>848</v>
      </c>
      <c r="B3" s="343" t="s">
        <v>849</v>
      </c>
      <c r="C3" s="343"/>
      <c r="D3" s="343" t="s">
        <v>850</v>
      </c>
      <c r="E3" s="343"/>
    </row>
    <row r="4" spans="1:9" ht="15" x14ac:dyDescent="0.2">
      <c r="A4" s="109">
        <v>36</v>
      </c>
      <c r="B4" s="344">
        <v>36</v>
      </c>
      <c r="C4" s="344"/>
      <c r="D4" s="344">
        <v>36</v>
      </c>
      <c r="E4" s="344"/>
    </row>
    <row r="5" spans="1:9" ht="15" x14ac:dyDescent="0.2">
      <c r="A5" s="71"/>
      <c r="B5" s="345">
        <v>1</v>
      </c>
      <c r="C5" s="345"/>
      <c r="D5" s="345">
        <v>1</v>
      </c>
      <c r="E5" s="345"/>
    </row>
    <row r="6" spans="1:9" ht="15" x14ac:dyDescent="0.2">
      <c r="A6" s="65"/>
    </row>
    <row r="7" spans="1:9" ht="15" x14ac:dyDescent="0.2">
      <c r="A7" s="69"/>
    </row>
    <row r="8" spans="1:9" ht="14.25" x14ac:dyDescent="0.2">
      <c r="A8" s="64" t="s">
        <v>851</v>
      </c>
    </row>
    <row r="9" spans="1:9" ht="14.25" x14ac:dyDescent="0.2">
      <c r="A9" s="66"/>
    </row>
    <row r="10" spans="1:9" ht="15" x14ac:dyDescent="0.2">
      <c r="A10" s="343" t="s">
        <v>852</v>
      </c>
      <c r="B10" s="343" t="s">
        <v>853</v>
      </c>
      <c r="C10" s="343" t="s">
        <v>51</v>
      </c>
      <c r="D10" s="343" t="s">
        <v>745</v>
      </c>
      <c r="E10" s="343" t="s">
        <v>61</v>
      </c>
      <c r="F10" s="343" t="s">
        <v>854</v>
      </c>
      <c r="G10" s="76" t="s">
        <v>855</v>
      </c>
      <c r="H10" s="76" t="s">
        <v>856</v>
      </c>
      <c r="I10" s="76" t="s">
        <v>745</v>
      </c>
    </row>
    <row r="11" spans="1:9" ht="15" x14ac:dyDescent="0.2">
      <c r="A11" s="343"/>
      <c r="B11" s="343"/>
      <c r="C11" s="343"/>
      <c r="D11" s="343"/>
      <c r="E11" s="343"/>
      <c r="F11" s="343"/>
      <c r="G11" s="76" t="s">
        <v>857</v>
      </c>
      <c r="H11" s="76" t="s">
        <v>857</v>
      </c>
      <c r="I11" s="76" t="s">
        <v>857</v>
      </c>
    </row>
    <row r="12" spans="1:9" ht="25.5" customHeight="1" x14ac:dyDescent="0.2">
      <c r="A12" s="74">
        <v>36</v>
      </c>
      <c r="B12" s="74">
        <v>36</v>
      </c>
      <c r="C12" s="74">
        <v>36</v>
      </c>
      <c r="D12" s="74">
        <v>0</v>
      </c>
      <c r="E12" s="74">
        <v>0</v>
      </c>
      <c r="F12" s="74">
        <v>0</v>
      </c>
      <c r="G12" s="109">
        <v>100</v>
      </c>
      <c r="H12" s="109">
        <v>100</v>
      </c>
      <c r="I12" s="74">
        <v>0</v>
      </c>
    </row>
    <row r="13" spans="1:9" ht="14.25" x14ac:dyDescent="0.2">
      <c r="A13" s="66"/>
    </row>
    <row r="14" spans="1:9" ht="14.25" x14ac:dyDescent="0.2">
      <c r="A14" s="66"/>
    </row>
    <row r="15" spans="1:9" ht="15" thickBot="1" x14ac:dyDescent="0.25">
      <c r="A15" s="64" t="s">
        <v>858</v>
      </c>
    </row>
    <row r="16" spans="1:9" ht="15" x14ac:dyDescent="0.2">
      <c r="A16" s="65"/>
    </row>
    <row r="17" spans="1:9" ht="15" x14ac:dyDescent="0.2">
      <c r="A17" s="68"/>
      <c r="B17" s="343" t="s">
        <v>859</v>
      </c>
      <c r="C17" s="343"/>
      <c r="D17" s="343"/>
      <c r="E17" s="343"/>
      <c r="F17" s="343"/>
      <c r="G17" s="68"/>
    </row>
    <row r="18" spans="1:9" ht="15" x14ac:dyDescent="0.2">
      <c r="A18" s="108" t="s">
        <v>860</v>
      </c>
      <c r="B18" s="108" t="s">
        <v>861</v>
      </c>
      <c r="C18" s="108" t="s">
        <v>862</v>
      </c>
      <c r="D18" s="108" t="s">
        <v>863</v>
      </c>
      <c r="E18" s="108" t="s">
        <v>864</v>
      </c>
      <c r="F18" s="108" t="s">
        <v>865</v>
      </c>
      <c r="G18" s="108" t="s">
        <v>23</v>
      </c>
    </row>
    <row r="19" spans="1:9" ht="15" x14ac:dyDescent="0.2">
      <c r="A19" s="109" t="s">
        <v>866</v>
      </c>
      <c r="B19" s="109">
        <v>0</v>
      </c>
      <c r="C19" s="109">
        <v>0</v>
      </c>
      <c r="D19" s="109">
        <v>0</v>
      </c>
      <c r="E19" s="109">
        <v>0</v>
      </c>
      <c r="F19" s="109">
        <v>0</v>
      </c>
      <c r="G19" s="75">
        <v>0</v>
      </c>
    </row>
    <row r="20" spans="1:9" ht="15" x14ac:dyDescent="0.2">
      <c r="A20" s="109" t="s">
        <v>867</v>
      </c>
      <c r="B20" s="109">
        <v>0</v>
      </c>
      <c r="C20" s="109">
        <v>0</v>
      </c>
      <c r="D20" s="109">
        <v>0</v>
      </c>
      <c r="E20" s="109">
        <v>0</v>
      </c>
      <c r="F20" s="109">
        <v>0</v>
      </c>
      <c r="G20" s="75">
        <v>0</v>
      </c>
    </row>
    <row r="21" spans="1:9" ht="15" x14ac:dyDescent="0.2">
      <c r="A21" s="109" t="s">
        <v>868</v>
      </c>
      <c r="B21" s="109">
        <v>0</v>
      </c>
      <c r="C21" s="109">
        <v>0</v>
      </c>
      <c r="D21" s="109">
        <v>0</v>
      </c>
      <c r="E21" s="109">
        <v>0</v>
      </c>
      <c r="F21" s="109">
        <v>0</v>
      </c>
      <c r="G21" s="75">
        <v>0</v>
      </c>
    </row>
    <row r="22" spans="1:9" ht="15" x14ac:dyDescent="0.2">
      <c r="A22" s="109" t="s">
        <v>869</v>
      </c>
      <c r="B22" s="109">
        <v>0</v>
      </c>
      <c r="C22" s="109">
        <v>0</v>
      </c>
      <c r="D22" s="109">
        <v>0</v>
      </c>
      <c r="E22" s="109">
        <v>0</v>
      </c>
      <c r="F22" s="109">
        <v>0</v>
      </c>
      <c r="G22" s="75">
        <v>0</v>
      </c>
    </row>
    <row r="23" spans="1:9" ht="15" x14ac:dyDescent="0.2">
      <c r="A23" s="108" t="s">
        <v>23</v>
      </c>
      <c r="B23" s="108">
        <v>0</v>
      </c>
      <c r="C23" s="108">
        <v>0</v>
      </c>
      <c r="D23" s="108">
        <v>0</v>
      </c>
      <c r="E23" s="108">
        <v>0</v>
      </c>
      <c r="F23" s="108">
        <v>0</v>
      </c>
      <c r="G23" s="108">
        <v>0</v>
      </c>
    </row>
    <row r="24" spans="1:9" ht="14.25" x14ac:dyDescent="0.2">
      <c r="A24" s="66"/>
    </row>
    <row r="25" spans="1:9" ht="14.25" x14ac:dyDescent="0.2">
      <c r="A25" s="66"/>
    </row>
    <row r="26" spans="1:9" ht="14.25" x14ac:dyDescent="0.2">
      <c r="A26" s="64" t="s">
        <v>870</v>
      </c>
    </row>
    <row r="27" spans="1:9" ht="14.25" x14ac:dyDescent="0.2">
      <c r="A27" s="66"/>
    </row>
    <row r="28" spans="1:9" ht="14.25" x14ac:dyDescent="0.2">
      <c r="A28" s="347" t="s">
        <v>871</v>
      </c>
      <c r="B28" s="347"/>
      <c r="C28" s="347"/>
      <c r="D28" s="347"/>
      <c r="E28" s="347"/>
      <c r="F28" s="347"/>
      <c r="G28" s="347"/>
      <c r="H28" s="347"/>
      <c r="I28" s="347"/>
    </row>
    <row r="29" spans="1:9" ht="14.25" x14ac:dyDescent="0.2">
      <c r="A29" s="66"/>
    </row>
    <row r="30" spans="1:9" ht="14.25" x14ac:dyDescent="0.2">
      <c r="A30" s="64" t="s">
        <v>872</v>
      </c>
    </row>
    <row r="31" spans="1:9" ht="14.25" x14ac:dyDescent="0.2">
      <c r="A31" s="66"/>
    </row>
    <row r="32" spans="1:9" ht="15" x14ac:dyDescent="0.2">
      <c r="A32" s="108" t="s">
        <v>873</v>
      </c>
      <c r="B32" s="108" t="s">
        <v>874</v>
      </c>
      <c r="C32" s="108" t="s">
        <v>875</v>
      </c>
      <c r="D32" s="108" t="s">
        <v>876</v>
      </c>
    </row>
    <row r="33" spans="1:11" ht="15" x14ac:dyDescent="0.2">
      <c r="A33" s="74">
        <v>36</v>
      </c>
      <c r="B33" s="74">
        <v>36</v>
      </c>
      <c r="C33" s="74">
        <v>36</v>
      </c>
      <c r="D33" s="74">
        <v>100</v>
      </c>
    </row>
    <row r="34" spans="1:11" ht="14.25" x14ac:dyDescent="0.2">
      <c r="A34" s="66"/>
    </row>
    <row r="35" spans="1:11" ht="15" x14ac:dyDescent="0.2">
      <c r="A35" s="65"/>
    </row>
    <row r="36" spans="1:11" ht="14.25" x14ac:dyDescent="0.2">
      <c r="A36" s="64" t="s">
        <v>877</v>
      </c>
    </row>
    <row r="37" spans="1:11" ht="15" x14ac:dyDescent="0.2">
      <c r="A37" s="65"/>
    </row>
    <row r="38" spans="1:11" ht="15" x14ac:dyDescent="0.2">
      <c r="A38" s="108" t="s">
        <v>878</v>
      </c>
      <c r="B38" s="108" t="s">
        <v>879</v>
      </c>
      <c r="C38" s="108" t="s">
        <v>880</v>
      </c>
      <c r="D38" s="108" t="s">
        <v>9</v>
      </c>
      <c r="E38" s="108" t="s">
        <v>10</v>
      </c>
      <c r="F38" s="108" t="s">
        <v>11</v>
      </c>
      <c r="G38" s="108" t="s">
        <v>881</v>
      </c>
      <c r="H38" s="343" t="s">
        <v>882</v>
      </c>
      <c r="I38" s="343"/>
      <c r="J38" s="343"/>
      <c r="K38" s="343"/>
    </row>
    <row r="39" spans="1:11" ht="30" customHeight="1" thickBot="1" x14ac:dyDescent="0.25">
      <c r="A39" s="72">
        <v>43594</v>
      </c>
      <c r="B39" s="67">
        <v>199</v>
      </c>
      <c r="C39" s="67">
        <v>199</v>
      </c>
      <c r="D39" s="67">
        <v>199</v>
      </c>
      <c r="E39" s="67">
        <v>0</v>
      </c>
      <c r="F39" s="70">
        <v>0</v>
      </c>
      <c r="G39" s="109">
        <v>0</v>
      </c>
      <c r="H39" s="346"/>
      <c r="I39" s="346"/>
      <c r="J39" s="346"/>
      <c r="K39" s="346"/>
    </row>
    <row r="40" spans="1:11" ht="150" customHeight="1" x14ac:dyDescent="0.2">
      <c r="A40" s="72">
        <v>43599</v>
      </c>
      <c r="B40" s="109">
        <v>199</v>
      </c>
      <c r="C40" s="109">
        <v>199</v>
      </c>
      <c r="D40" s="109">
        <v>195</v>
      </c>
      <c r="E40" s="109">
        <v>1</v>
      </c>
      <c r="F40" s="73">
        <v>3</v>
      </c>
      <c r="G40" s="109">
        <v>0</v>
      </c>
      <c r="H40" s="346" t="s">
        <v>883</v>
      </c>
      <c r="I40" s="346"/>
      <c r="J40" s="346"/>
      <c r="K40" s="346"/>
    </row>
  </sheetData>
  <mergeCells count="17">
    <mergeCell ref="E10:E11"/>
    <mergeCell ref="F10:F11"/>
    <mergeCell ref="H38:K38"/>
    <mergeCell ref="H39:K39"/>
    <mergeCell ref="H40:K40"/>
    <mergeCell ref="A28:I28"/>
    <mergeCell ref="B17:F17"/>
    <mergeCell ref="A10:A11"/>
    <mergeCell ref="B10:B11"/>
    <mergeCell ref="C10:C11"/>
    <mergeCell ref="D10:D11"/>
    <mergeCell ref="B3:C3"/>
    <mergeCell ref="B4:C4"/>
    <mergeCell ref="B5:C5"/>
    <mergeCell ref="D3:E3"/>
    <mergeCell ref="D4:E4"/>
    <mergeCell ref="D5:E5"/>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3"/>
  <sheetViews>
    <sheetView workbookViewId="0">
      <selection activeCell="A11" sqref="A11"/>
    </sheetView>
  </sheetViews>
  <sheetFormatPr defaultRowHeight="12.75" x14ac:dyDescent="0.2"/>
  <cols>
    <col min="1" max="2" width="42.85546875" customWidth="1"/>
  </cols>
  <sheetData>
    <row r="1" spans="1:2" x14ac:dyDescent="0.2">
      <c r="A1" s="77" t="s">
        <v>35</v>
      </c>
      <c r="B1" s="77" t="s">
        <v>41</v>
      </c>
    </row>
    <row r="2" spans="1:2" x14ac:dyDescent="0.2">
      <c r="A2" t="s">
        <v>884</v>
      </c>
    </row>
    <row r="3" spans="1:2" x14ac:dyDescent="0.2">
      <c r="A3" s="60" t="s">
        <v>885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66"/>
  <sheetViews>
    <sheetView topLeftCell="A13" workbookViewId="0">
      <selection activeCell="H33" sqref="H33"/>
    </sheetView>
  </sheetViews>
  <sheetFormatPr defaultRowHeight="15" x14ac:dyDescent="0.25"/>
  <cols>
    <col min="1" max="1" width="18.28515625" style="128" customWidth="1"/>
    <col min="2" max="2" width="19.140625" style="146" customWidth="1"/>
    <col min="3" max="3" width="44" style="128" customWidth="1"/>
    <col min="4" max="4" width="17.28515625" style="128" customWidth="1"/>
    <col min="5" max="5" width="21.28515625" style="128" customWidth="1"/>
    <col min="6" max="16384" width="9.140625" style="128"/>
  </cols>
  <sheetData>
    <row r="1" spans="1:5" ht="30.75" customHeight="1" x14ac:dyDescent="0.25">
      <c r="A1" s="126" t="s">
        <v>5</v>
      </c>
      <c r="B1" s="126" t="s">
        <v>1082</v>
      </c>
      <c r="C1" s="126" t="s">
        <v>1083</v>
      </c>
      <c r="D1" s="127" t="s">
        <v>1084</v>
      </c>
      <c r="E1" s="127" t="s">
        <v>1085</v>
      </c>
    </row>
    <row r="2" spans="1:5" ht="27.75" customHeight="1" x14ac:dyDescent="0.25">
      <c r="A2" s="353" t="s">
        <v>1086</v>
      </c>
      <c r="B2" s="129" t="s">
        <v>1087</v>
      </c>
      <c r="C2" s="130">
        <v>9</v>
      </c>
      <c r="D2" s="131">
        <v>0</v>
      </c>
      <c r="E2" s="130">
        <v>44</v>
      </c>
    </row>
    <row r="3" spans="1:5" ht="27.75" customHeight="1" x14ac:dyDescent="0.25">
      <c r="A3" s="353"/>
      <c r="B3" s="129" t="s">
        <v>1088</v>
      </c>
      <c r="C3" s="130">
        <v>15</v>
      </c>
      <c r="D3" s="132">
        <v>1</v>
      </c>
      <c r="E3" s="130">
        <v>43</v>
      </c>
    </row>
    <row r="4" spans="1:5" ht="27.75" customHeight="1" x14ac:dyDescent="0.25">
      <c r="A4" s="353"/>
      <c r="B4" s="129" t="s">
        <v>1089</v>
      </c>
      <c r="C4" s="130">
        <v>14</v>
      </c>
      <c r="D4" s="132">
        <v>4</v>
      </c>
      <c r="E4" s="130">
        <v>39</v>
      </c>
    </row>
    <row r="5" spans="1:5" ht="27.75" customHeight="1" x14ac:dyDescent="0.25">
      <c r="A5" s="353"/>
      <c r="B5" s="129" t="s">
        <v>1090</v>
      </c>
      <c r="C5" s="130">
        <v>19</v>
      </c>
      <c r="D5" s="132">
        <v>6</v>
      </c>
      <c r="E5" s="130">
        <v>33</v>
      </c>
    </row>
    <row r="6" spans="1:5" ht="27.75" customHeight="1" x14ac:dyDescent="0.25">
      <c r="A6" s="353"/>
      <c r="B6" s="129" t="s">
        <v>1091</v>
      </c>
      <c r="C6" s="130">
        <v>0</v>
      </c>
      <c r="D6" s="132">
        <v>4</v>
      </c>
      <c r="E6" s="130">
        <v>0</v>
      </c>
    </row>
    <row r="7" spans="1:5" ht="27.75" customHeight="1" x14ac:dyDescent="0.25">
      <c r="A7" s="353"/>
      <c r="B7" s="129" t="s">
        <v>1092</v>
      </c>
      <c r="C7" s="130">
        <v>12</v>
      </c>
      <c r="D7" s="132">
        <v>4</v>
      </c>
      <c r="E7" s="130">
        <v>25</v>
      </c>
    </row>
    <row r="8" spans="1:5" ht="27.75" customHeight="1" x14ac:dyDescent="0.25">
      <c r="A8" s="353"/>
      <c r="B8" s="129" t="s">
        <v>1093</v>
      </c>
      <c r="C8" s="130">
        <v>18</v>
      </c>
      <c r="D8" s="132">
        <v>6</v>
      </c>
      <c r="E8" s="130">
        <v>19</v>
      </c>
    </row>
    <row r="9" spans="1:5" ht="27.75" customHeight="1" x14ac:dyDescent="0.25">
      <c r="A9" s="353"/>
      <c r="B9" s="129" t="s">
        <v>1094</v>
      </c>
      <c r="C9" s="130">
        <v>34</v>
      </c>
      <c r="D9" s="132">
        <v>6</v>
      </c>
      <c r="E9" s="130">
        <v>13</v>
      </c>
    </row>
    <row r="10" spans="1:5" ht="27.75" customHeight="1" x14ac:dyDescent="0.25">
      <c r="A10" s="353"/>
      <c r="B10" s="129" t="s">
        <v>1095</v>
      </c>
      <c r="C10" s="130">
        <v>31</v>
      </c>
      <c r="D10" s="132">
        <v>5</v>
      </c>
      <c r="E10" s="130">
        <v>8</v>
      </c>
    </row>
    <row r="11" spans="1:5" ht="27.75" customHeight="1" x14ac:dyDescent="0.25">
      <c r="A11" s="353"/>
      <c r="B11" s="129" t="s">
        <v>1096</v>
      </c>
      <c r="C11" s="130">
        <v>0</v>
      </c>
      <c r="D11" s="132">
        <v>3</v>
      </c>
      <c r="E11" s="130">
        <v>0</v>
      </c>
    </row>
    <row r="12" spans="1:5" ht="27.75" customHeight="1" x14ac:dyDescent="0.25">
      <c r="A12" s="353"/>
      <c r="B12" s="129" t="s">
        <v>1097</v>
      </c>
      <c r="C12" s="130">
        <v>28</v>
      </c>
      <c r="D12" s="130">
        <v>3</v>
      </c>
      <c r="E12" s="130">
        <v>2</v>
      </c>
    </row>
    <row r="13" spans="1:5" ht="27.75" customHeight="1" x14ac:dyDescent="0.25">
      <c r="A13" s="353"/>
      <c r="B13" s="129" t="s">
        <v>1098</v>
      </c>
      <c r="C13" s="130" t="s">
        <v>1099</v>
      </c>
      <c r="D13" s="130">
        <v>2</v>
      </c>
      <c r="E13" s="130">
        <v>0</v>
      </c>
    </row>
    <row r="14" spans="1:5" ht="27.75" customHeight="1" x14ac:dyDescent="0.25">
      <c r="A14" s="353"/>
      <c r="B14" s="133" t="s">
        <v>23</v>
      </c>
      <c r="C14" s="126">
        <f>SUM(C2:C13)</f>
        <v>180</v>
      </c>
      <c r="D14" s="126">
        <f>SUM(D2:D13)</f>
        <v>44</v>
      </c>
      <c r="E14" s="126">
        <f>SUM(E2:E13)</f>
        <v>226</v>
      </c>
    </row>
    <row r="18" spans="1:4" x14ac:dyDescent="0.25">
      <c r="A18" s="348" t="s">
        <v>1100</v>
      </c>
      <c r="B18" s="348"/>
      <c r="C18" s="348"/>
      <c r="D18" s="134"/>
    </row>
    <row r="19" spans="1:4" x14ac:dyDescent="0.25">
      <c r="A19" s="348"/>
      <c r="B19" s="348"/>
      <c r="C19" s="348"/>
      <c r="D19" s="134"/>
    </row>
    <row r="20" spans="1:4" ht="21.75" customHeight="1" x14ac:dyDescent="0.25">
      <c r="A20" s="354" t="s">
        <v>1101</v>
      </c>
      <c r="B20" s="354"/>
      <c r="C20" s="354"/>
      <c r="D20" s="135"/>
    </row>
    <row r="21" spans="1:4" ht="69.75" customHeight="1" x14ac:dyDescent="0.25">
      <c r="A21" s="355" t="s">
        <v>1102</v>
      </c>
      <c r="B21" s="354"/>
      <c r="C21" s="354"/>
      <c r="D21" s="135"/>
    </row>
    <row r="22" spans="1:4" ht="72" customHeight="1" x14ac:dyDescent="0.25">
      <c r="A22" s="355" t="s">
        <v>1103</v>
      </c>
      <c r="B22" s="354"/>
      <c r="C22" s="354"/>
      <c r="D22" s="135"/>
    </row>
    <row r="25" spans="1:4" x14ac:dyDescent="0.25">
      <c r="A25" s="348" t="s">
        <v>1104</v>
      </c>
      <c r="B25" s="348"/>
      <c r="C25" s="348"/>
      <c r="D25" s="134"/>
    </row>
    <row r="26" spans="1:4" x14ac:dyDescent="0.25">
      <c r="A26" s="348"/>
      <c r="B26" s="348"/>
      <c r="C26" s="348"/>
      <c r="D26" s="134"/>
    </row>
    <row r="27" spans="1:4" ht="21" customHeight="1" x14ac:dyDescent="0.25">
      <c r="A27" s="126" t="s">
        <v>1082</v>
      </c>
      <c r="B27" s="136" t="s">
        <v>1105</v>
      </c>
      <c r="C27" s="126" t="s">
        <v>1106</v>
      </c>
      <c r="D27" s="137"/>
    </row>
    <row r="28" spans="1:4" ht="21.75" customHeight="1" x14ac:dyDescent="0.25">
      <c r="A28" s="129" t="s">
        <v>1087</v>
      </c>
      <c r="B28" s="130">
        <v>2</v>
      </c>
      <c r="C28" s="138" t="s">
        <v>1107</v>
      </c>
      <c r="D28" s="139"/>
    </row>
    <row r="29" spans="1:4" ht="33" customHeight="1" x14ac:dyDescent="0.25">
      <c r="A29" s="129" t="s">
        <v>1088</v>
      </c>
      <c r="B29" s="130">
        <v>14</v>
      </c>
      <c r="C29" s="138" t="s">
        <v>1108</v>
      </c>
      <c r="D29" s="139"/>
    </row>
    <row r="30" spans="1:4" ht="21.75" customHeight="1" x14ac:dyDescent="0.25">
      <c r="A30" s="129" t="s">
        <v>1089</v>
      </c>
      <c r="B30" s="130">
        <v>10</v>
      </c>
      <c r="C30" s="138" t="s">
        <v>1109</v>
      </c>
      <c r="D30" s="139"/>
    </row>
    <row r="31" spans="1:4" ht="21.75" customHeight="1" x14ac:dyDescent="0.25">
      <c r="A31" s="129" t="s">
        <v>1090</v>
      </c>
      <c r="B31" s="130">
        <v>15</v>
      </c>
      <c r="C31" s="138" t="s">
        <v>1110</v>
      </c>
      <c r="D31" s="139"/>
    </row>
    <row r="32" spans="1:4" ht="21.75" customHeight="1" x14ac:dyDescent="0.25">
      <c r="A32" s="129" t="s">
        <v>1092</v>
      </c>
      <c r="B32" s="130">
        <v>5</v>
      </c>
      <c r="C32" s="138" t="s">
        <v>1111</v>
      </c>
      <c r="D32" s="139"/>
    </row>
    <row r="33" spans="1:4" ht="32.25" customHeight="1" x14ac:dyDescent="0.25">
      <c r="A33" s="129" t="s">
        <v>1093</v>
      </c>
      <c r="B33" s="130">
        <v>2</v>
      </c>
      <c r="C33" s="138" t="s">
        <v>1112</v>
      </c>
      <c r="D33" s="139"/>
    </row>
    <row r="34" spans="1:4" ht="38.25" customHeight="1" x14ac:dyDescent="0.25">
      <c r="A34" s="129" t="s">
        <v>1094</v>
      </c>
      <c r="B34" s="130">
        <v>15</v>
      </c>
      <c r="C34" s="138" t="s">
        <v>1113</v>
      </c>
      <c r="D34" s="139"/>
    </row>
    <row r="35" spans="1:4" ht="21.75" customHeight="1" x14ac:dyDescent="0.25">
      <c r="A35" s="129" t="s">
        <v>1095</v>
      </c>
      <c r="B35" s="130">
        <v>0</v>
      </c>
      <c r="C35" s="138"/>
      <c r="D35" s="139"/>
    </row>
    <row r="36" spans="1:4" ht="21.75" customHeight="1" x14ac:dyDescent="0.25">
      <c r="A36" s="129" t="s">
        <v>1097</v>
      </c>
      <c r="B36" s="130">
        <v>0</v>
      </c>
      <c r="C36" s="138"/>
      <c r="D36" s="139"/>
    </row>
    <row r="37" spans="1:4" ht="21.75" customHeight="1" x14ac:dyDescent="0.25">
      <c r="A37" s="136" t="s">
        <v>23</v>
      </c>
      <c r="B37" s="351">
        <f>SUM(B28:B36)</f>
        <v>63</v>
      </c>
      <c r="C37" s="352"/>
      <c r="D37" s="137"/>
    </row>
    <row r="40" spans="1:4" x14ac:dyDescent="0.25">
      <c r="A40" s="348" t="s">
        <v>1114</v>
      </c>
      <c r="B40" s="348"/>
      <c r="C40" s="348"/>
      <c r="D40" s="134"/>
    </row>
    <row r="41" spans="1:4" x14ac:dyDescent="0.25">
      <c r="A41" s="348"/>
      <c r="B41" s="348"/>
      <c r="C41" s="348"/>
      <c r="D41" s="134"/>
    </row>
    <row r="42" spans="1:4" x14ac:dyDescent="0.25">
      <c r="A42" s="129" t="s">
        <v>1087</v>
      </c>
      <c r="B42" s="349">
        <v>1</v>
      </c>
      <c r="C42" s="350"/>
      <c r="D42" s="140"/>
    </row>
    <row r="43" spans="1:4" x14ac:dyDescent="0.25">
      <c r="A43" s="129" t="s">
        <v>1088</v>
      </c>
      <c r="B43" s="349">
        <v>15</v>
      </c>
      <c r="C43" s="350"/>
      <c r="D43" s="140"/>
    </row>
    <row r="44" spans="1:4" x14ac:dyDescent="0.25">
      <c r="A44" s="129" t="s">
        <v>1089</v>
      </c>
      <c r="B44" s="349">
        <v>0</v>
      </c>
      <c r="C44" s="350"/>
      <c r="D44" s="140"/>
    </row>
    <row r="45" spans="1:4" x14ac:dyDescent="0.25">
      <c r="A45" s="129" t="s">
        <v>1090</v>
      </c>
      <c r="B45" s="349">
        <v>0</v>
      </c>
      <c r="C45" s="350"/>
      <c r="D45" s="140"/>
    </row>
    <row r="46" spans="1:4" x14ac:dyDescent="0.25">
      <c r="A46" s="129" t="s">
        <v>1092</v>
      </c>
      <c r="B46" s="349">
        <v>0</v>
      </c>
      <c r="C46" s="350"/>
      <c r="D46" s="140"/>
    </row>
    <row r="47" spans="1:4" x14ac:dyDescent="0.25">
      <c r="A47" s="129" t="s">
        <v>1093</v>
      </c>
      <c r="B47" s="349">
        <v>0</v>
      </c>
      <c r="C47" s="350"/>
      <c r="D47" s="140"/>
    </row>
    <row r="48" spans="1:4" x14ac:dyDescent="0.25">
      <c r="A48" s="129" t="s">
        <v>1094</v>
      </c>
      <c r="B48" s="349">
        <v>0</v>
      </c>
      <c r="C48" s="350"/>
      <c r="D48" s="140"/>
    </row>
    <row r="49" spans="1:4" x14ac:dyDescent="0.25">
      <c r="A49" s="129" t="s">
        <v>1095</v>
      </c>
      <c r="B49" s="349">
        <v>0</v>
      </c>
      <c r="C49" s="350"/>
      <c r="D49" s="140"/>
    </row>
    <row r="50" spans="1:4" x14ac:dyDescent="0.25">
      <c r="A50" s="129" t="s">
        <v>1097</v>
      </c>
      <c r="B50" s="349">
        <v>0</v>
      </c>
      <c r="C50" s="350"/>
      <c r="D50" s="140"/>
    </row>
    <row r="51" spans="1:4" x14ac:dyDescent="0.25">
      <c r="A51" s="136" t="s">
        <v>23</v>
      </c>
      <c r="B51" s="351">
        <f>SUM(B42:C50)</f>
        <v>16</v>
      </c>
      <c r="C51" s="352"/>
      <c r="D51" s="137"/>
    </row>
    <row r="53" spans="1:4" x14ac:dyDescent="0.25">
      <c r="A53" s="348" t="s">
        <v>1115</v>
      </c>
      <c r="B53" s="348"/>
      <c r="C53" s="141"/>
    </row>
    <row r="54" spans="1:4" x14ac:dyDescent="0.25">
      <c r="A54" s="348"/>
      <c r="B54" s="348"/>
      <c r="C54" s="141"/>
    </row>
    <row r="55" spans="1:4" x14ac:dyDescent="0.25">
      <c r="A55" s="129" t="s">
        <v>1087</v>
      </c>
      <c r="B55" s="142">
        <v>0</v>
      </c>
      <c r="C55" s="143"/>
    </row>
    <row r="56" spans="1:4" x14ac:dyDescent="0.25">
      <c r="A56" s="129" t="s">
        <v>1088</v>
      </c>
      <c r="B56" s="144">
        <v>0</v>
      </c>
      <c r="C56" s="143"/>
    </row>
    <row r="57" spans="1:4" x14ac:dyDescent="0.25">
      <c r="A57" s="129" t="s">
        <v>1089</v>
      </c>
      <c r="B57" s="144">
        <v>0</v>
      </c>
      <c r="C57" s="143"/>
    </row>
    <row r="58" spans="1:4" x14ac:dyDescent="0.25">
      <c r="A58" s="129" t="s">
        <v>1090</v>
      </c>
      <c r="B58" s="144">
        <v>1</v>
      </c>
      <c r="C58" s="143"/>
    </row>
    <row r="59" spans="1:4" x14ac:dyDescent="0.25">
      <c r="A59" s="129" t="s">
        <v>1091</v>
      </c>
      <c r="B59" s="144">
        <v>0</v>
      </c>
      <c r="C59" s="143"/>
    </row>
    <row r="60" spans="1:4" x14ac:dyDescent="0.25">
      <c r="A60" s="129" t="s">
        <v>1092</v>
      </c>
      <c r="B60" s="144">
        <v>0</v>
      </c>
      <c r="C60" s="143"/>
    </row>
    <row r="61" spans="1:4" x14ac:dyDescent="0.25">
      <c r="A61" s="129" t="s">
        <v>1093</v>
      </c>
      <c r="B61" s="144">
        <v>2</v>
      </c>
      <c r="C61" s="143"/>
    </row>
    <row r="62" spans="1:4" x14ac:dyDescent="0.25">
      <c r="A62" s="129" t="s">
        <v>1094</v>
      </c>
      <c r="B62" s="144">
        <v>1</v>
      </c>
      <c r="C62" s="143"/>
    </row>
    <row r="63" spans="1:4" x14ac:dyDescent="0.25">
      <c r="A63" s="129" t="s">
        <v>1095</v>
      </c>
      <c r="B63" s="144">
        <v>1</v>
      </c>
      <c r="C63" s="143"/>
    </row>
    <row r="64" spans="1:4" x14ac:dyDescent="0.25">
      <c r="A64" s="129" t="s">
        <v>1096</v>
      </c>
      <c r="B64" s="144">
        <v>2</v>
      </c>
      <c r="C64" s="143"/>
    </row>
    <row r="65" spans="1:3" x14ac:dyDescent="0.25">
      <c r="A65" s="129" t="s">
        <v>1097</v>
      </c>
      <c r="B65" s="130">
        <v>2</v>
      </c>
      <c r="C65" s="143"/>
    </row>
    <row r="66" spans="1:3" x14ac:dyDescent="0.25">
      <c r="A66" s="136" t="s">
        <v>23</v>
      </c>
      <c r="B66" s="126">
        <f>SUM(B55:C65)</f>
        <v>9</v>
      </c>
      <c r="C66" s="145"/>
    </row>
  </sheetData>
  <mergeCells count="19">
    <mergeCell ref="B45:C45"/>
    <mergeCell ref="A2:A14"/>
    <mergeCell ref="A18:C19"/>
    <mergeCell ref="A20:C20"/>
    <mergeCell ref="A21:C21"/>
    <mergeCell ref="A22:C22"/>
    <mergeCell ref="A25:C26"/>
    <mergeCell ref="B37:C37"/>
    <mergeCell ref="A40:C41"/>
    <mergeCell ref="B42:C42"/>
    <mergeCell ref="B43:C43"/>
    <mergeCell ref="B44:C44"/>
    <mergeCell ref="A53:B54"/>
    <mergeCell ref="B46:C46"/>
    <mergeCell ref="B47:C47"/>
    <mergeCell ref="B48:C48"/>
    <mergeCell ref="B49:C49"/>
    <mergeCell ref="B50:C50"/>
    <mergeCell ref="B51:C5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
  <sheetViews>
    <sheetView workbookViewId="0"/>
  </sheetViews>
  <sheetFormatPr defaultRowHeight="12.75" x14ac:dyDescent="0.2"/>
  <cols>
    <col min="1" max="2" width="42.85546875" customWidth="1"/>
  </cols>
  <sheetData>
    <row r="1" spans="1:2" x14ac:dyDescent="0.2">
      <c r="A1" s="77" t="s">
        <v>886</v>
      </c>
      <c r="B1" s="77" t="s">
        <v>887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Summary_Regression</vt:lpstr>
      <vt:lpstr>In-Sprint Test Case Summary</vt:lpstr>
      <vt:lpstr>Regression</vt:lpstr>
      <vt:lpstr>ListSource</vt:lpstr>
      <vt:lpstr>Regression_Optimization_Sheet</vt:lpstr>
      <vt:lpstr>RemovedSmokeTC</vt:lpstr>
      <vt:lpstr>DSR</vt:lpstr>
      <vt:lpstr>QTest_Failed_Update</vt:lpstr>
      <vt:lpstr>Automation ROI</vt:lpstr>
      <vt:lpstr>Failed To Update TCs</vt:lpstr>
    </vt:vector>
  </TitlesOfParts>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Kaustav Mitra</dc:creator>
  <cp:lastModifiedBy>HCSC User</cp:lastModifiedBy>
  <cp:revision/>
  <dcterms:created xsi:type="dcterms:W3CDTF">2015-05-21T06:36:13Z</dcterms:created>
  <dcterms:modified xsi:type="dcterms:W3CDTF">2020-01-28T07:24:44Z</dcterms:modified>
</cp:coreProperties>
</file>